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Football-Performance-Analytics\analysis\"/>
    </mc:Choice>
  </mc:AlternateContent>
  <xr:revisionPtr revIDLastSave="0" documentId="8_{1690C556-7480-474B-83AA-AA9393A1F5BA}" xr6:coauthVersionLast="47" xr6:coauthVersionMax="47" xr10:uidLastSave="{00000000-0000-0000-0000-000000000000}"/>
  <bookViews>
    <workbookView xWindow="840" yWindow="0" windowWidth="22200" windowHeight="13680" activeTab="3" xr2:uid="{51C36AB3-9D55-41B5-9828-5031BB10DF83}"/>
  </bookViews>
  <sheets>
    <sheet name="Sheet3" sheetId="13" r:id="rId1"/>
    <sheet name="E0" sheetId="1" r:id="rId2"/>
    <sheet name="Raw_data " sheetId="5" r:id="rId3"/>
    <sheet name="Team_Match_Data" sheetId="6" r:id="rId4"/>
    <sheet name="Leauge_table " sheetId="7" r:id="rId5"/>
    <sheet name="Metric_Impact_Analysis" sheetId="8" r:id="rId6"/>
    <sheet name="sports_analytics_01" sheetId="9" r:id="rId7"/>
    <sheet name="Home_Away_Analysis" sheetId="10" r:id="rId8"/>
    <sheet name="DASHBOARD" sheetId="11" r:id="rId9"/>
  </sheets>
  <definedNames>
    <definedName name="_xlnm._FilterDatabase" localSheetId="6" hidden="1">sports_analytics_01!$N$9:$N$29</definedName>
    <definedName name="ExternalData_1" localSheetId="2" hidden="1">'Raw_data '!$A$4:$P$384</definedName>
    <definedName name="ExternalData_2" localSheetId="3" hidden="1">Team_Match_Data!$A$4:$K$764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0" i="11" l="1" a="1"/>
  <c r="X10" i="11" s="1"/>
  <c r="W11" i="11" a="1"/>
  <c r="W11" i="11" s="1"/>
  <c r="W12" i="11" a="1"/>
  <c r="W12" i="11"/>
  <c r="W13" i="11" a="1"/>
  <c r="W13" i="11" s="1"/>
  <c r="W14" i="11" a="1"/>
  <c r="W14" i="11" s="1"/>
  <c r="W15" i="11" a="1"/>
  <c r="W15" i="11" s="1"/>
  <c r="W16" i="11" a="1"/>
  <c r="W16" i="11" s="1"/>
  <c r="W17" i="11" a="1"/>
  <c r="W17" i="11" s="1"/>
  <c r="W18" i="11" a="1"/>
  <c r="W18" i="11"/>
  <c r="W19" i="11" a="1"/>
  <c r="W19" i="11" s="1"/>
  <c r="W20" i="11" a="1"/>
  <c r="W20" i="11" s="1"/>
  <c r="W21" i="11" a="1"/>
  <c r="W21" i="11" s="1"/>
  <c r="W22" i="11" a="1"/>
  <c r="W22" i="11"/>
  <c r="W23" i="11" a="1"/>
  <c r="W23" i="11" s="1"/>
  <c r="W24" i="11" a="1"/>
  <c r="W24" i="11" s="1"/>
  <c r="W25" i="11" a="1"/>
  <c r="W25" i="11" s="1"/>
  <c r="W26" i="11" a="1"/>
  <c r="W26" i="11" s="1"/>
  <c r="W27" i="11" a="1"/>
  <c r="W27" i="11"/>
  <c r="W28" i="11" a="1"/>
  <c r="W28" i="11" s="1"/>
  <c r="W29" i="11" a="1"/>
  <c r="W29" i="11" s="1"/>
  <c r="W10" i="11" a="1"/>
  <c r="W10" i="11"/>
  <c r="V10" i="11" a="1"/>
  <c r="V10" i="11" s="1"/>
  <c r="U7" i="11"/>
  <c r="U6" i="11"/>
  <c r="P7" i="11"/>
  <c r="P6" i="11"/>
  <c r="K7" i="11"/>
  <c r="K6" i="11"/>
  <c r="F7" i="11"/>
  <c r="F6" i="11"/>
  <c r="A6" i="11"/>
  <c r="A5" i="7" a="1"/>
  <c r="A5" i="7" s="1"/>
  <c r="I5" i="7" l="1" a="1"/>
  <c r="F5" i="7" a="1"/>
  <c r="F5" i="7" s="1"/>
  <c r="B5" i="7" a="1"/>
  <c r="G5" i="7" a="1"/>
  <c r="G5" i="7" s="1"/>
  <c r="D5" i="7" a="1"/>
  <c r="D5" i="7" s="1"/>
  <c r="A5" i="8" a="1"/>
  <c r="A5" i="10" a="1"/>
  <c r="C5" i="7" a="1"/>
  <c r="A5" i="10" l="1"/>
  <c r="C5" i="10" a="1"/>
  <c r="C5" i="10" s="1"/>
  <c r="B5" i="10" a="1"/>
  <c r="C5" i="7"/>
  <c r="E5" i="7" s="1"/>
  <c r="E12" i="7"/>
  <c r="E24" i="7"/>
  <c r="E17" i="7"/>
  <c r="E18" i="7"/>
  <c r="E7" i="7"/>
  <c r="E19" i="7"/>
  <c r="E13" i="7"/>
  <c r="E8" i="7"/>
  <c r="E9" i="7"/>
  <c r="E21" i="7"/>
  <c r="E22" i="7"/>
  <c r="E23" i="7"/>
  <c r="E14" i="7"/>
  <c r="E15" i="7"/>
  <c r="E16" i="7"/>
  <c r="E6" i="7"/>
  <c r="E20" i="7"/>
  <c r="E10" i="7"/>
  <c r="E11" i="7"/>
  <c r="A5" i="8"/>
  <c r="L10" i="9" s="1" a="1"/>
  <c r="L10" i="9" s="1"/>
  <c r="G14" i="8" a="1"/>
  <c r="G14" i="8" s="1"/>
  <c r="E10" i="8" a="1"/>
  <c r="E10" i="8" s="1"/>
  <c r="E22" i="8" a="1"/>
  <c r="E22" i="8" s="1"/>
  <c r="D23" i="8" a="1"/>
  <c r="D23" i="8" s="1"/>
  <c r="B22" i="8" a="1"/>
  <c r="B22" i="8" s="1"/>
  <c r="B13" i="8" a="1"/>
  <c r="B13" i="8" s="1"/>
  <c r="G17" i="8" a="1"/>
  <c r="G17" i="8" s="1"/>
  <c r="E13" i="8" a="1"/>
  <c r="E13" i="8" s="1"/>
  <c r="D14" i="8" a="1"/>
  <c r="D14" i="8" s="1"/>
  <c r="G19" i="8" a="1"/>
  <c r="G19" i="8" s="1"/>
  <c r="D7" i="8" a="1"/>
  <c r="D7" i="8" s="1"/>
  <c r="B8" i="8" a="1"/>
  <c r="B8" i="8" s="1"/>
  <c r="D18" i="8" a="1"/>
  <c r="D18" i="8" s="1"/>
  <c r="B19" i="8" a="1"/>
  <c r="B19" i="8" s="1"/>
  <c r="E18" i="8" a="1"/>
  <c r="E18" i="8" s="1"/>
  <c r="B20" i="8" a="1"/>
  <c r="B20" i="8" s="1"/>
  <c r="E7" i="8" a="1"/>
  <c r="E7" i="8" s="1"/>
  <c r="E20" i="8" a="1"/>
  <c r="E20" i="8" s="1"/>
  <c r="D21" i="8" a="1"/>
  <c r="D21" i="8" s="1"/>
  <c r="E21" i="8" a="1"/>
  <c r="E21" i="8" s="1"/>
  <c r="B21" i="8" a="1"/>
  <c r="B21" i="8" s="1"/>
  <c r="G15" i="8" a="1"/>
  <c r="G15" i="8" s="1"/>
  <c r="E11" i="8" a="1"/>
  <c r="E11" i="8" s="1"/>
  <c r="E23" i="8" a="1"/>
  <c r="E23" i="8" s="1"/>
  <c r="D12" i="8" a="1"/>
  <c r="D12" i="8" s="1"/>
  <c r="D24" i="8" a="1"/>
  <c r="D24" i="8" s="1"/>
  <c r="B24" i="8" a="1"/>
  <c r="B24" i="8" s="1"/>
  <c r="G22" i="8" a="1"/>
  <c r="G22" i="8" s="1"/>
  <c r="D9" i="8" a="1"/>
  <c r="D9" i="8" s="1"/>
  <c r="G23" i="8" a="1"/>
  <c r="G23" i="8" s="1"/>
  <c r="E19" i="8" a="1"/>
  <c r="E19" i="8" s="1"/>
  <c r="B11" i="8" a="1"/>
  <c r="B11" i="8" s="1"/>
  <c r="G12" i="8" a="1"/>
  <c r="G12" i="8" s="1"/>
  <c r="E8" i="8" a="1"/>
  <c r="E8" i="8" s="1"/>
  <c r="D10" i="8" a="1"/>
  <c r="D10" i="8" s="1"/>
  <c r="E9" i="8" a="1"/>
  <c r="E9" i="8" s="1"/>
  <c r="D22" i="8" a="1"/>
  <c r="D22" i="8" s="1"/>
  <c r="B12" i="8" a="1"/>
  <c r="B12" i="8" s="1"/>
  <c r="G16" i="8" a="1"/>
  <c r="G16" i="8" s="1"/>
  <c r="E12" i="8" a="1"/>
  <c r="E12" i="8" s="1"/>
  <c r="E24" i="8" a="1"/>
  <c r="E24" i="8" s="1"/>
  <c r="D13" i="8" a="1"/>
  <c r="D13" i="8" s="1"/>
  <c r="B23" i="8" a="1"/>
  <c r="B23" i="8" s="1"/>
  <c r="B14" i="8" a="1"/>
  <c r="B14" i="8" s="1"/>
  <c r="G6" i="8" a="1"/>
  <c r="G6" i="8" s="1"/>
  <c r="G18" i="8" a="1"/>
  <c r="G18" i="8" s="1"/>
  <c r="E14" i="8" a="1"/>
  <c r="E14" i="8" s="1"/>
  <c r="D6" i="8" a="1"/>
  <c r="D6" i="8" s="1"/>
  <c r="B6" i="8" a="1"/>
  <c r="B6" i="8" s="1"/>
  <c r="G7" i="8" a="1"/>
  <c r="G7" i="8" s="1"/>
  <c r="E15" i="8" a="1"/>
  <c r="E15" i="8" s="1"/>
  <c r="D16" i="8" a="1"/>
  <c r="D16" i="8" s="1"/>
  <c r="B7" i="8" a="1"/>
  <c r="B7" i="8" s="1"/>
  <c r="B17" i="8" a="1"/>
  <c r="B17" i="8" s="1"/>
  <c r="B15" i="8" a="1"/>
  <c r="B15" i="8" s="1"/>
  <c r="D15" i="8" a="1"/>
  <c r="D15" i="8" s="1"/>
  <c r="B16" i="8" a="1"/>
  <c r="B16" i="8" s="1"/>
  <c r="G8" i="8" a="1"/>
  <c r="G8" i="8" s="1"/>
  <c r="G20" i="8" a="1"/>
  <c r="G20" i="8" s="1"/>
  <c r="E16" i="8" a="1"/>
  <c r="E16" i="8" s="1"/>
  <c r="D17" i="8" a="1"/>
  <c r="D17" i="8" s="1"/>
  <c r="B18" i="8" a="1"/>
  <c r="B18" i="8" s="1"/>
  <c r="G9" i="8" a="1"/>
  <c r="G9" i="8" s="1"/>
  <c r="G21" i="8" a="1"/>
  <c r="G21" i="8" s="1"/>
  <c r="E17" i="8" a="1"/>
  <c r="E17" i="8" s="1"/>
  <c r="D8" i="8" a="1"/>
  <c r="D8" i="8" s="1"/>
  <c r="B9" i="8" a="1"/>
  <c r="B9" i="8" s="1"/>
  <c r="G10" i="8" a="1"/>
  <c r="G10" i="8" s="1"/>
  <c r="E6" i="8" a="1"/>
  <c r="E6" i="8" s="1"/>
  <c r="D19" i="8" a="1"/>
  <c r="D19" i="8" s="1"/>
  <c r="F19" i="8" s="1"/>
  <c r="B10" i="8" a="1"/>
  <c r="B10" i="8" s="1"/>
  <c r="G11" i="8" a="1"/>
  <c r="G11" i="8" s="1"/>
  <c r="D20" i="8" a="1"/>
  <c r="D20" i="8" s="1"/>
  <c r="F20" i="8" s="1"/>
  <c r="G24" i="8" a="1"/>
  <c r="G24" i="8" s="1"/>
  <c r="G13" i="8" a="1"/>
  <c r="G13" i="8" s="1"/>
  <c r="D11" i="8" a="1"/>
  <c r="D11" i="8" s="1"/>
  <c r="B5" i="7"/>
  <c r="H5" i="7" s="1"/>
  <c r="H10" i="7"/>
  <c r="H22" i="7"/>
  <c r="H13" i="7"/>
  <c r="H15" i="7"/>
  <c r="H16" i="7"/>
  <c r="H17" i="7"/>
  <c r="H18" i="7"/>
  <c r="H7" i="7"/>
  <c r="H20" i="7"/>
  <c r="H9" i="7"/>
  <c r="H11" i="7"/>
  <c r="H23" i="7"/>
  <c r="H8" i="7"/>
  <c r="H21" i="7"/>
  <c r="H12" i="7"/>
  <c r="H24" i="7"/>
  <c r="H14" i="7"/>
  <c r="H6" i="7"/>
  <c r="H19" i="7"/>
  <c r="I5" i="7"/>
  <c r="J5" i="7" s="1"/>
  <c r="J7" i="7"/>
  <c r="J19" i="7"/>
  <c r="F10" i="8" l="1"/>
  <c r="F17" i="8"/>
  <c r="F7" i="8"/>
  <c r="J24" i="7"/>
  <c r="F16" i="8"/>
  <c r="F24" i="8"/>
  <c r="J11" i="7"/>
  <c r="J10" i="7"/>
  <c r="J9" i="7"/>
  <c r="F6" i="8"/>
  <c r="E5" i="8" a="1"/>
  <c r="E5" i="8" s="1"/>
  <c r="D5" i="8" a="1"/>
  <c r="D5" i="8" s="1"/>
  <c r="B5" i="8" a="1"/>
  <c r="B5" i="8" s="1"/>
  <c r="C5" i="8" s="1"/>
  <c r="G5" i="8" a="1"/>
  <c r="G5" i="8" s="1"/>
  <c r="J16" i="7"/>
  <c r="J15" i="7"/>
  <c r="F14" i="8"/>
  <c r="F15" i="8"/>
  <c r="J17" i="7"/>
  <c r="J14" i="7"/>
  <c r="F8" i="8"/>
  <c r="F21" i="8"/>
  <c r="J18" i="7"/>
  <c r="J20" i="7"/>
  <c r="J6" i="7"/>
  <c r="J13" i="7"/>
  <c r="J23" i="7"/>
  <c r="F13" i="8"/>
  <c r="J8" i="7"/>
  <c r="J12" i="7"/>
  <c r="J22" i="7"/>
  <c r="F11" i="8"/>
  <c r="F9" i="8"/>
  <c r="F23" i="8"/>
  <c r="B5" i="10"/>
  <c r="D10" i="10"/>
  <c r="E10" i="10" s="1"/>
  <c r="D22" i="10"/>
  <c r="E22" i="10" s="1"/>
  <c r="D16" i="10"/>
  <c r="E16" i="10" s="1"/>
  <c r="D17" i="10"/>
  <c r="E17" i="10" s="1"/>
  <c r="D19" i="10"/>
  <c r="E19" i="10" s="1"/>
  <c r="D11" i="10"/>
  <c r="E11" i="10" s="1"/>
  <c r="D23" i="10"/>
  <c r="E23" i="10" s="1"/>
  <c r="D18" i="10"/>
  <c r="E18" i="10" s="1"/>
  <c r="D7" i="10"/>
  <c r="E7" i="10" s="1"/>
  <c r="D8" i="10"/>
  <c r="E8" i="10"/>
  <c r="D12" i="10"/>
  <c r="E12" i="10" s="1"/>
  <c r="D24" i="10"/>
  <c r="E24" i="10" s="1"/>
  <c r="D14" i="10"/>
  <c r="E14" i="10" s="1"/>
  <c r="D13" i="10"/>
  <c r="E13" i="10" s="1"/>
  <c r="D15" i="10"/>
  <c r="E15" i="10" s="1"/>
  <c r="D6" i="10"/>
  <c r="E6" i="10" s="1"/>
  <c r="D20" i="10"/>
  <c r="E20" i="10" s="1"/>
  <c r="D9" i="10"/>
  <c r="E9" i="10" s="1"/>
  <c r="D21" i="10"/>
  <c r="E21" i="10" s="1"/>
  <c r="J21" i="7"/>
  <c r="F22" i="8"/>
  <c r="F12" i="8"/>
  <c r="F18" i="8"/>
  <c r="C19" i="8" l="1"/>
  <c r="C18" i="8"/>
  <c r="C23" i="8"/>
  <c r="C16" i="8"/>
  <c r="J9" i="8"/>
  <c r="K9" i="8" s="1"/>
  <c r="D10" i="9" a="1"/>
  <c r="D10" i="9" s="1"/>
  <c r="A10" i="9" a="1"/>
  <c r="A10" i="9" s="1"/>
  <c r="J6" i="8"/>
  <c r="K6" i="8" s="1"/>
  <c r="F5" i="8"/>
  <c r="C24" i="8"/>
  <c r="B10" i="9" a="1"/>
  <c r="B10" i="9" s="1"/>
  <c r="J7" i="8"/>
  <c r="K7" i="8" s="1"/>
  <c r="C13" i="8"/>
  <c r="C17" i="8"/>
  <c r="C8" i="8"/>
  <c r="C22" i="8"/>
  <c r="C15" i="8"/>
  <c r="C14" i="8"/>
  <c r="D5" i="10"/>
  <c r="E5" i="10" s="1"/>
  <c r="C20" i="8"/>
  <c r="C11" i="8"/>
  <c r="C7" i="8"/>
  <c r="C9" i="8"/>
  <c r="C10" i="8"/>
  <c r="C12" i="8"/>
  <c r="C6" i="8"/>
  <c r="C21" i="8"/>
  <c r="C10" i="9" l="1" a="1"/>
  <c r="J8" i="8"/>
  <c r="K8" i="8" s="1"/>
  <c r="C10" i="9" l="1"/>
  <c r="M10" i="9" s="1"/>
  <c r="M16" i="9"/>
  <c r="M28" i="9"/>
  <c r="M21" i="9"/>
  <c r="M11" i="9"/>
  <c r="M12" i="9"/>
  <c r="M14" i="9"/>
  <c r="M17" i="9"/>
  <c r="M29" i="9"/>
  <c r="M20" i="9"/>
  <c r="M25" i="9"/>
  <c r="M26" i="9"/>
  <c r="M18" i="9"/>
  <c r="M19" i="9"/>
  <c r="M22" i="9"/>
  <c r="M23" i="9"/>
  <c r="M24" i="9"/>
  <c r="M13" i="9"/>
  <c r="M15" i="9"/>
  <c r="M27" i="9"/>
  <c r="N10" i="9" l="1" a="1"/>
  <c r="N10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87815-4A91-4D0B-B0E3-8B34D229B4E6}" keepAlive="1" name="Query - Away_data" description="Connection to the 'Away_data' query in the workbook." type="5" refreshedVersion="0" background="1">
    <dbPr connection="Provider=Microsoft.Mashup.OleDb.1;Data Source=$Workbook$;Location=Away_data;Extended Properties=&quot;&quot;" command="SELECT * FROM [Away_data]"/>
  </connection>
  <connection id="2" xr16:uid="{D3E9D300-890D-4A7D-8E57-39C32DCFFE1F}" keepAlive="1" name="Query - Home_data" description="Connection to the 'Home_data' query in the workbook." type="5" refreshedVersion="0" background="1">
    <dbPr connection="Provider=Microsoft.Mashup.OleDb.1;Data Source=$Workbook$;Location=Home_data;Extended Properties=&quot;&quot;" command="SELECT * FROM [Home_data]"/>
  </connection>
  <connection id="3" xr16:uid="{0ED754D3-C110-40B4-B448-D576433ABF74}" keepAlive="1" name="Query - Match_data" description="Connection to the 'Match_data' query in the workbook." type="5" refreshedVersion="8" background="1" saveData="1">
    <dbPr connection="Provider=Microsoft.Mashup.OleDb.1;Data Source=$Workbook$;Location=Match_data;Extended Properties=&quot;&quot;" command="SELECT * FROM [Match_data]"/>
  </connection>
  <connection id="4" xr16:uid="{C5E55543-CC15-4F54-8480-FBE4A96F0DCF}" keepAlive="1" name="Query - Team_Match_Data" description="Connection to the 'Team_Match_Data' query in the workbook." type="5" refreshedVersion="8" background="1" saveData="1">
    <dbPr connection="Provider=Microsoft.Mashup.OleDb.1;Data Source=$Workbook$;Location=Team_Match_Data;Extended Properties=&quot;&quot;" command="SELECT * FROM [Team_Match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<sst xmlns="http://schemas.openxmlformats.org/spreadsheetml/2006/main" count="7674" uniqueCount="301">
  <si>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</si>
  <si>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</si>
  <si>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</si>
  <si>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</si>
  <si>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</si>
  <si>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</si>
  <si>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</si>
  <si>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</si>
  <si>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</si>
  <si>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</si>
  <si>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</si>
  <si>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</si>
  <si>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</si>
  <si>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</si>
  <si>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</si>
  <si>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</si>
  <si>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</si>
  <si>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</si>
  <si>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</si>
  <si>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</si>
  <si>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</si>
  <si>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</si>
  <si>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</si>
  <si>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</si>
  <si>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</si>
  <si>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</si>
  <si>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</si>
  <si>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</si>
  <si>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</si>
  <si>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</si>
  <si>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BFH</t>
  </si>
  <si>
    <t>BFD</t>
  </si>
  <si>
    <t>BFA</t>
  </si>
  <si>
    <t>PSH</t>
  </si>
  <si>
    <t>PSD</t>
  </si>
  <si>
    <t>PSA</t>
  </si>
  <si>
    <t>WHH</t>
  </si>
  <si>
    <t>WHD</t>
  </si>
  <si>
    <t>WHA</t>
  </si>
  <si>
    <t>1XBH</t>
  </si>
  <si>
    <t>1XBD</t>
  </si>
  <si>
    <t>1XBA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</si>
  <si>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</si>
  <si>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</si>
  <si>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</si>
  <si>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</si>
  <si>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</si>
  <si>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</si>
  <si>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</si>
  <si>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</si>
  <si>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</si>
  <si>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</si>
  <si>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</si>
  <si>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</si>
  <si>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</si>
  <si>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</si>
  <si>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</si>
  <si>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</si>
  <si>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</si>
  <si>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</si>
  <si>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</si>
  <si>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</si>
  <si>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</si>
  <si>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</si>
  <si>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</si>
  <si>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</si>
  <si>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</si>
  <si>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</si>
  <si>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</si>
  <si>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</si>
  <si>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</si>
  <si>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</si>
  <si>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</si>
  <si>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</si>
  <si>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</si>
  <si>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BWCH</t>
  </si>
  <si>
    <t>BWCD</t>
  </si>
  <si>
    <t>BWCA</t>
  </si>
  <si>
    <t>BFCH</t>
  </si>
  <si>
    <t>BFCD</t>
  </si>
  <si>
    <t>BFCA</t>
  </si>
  <si>
    <t>PSCH</t>
  </si>
  <si>
    <t>PSCD</t>
  </si>
  <si>
    <t>PSCA</t>
  </si>
  <si>
    <t>WHCH</t>
  </si>
  <si>
    <t>WHCD</t>
  </si>
  <si>
    <t>WHCA</t>
  </si>
  <si>
    <t>1XBCH</t>
  </si>
  <si>
    <t>1XBCD</t>
  </si>
  <si>
    <t>1XBCA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</si>
  <si>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</si>
  <si>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</si>
  <si>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</si>
  <si>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</si>
  <si>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</si>
  <si>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</si>
  <si>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</si>
  <si>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</si>
  <si>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</si>
  <si>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</si>
  <si>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</si>
  <si>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</si>
  <si>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</si>
  <si>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</si>
  <si>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</si>
  <si>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</si>
  <si>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</si>
  <si>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</si>
  <si>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</si>
  <si>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</si>
  <si>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</si>
  <si>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</si>
  <si>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</si>
  <si>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</si>
  <si>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</si>
  <si>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</si>
  <si>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</si>
  <si>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</si>
  <si>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</si>
  <si>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</si>
  <si>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</si>
  <si>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16/08/2024</t>
  </si>
  <si>
    <t>Man United</t>
  </si>
  <si>
    <t>Fulham</t>
  </si>
  <si>
    <t>H</t>
  </si>
  <si>
    <t>D</t>
  </si>
  <si>
    <t>R Jones</t>
  </si>
  <si>
    <t>17/08/2024</t>
  </si>
  <si>
    <t>Ipswich</t>
  </si>
  <si>
    <t>Liverpool</t>
  </si>
  <si>
    <t>A</t>
  </si>
  <si>
    <t>T Robinson</t>
  </si>
  <si>
    <t>Arsenal</t>
  </si>
  <si>
    <t>Wolves</t>
  </si>
  <si>
    <t>J Gillett</t>
  </si>
  <si>
    <t>Everton</t>
  </si>
  <si>
    <t>Brighton</t>
  </si>
  <si>
    <t>S Hooper</t>
  </si>
  <si>
    <t>Newcastle</t>
  </si>
  <si>
    <t>Southampton</t>
  </si>
  <si>
    <t>C Pawson</t>
  </si>
  <si>
    <t>Nott'm Forest</t>
  </si>
  <si>
    <t>Bournemouth</t>
  </si>
  <si>
    <t>M Oliver</t>
  </si>
  <si>
    <t>West Ham</t>
  </si>
  <si>
    <t>Aston Villa</t>
  </si>
  <si>
    <t>T Harrington</t>
  </si>
  <si>
    <t>18/08/2024</t>
  </si>
  <si>
    <t>Brentford</t>
  </si>
  <si>
    <t>Crystal Palace</t>
  </si>
  <si>
    <t>S Barrott</t>
  </si>
  <si>
    <t>Chelsea</t>
  </si>
  <si>
    <t>Man City</t>
  </si>
  <si>
    <t>A Taylor</t>
  </si>
  <si>
    <t>19/08/2024</t>
  </si>
  <si>
    <t>Leicester</t>
  </si>
  <si>
    <t>Tottenham</t>
  </si>
  <si>
    <t>C Kavanagh</t>
  </si>
  <si>
    <t>24/08/2024</t>
  </si>
  <si>
    <t>D Bond</t>
  </si>
  <si>
    <t>M Salisbury</t>
  </si>
  <si>
    <t>25/08/2024</t>
  </si>
  <si>
    <t>D Coote</t>
  </si>
  <si>
    <t>D England</t>
  </si>
  <si>
    <t>S Attwell</t>
  </si>
  <si>
    <t>31/08/2024</t>
  </si>
  <si>
    <t>J Smith</t>
  </si>
  <si>
    <t>L Smith</t>
  </si>
  <si>
    <t>14/09/2024</t>
  </si>
  <si>
    <t>15/09/2024</t>
  </si>
  <si>
    <t>21/09/2024</t>
  </si>
  <si>
    <t>P Bankes</t>
  </si>
  <si>
    <t>S Allison</t>
  </si>
  <si>
    <t>J Brooks</t>
  </si>
  <si>
    <t>22/09/2024</t>
  </si>
  <si>
    <t>28/09/2024</t>
  </si>
  <si>
    <t>A Madley</t>
  </si>
  <si>
    <t>29/09/2024</t>
  </si>
  <si>
    <t>30/09/2024</t>
  </si>
  <si>
    <t>19/10/2024</t>
  </si>
  <si>
    <t>20/10/2024</t>
  </si>
  <si>
    <t>21/10/2024</t>
  </si>
  <si>
    <t>25/10/2024</t>
  </si>
  <si>
    <t>26/10/2024</t>
  </si>
  <si>
    <t>27/10/2024</t>
  </si>
  <si>
    <t>T Bramall</t>
  </si>
  <si>
    <t>23/11/2024</t>
  </si>
  <si>
    <t>24/11/2024</t>
  </si>
  <si>
    <t>25/11/2024</t>
  </si>
  <si>
    <t>29/11/2024</t>
  </si>
  <si>
    <t>30/11/2024</t>
  </si>
  <si>
    <t>14/12/2024</t>
  </si>
  <si>
    <t>15/12/2024</t>
  </si>
  <si>
    <t>16/12/2024</t>
  </si>
  <si>
    <t>21/12/2024</t>
  </si>
  <si>
    <t>22/12/2024</t>
  </si>
  <si>
    <t>26/12/2024</t>
  </si>
  <si>
    <t>27/12/2024</t>
  </si>
  <si>
    <t>29/12/2024</t>
  </si>
  <si>
    <t>30/12/2024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</si>
  <si>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</si>
  <si>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</si>
  <si>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</si>
  <si>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</si>
  <si>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</si>
  <si>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</si>
  <si>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</si>
  <si>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</si>
  <si>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14/02/2025</t>
  </si>
  <si>
    <t>K Kavanagh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</si>
  <si>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</si>
  <si>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</si>
  <si>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</si>
  <si>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</si>
  <si>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</si>
  <si>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</si>
  <si>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</si>
  <si>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</si>
  <si>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</si>
  <si>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15/03/2025</t>
  </si>
  <si>
    <t>16/03/2025</t>
  </si>
  <si>
    <t>13/04/2025</t>
  </si>
  <si>
    <t>14/04/2025</t>
  </si>
  <si>
    <t>O Oliver</t>
  </si>
  <si>
    <t>16/04/2025</t>
  </si>
  <si>
    <t>19/04/2025</t>
  </si>
  <si>
    <t>A Kitchen</t>
  </si>
  <si>
    <t>20/04/2025</t>
  </si>
  <si>
    <t>21/04/2025</t>
  </si>
  <si>
    <t>22/04/2025</t>
  </si>
  <si>
    <t>23/04/2025</t>
  </si>
  <si>
    <t>26/04/2025</t>
  </si>
  <si>
    <t>27/04/2025</t>
  </si>
  <si>
    <t>D Webb</t>
  </si>
  <si>
    <t>16/05/2025</t>
  </si>
  <si>
    <t>18/05/2025</t>
  </si>
  <si>
    <t>19/05/2025</t>
  </si>
  <si>
    <t>20/05/2025</t>
  </si>
  <si>
    <t>25/05/2025</t>
  </si>
  <si>
    <t>Team</t>
  </si>
  <si>
    <t>Opponent</t>
  </si>
  <si>
    <t>Goal_for</t>
  </si>
  <si>
    <t>Shots</t>
  </si>
  <si>
    <t>Shots_on_target</t>
  </si>
  <si>
    <t>Venue</t>
  </si>
  <si>
    <t>Points</t>
  </si>
  <si>
    <t>Home</t>
  </si>
  <si>
    <t>Away</t>
  </si>
  <si>
    <t>Results</t>
  </si>
  <si>
    <t>W</t>
  </si>
  <si>
    <t>L</t>
  </si>
  <si>
    <t xml:space="preserve">Team </t>
  </si>
  <si>
    <t>Wins</t>
  </si>
  <si>
    <t>Draws</t>
  </si>
  <si>
    <t>losses</t>
  </si>
  <si>
    <t>Rank</t>
  </si>
  <si>
    <t>Goal Difference</t>
  </si>
  <si>
    <t>Metric</t>
  </si>
  <si>
    <t>Correlation with Points</t>
  </si>
  <si>
    <t>Goals For</t>
  </si>
  <si>
    <t>Goals Against</t>
  </si>
  <si>
    <t>Imapct</t>
  </si>
  <si>
    <t>Value</t>
  </si>
  <si>
    <t>Interpretation</t>
  </si>
  <si>
    <t>Color</t>
  </si>
  <si>
    <t>&gt; 0.70</t>
  </si>
  <si>
    <t>0.40 – 0.70</t>
  </si>
  <si>
    <t>&lt; 0.40</t>
  </si>
  <si>
    <t>Strong impact</t>
  </si>
  <si>
    <t>Moderate impact</t>
  </si>
  <si>
    <t>Weak impact</t>
  </si>
  <si>
    <t>Normalized GF</t>
  </si>
  <si>
    <t>Normalized GA</t>
  </si>
  <si>
    <t>Normalized GD</t>
  </si>
  <si>
    <t>Normalized Wins</t>
  </si>
  <si>
    <t xml:space="preserve">Performance </t>
  </si>
  <si>
    <t>Model_rank</t>
  </si>
  <si>
    <t>Home Points</t>
  </si>
  <si>
    <t xml:space="preserve">Away Points </t>
  </si>
  <si>
    <t>Total Points</t>
  </si>
  <si>
    <t>% Home Dependence</t>
  </si>
  <si>
    <t>&gt; 65%</t>
  </si>
  <si>
    <t>Strong Home Dependence</t>
  </si>
  <si>
    <t>50% – 65%</t>
  </si>
  <si>
    <t>Balanced</t>
  </si>
  <si>
    <t>&lt; 50%</t>
  </si>
  <si>
    <t>Strong Away Performer</t>
  </si>
  <si>
    <t>Goals for</t>
  </si>
  <si>
    <t>Goals against</t>
  </si>
  <si>
    <t>Matches Played</t>
  </si>
  <si>
    <t>GoalS for</t>
  </si>
  <si>
    <t>GoalS against</t>
  </si>
  <si>
    <t>GoalS difference</t>
  </si>
  <si>
    <t>Goal Against</t>
  </si>
  <si>
    <t>HIGHEST POINTS</t>
  </si>
  <si>
    <t>LEAGUE WINNER</t>
  </si>
  <si>
    <t>MOST GOALS SCORED</t>
  </si>
  <si>
    <t>BEST DEFENCE</t>
  </si>
  <si>
    <t>HIGHEST PERFORMANCE SCORE</t>
  </si>
  <si>
    <t xml:space="preserve">League Rank </t>
  </si>
  <si>
    <t>Model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</si>
</sst>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0"/>
      <name val="Arial Black"/>
      <family val="2"/>
    </font>
    <font>
      <b/>
      <sz val="12"/>
      <color theme="0"/>
      <name val="Amasis MT Pro Black"/>
      <family val="1"/>
    </font>
    <font>
      <sz val="11"/>
      <color theme="0"/>
      <name val="Arial Black"/>
      <family val="2"/>
    </font>
    <font>
      <b/>
      <sz val="11"/>
      <color theme="1"/>
      <name val="Amasis MT Pro Black"/>
      <family val="1"/>
    </font>
    <font>
      <b/>
      <sz val="11"/>
      <color theme="1"/>
      <name val="Arial Rounded MT Bold"/>
      <family val="2"/>
    </font>
    <font>
      <b/>
      <sz val="13"/>
      <color theme="1"/>
      <name val="Calibri"/>
      <family val="2"/>
      <scheme val="minor"/>
    </font>
    <font>
      <sz val="13"/>
      <color theme="0"/>
      <name val="Arial Black"/>
      <family val="2"/>
    </font>
    <font>
      <sz val="15"/>
      <color theme="0"/>
      <name val="Arial Black"/>
      <family val="2"/>
    </font>
    <font>
      <sz val="18"/>
      <color theme="1"/>
      <name val="Franklin Gothic Heavy"/>
      <family val="2"/>
    </font>
    <font>
      <sz val="18"/>
      <color rgb="FFFF00FF"/>
      <name val="Segoe UI Black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193E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5">
    <xf numFmtId="0" fontId="0" fillId="0" borderId="0" xfId="0"/>
    <xf numFmtId="20" fontId="0" fillId="0" borderId="0" xfId="0" applyNumberFormat="1"/>
    <xf numFmtId="14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0" fontId="16" fillId="36" borderId="0" xfId="0" applyFont="1" applyFill="1" applyAlignment="1">
      <alignment horizontal="center" vertical="center"/>
    </xf>
    <xf numFmtId="0" fontId="22" fillId="36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35" borderId="0" xfId="0" applyFont="1" applyFill="1" applyAlignment="1">
      <alignment horizontal="center" vertical="center" wrapText="1"/>
    </xf>
    <xf numFmtId="0" fontId="16" fillId="36" borderId="13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36" borderId="15" xfId="0" applyFont="1" applyFill="1" applyBorder="1" applyAlignment="1">
      <alignment horizontal="center" vertical="center"/>
    </xf>
    <xf numFmtId="0" fontId="16" fillId="36" borderId="16" xfId="0" applyFont="1" applyFill="1" applyBorder="1" applyAlignment="1">
      <alignment horizontal="center" vertical="center"/>
    </xf>
    <xf numFmtId="0" fontId="16" fillId="33" borderId="14" xfId="0" applyFont="1" applyFill="1" applyBorder="1" applyAlignment="1">
      <alignment horizontal="center" vertical="center"/>
    </xf>
    <xf numFmtId="0" fontId="16" fillId="37" borderId="14" xfId="0" applyFont="1" applyFill="1" applyBorder="1" applyAlignment="1">
      <alignment horizontal="center" vertical="center"/>
    </xf>
    <xf numFmtId="0" fontId="16" fillId="34" borderId="17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 wrapText="1"/>
    </xf>
    <xf numFmtId="0" fontId="21" fillId="35" borderId="12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/>
    </xf>
    <xf numFmtId="0" fontId="23" fillId="36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4" fillId="36" borderId="14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5" fillId="35" borderId="10" xfId="0" applyFont="1" applyFill="1" applyBorder="1" applyAlignment="1">
      <alignment horizontal="center" vertical="center"/>
    </xf>
    <xf numFmtId="0" fontId="25" fillId="35" borderId="11" xfId="0" applyFont="1" applyFill="1" applyBorder="1" applyAlignment="1">
      <alignment horizontal="center" vertical="center"/>
    </xf>
    <xf numFmtId="0" fontId="25" fillId="35" borderId="12" xfId="0" applyFont="1" applyFill="1" applyBorder="1" applyAlignment="1">
      <alignment horizontal="center" vertical="center"/>
    </xf>
    <xf numFmtId="0" fontId="24" fillId="36" borderId="13" xfId="0" applyFont="1" applyFill="1" applyBorder="1" applyAlignment="1">
      <alignment horizontal="center" vertical="center"/>
    </xf>
    <xf numFmtId="0" fontId="24" fillId="36" borderId="0" xfId="0" applyFont="1" applyFill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1" fillId="35" borderId="12" xfId="0" applyFont="1" applyFill="1" applyBorder="1" applyAlignment="1">
      <alignment horizontal="center" vertical="center" wrapText="1"/>
    </xf>
    <xf numFmtId="2" fontId="16" fillId="36" borderId="13" xfId="0" applyNumberFormat="1" applyFont="1" applyFill="1" applyBorder="1" applyAlignment="1">
      <alignment horizontal="center" vertical="center"/>
    </xf>
    <xf numFmtId="2" fontId="16" fillId="36" borderId="0" xfId="0" applyNumberFormat="1" applyFont="1" applyFill="1" applyAlignment="1">
      <alignment horizontal="center" vertical="center"/>
    </xf>
    <xf numFmtId="2" fontId="16" fillId="36" borderId="14" xfId="0" applyNumberFormat="1" applyFont="1" applyFill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6" fillId="0" borderId="14" xfId="0" applyNumberFormat="1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0" fontId="0" fillId="36" borderId="13" xfId="0" applyFill="1" applyBorder="1" applyAlignment="1">
      <alignment vertical="center"/>
    </xf>
    <xf numFmtId="0" fontId="0" fillId="36" borderId="14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36" borderId="13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10" fontId="0" fillId="36" borderId="14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0" fontId="0" fillId="36" borderId="15" xfId="0" applyFill="1" applyBorder="1" applyAlignment="1">
      <alignment vertical="center"/>
    </xf>
    <xf numFmtId="0" fontId="0" fillId="36" borderId="17" xfId="0" applyFill="1" applyBorder="1" applyAlignment="1">
      <alignment vertical="center"/>
    </xf>
    <xf numFmtId="0" fontId="21" fillId="35" borderId="10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 wrapText="1"/>
    </xf>
    <xf numFmtId="0" fontId="21" fillId="35" borderId="12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2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 vertical="center" wrapText="1"/>
    </xf>
    <xf numFmtId="0" fontId="0" fillId="40" borderId="0" xfId="0" applyFill="1"/>
    <xf numFmtId="0" fontId="16" fillId="36" borderId="13" xfId="0" applyFont="1" applyFill="1" applyBorder="1"/>
    <xf numFmtId="0" fontId="16" fillId="36" borderId="0" xfId="0" applyFont="1" applyFill="1"/>
    <xf numFmtId="0" fontId="16" fillId="36" borderId="14" xfId="0" applyFont="1" applyFill="1" applyBorder="1"/>
    <xf numFmtId="0" fontId="16" fillId="0" borderId="13" xfId="0" applyFont="1" applyBorder="1"/>
    <xf numFmtId="0" fontId="16" fillId="0" borderId="0" xfId="0" applyFont="1"/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26" fillId="39" borderId="0" xfId="0" applyFont="1" applyFill="1" applyAlignment="1">
      <alignment horizontal="center" vertical="center"/>
    </xf>
    <xf numFmtId="0" fontId="27" fillId="38" borderId="0" xfId="0" applyFont="1" applyFill="1" applyAlignment="1">
      <alignment horizontal="center" vertical="center"/>
    </xf>
    <xf numFmtId="0" fontId="28" fillId="38" borderId="0" xfId="0" applyFont="1" applyFill="1" applyAlignment="1">
      <alignment horizontal="center"/>
    </xf>
    <xf numFmtId="0" fontId="27" fillId="38" borderId="0" xfId="0" applyFont="1" applyFill="1" applyAlignment="1">
      <alignment horizontal="center"/>
    </xf>
    <xf numFmtId="0" fontId="26" fillId="39" borderId="0" xfId="0" applyFont="1" applyFill="1" applyAlignment="1">
      <alignment horizontal="center" vertical="center" wrapText="1"/>
    </xf>
    <xf numFmtId="2" fontId="28" fillId="38" borderId="0" xfId="0" applyNumberFormat="1" applyFont="1" applyFill="1" applyAlignment="1">
      <alignment horizontal="center"/>
    </xf>
    <xf numFmtId="0" fontId="0" fillId="40" borderId="0" xfId="0" applyFill="1" applyAlignment="1">
      <alignment horizontal="center"/>
    </xf>
    <xf numFmtId="0" fontId="0" fillId="40" borderId="14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0066"/>
        </patternFill>
      </fill>
    </dxf>
    <dxf>
      <fill>
        <patternFill>
          <bgColor rgb="FF00B050"/>
        </patternFill>
      </fill>
    </dxf>
    <dxf>
      <fill>
        <patternFill>
          <bgColor rgb="FF99FF66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BF00"/>
        </patternFill>
      </fill>
    </dxf>
    <dxf>
      <fill>
        <patternFill>
          <bgColor rgb="FFC00000"/>
        </patternFill>
      </fill>
    </dxf>
    <dxf>
      <font>
        <b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masis MT Pro Black"/>
        <family val="1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</font>
      <numFmt numFmtId="19" formatCode="m/d/yyyy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numFmt numFmtId="25" formatCode="h:mm"/>
    </dxf>
  </dxfs>
  <tableStyles count="0" defaultTableStyle="TableStyleMedium2" defaultPivotStyle="PivotStyleLight16"/>
  <colors>
    <mruColors>
      <color rgb="FFF193E4"/>
      <color rgb="FF92E7F2"/>
      <color rgb="FFFF00FF"/>
      <color rgb="FFFF0066"/>
      <color rgb="FF99FF66"/>
      <color rgb="FF01F56F"/>
      <color rgb="FFFF5050"/>
      <color rgb="FFA0C0E0"/>
      <color rgb="FFFF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Team-wise Points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Metric_Impact_Analysis!$B$4</c:f>
              <c:strCache>
                <c:ptCount val="1"/>
                <c:pt idx="0">
                  <c:v>Points</c:v>
                </c:pt>
              </c:strCache>
            </c:strRef>
          </c:tx>
          <c:spPr>
            <a:solidFill>
              <a:srgbClr val="92E7F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Metric_Impact_Analysis!$A$5:$A$24</c:f>
              <c:strCache>
                <c:ptCount val="20"/>
                <c:pt idx="0">
                  <c:v>Man United</c:v>
                </c:pt>
                <c:pt idx="1">
                  <c:v>Ipswich</c:v>
                </c:pt>
                <c:pt idx="2">
                  <c:v>Arsenal</c:v>
                </c:pt>
                <c:pt idx="3">
                  <c:v>Everton</c:v>
                </c:pt>
                <c:pt idx="4">
                  <c:v>Newcastle</c:v>
                </c:pt>
                <c:pt idx="5">
                  <c:v>Nott'm Forest</c:v>
                </c:pt>
                <c:pt idx="6">
                  <c:v>West Ham</c:v>
                </c:pt>
                <c:pt idx="7">
                  <c:v>Brentford</c:v>
                </c:pt>
                <c:pt idx="8">
                  <c:v>Chelsea</c:v>
                </c:pt>
                <c:pt idx="9">
                  <c:v>Leicester</c:v>
                </c:pt>
                <c:pt idx="10">
                  <c:v>Brighton</c:v>
                </c:pt>
                <c:pt idx="11">
                  <c:v>Crystal Palace</c:v>
                </c:pt>
                <c:pt idx="12">
                  <c:v>Fulham</c:v>
                </c:pt>
                <c:pt idx="13">
                  <c:v>Man City</c:v>
                </c:pt>
                <c:pt idx="14">
                  <c:v>Southampton</c:v>
                </c:pt>
                <c:pt idx="15">
                  <c:v>Tottenham</c:v>
                </c:pt>
                <c:pt idx="16">
                  <c:v>Aston Villa</c:v>
                </c:pt>
                <c:pt idx="17">
                  <c:v>Bournemouth</c:v>
                </c:pt>
                <c:pt idx="18">
                  <c:v>Wolves</c:v>
                </c:pt>
                <c:pt idx="19">
                  <c:v>Liverpool</c:v>
                </c:pt>
              </c:strCache>
            </c:strRef>
          </c:cat>
          <c:val>
            <c:numRef>
              <c:f>Metric_Impact_Analysis!$B$5:$B$24</c:f>
              <c:numCache>
                <c:formatCode>General</c:formatCode>
                <c:ptCount val="20"/>
                <c:pt idx="0">
                  <c:v>42</c:v>
                </c:pt>
                <c:pt idx="1">
                  <c:v>22</c:v>
                </c:pt>
                <c:pt idx="2">
                  <c:v>74</c:v>
                </c:pt>
                <c:pt idx="3">
                  <c:v>48</c:v>
                </c:pt>
                <c:pt idx="4">
                  <c:v>66</c:v>
                </c:pt>
                <c:pt idx="5">
                  <c:v>65</c:v>
                </c:pt>
                <c:pt idx="6">
                  <c:v>43</c:v>
                </c:pt>
                <c:pt idx="7">
                  <c:v>56</c:v>
                </c:pt>
                <c:pt idx="8">
                  <c:v>69</c:v>
                </c:pt>
                <c:pt idx="9">
                  <c:v>25</c:v>
                </c:pt>
                <c:pt idx="10">
                  <c:v>61</c:v>
                </c:pt>
                <c:pt idx="11">
                  <c:v>53</c:v>
                </c:pt>
                <c:pt idx="12">
                  <c:v>54</c:v>
                </c:pt>
                <c:pt idx="13">
                  <c:v>71</c:v>
                </c:pt>
                <c:pt idx="14">
                  <c:v>12</c:v>
                </c:pt>
                <c:pt idx="15">
                  <c:v>38</c:v>
                </c:pt>
                <c:pt idx="16">
                  <c:v>66</c:v>
                </c:pt>
                <c:pt idx="17">
                  <c:v>56</c:v>
                </c:pt>
                <c:pt idx="18">
                  <c:v>42</c:v>
                </c:pt>
                <c:pt idx="1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C-41D8-9C65-B6A8AA3EDA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71770224"/>
        <c:axId val="2071771184"/>
      </c:barChart>
      <c:catAx>
        <c:axId val="207177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71184"/>
        <c:crosses val="autoZero"/>
        <c:auto val="1"/>
        <c:lblAlgn val="ctr"/>
        <c:lblOffset val="100"/>
        <c:noMultiLvlLbl val="0"/>
      </c:catAx>
      <c:valAx>
        <c:axId val="207177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7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Attacking vs Defensive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Metric_Impact_Analysis!$D$4</c:f>
              <c:strCache>
                <c:ptCount val="1"/>
                <c:pt idx="0">
                  <c:v>Goal_for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Metric_Impact_Analysis!$A$5:$A$24</c:f>
              <c:strCache>
                <c:ptCount val="20"/>
                <c:pt idx="0">
                  <c:v>Man United</c:v>
                </c:pt>
                <c:pt idx="1">
                  <c:v>Ipswich</c:v>
                </c:pt>
                <c:pt idx="2">
                  <c:v>Arsenal</c:v>
                </c:pt>
                <c:pt idx="3">
                  <c:v>Everton</c:v>
                </c:pt>
                <c:pt idx="4">
                  <c:v>Newcastle</c:v>
                </c:pt>
                <c:pt idx="5">
                  <c:v>Nott'm Forest</c:v>
                </c:pt>
                <c:pt idx="6">
                  <c:v>West Ham</c:v>
                </c:pt>
                <c:pt idx="7">
                  <c:v>Brentford</c:v>
                </c:pt>
                <c:pt idx="8">
                  <c:v>Chelsea</c:v>
                </c:pt>
                <c:pt idx="9">
                  <c:v>Leicester</c:v>
                </c:pt>
                <c:pt idx="10">
                  <c:v>Brighton</c:v>
                </c:pt>
                <c:pt idx="11">
                  <c:v>Crystal Palace</c:v>
                </c:pt>
                <c:pt idx="12">
                  <c:v>Fulham</c:v>
                </c:pt>
                <c:pt idx="13">
                  <c:v>Man City</c:v>
                </c:pt>
                <c:pt idx="14">
                  <c:v>Southampton</c:v>
                </c:pt>
                <c:pt idx="15">
                  <c:v>Tottenham</c:v>
                </c:pt>
                <c:pt idx="16">
                  <c:v>Aston Villa</c:v>
                </c:pt>
                <c:pt idx="17">
                  <c:v>Bournemouth</c:v>
                </c:pt>
                <c:pt idx="18">
                  <c:v>Wolves</c:v>
                </c:pt>
                <c:pt idx="19">
                  <c:v>Liverpool</c:v>
                </c:pt>
              </c:strCache>
            </c:strRef>
          </c:xVal>
          <c:yVal>
            <c:numRef>
              <c:f>Metric_Impact_Analysis!$D$5:$D$24</c:f>
              <c:numCache>
                <c:formatCode>General</c:formatCode>
                <c:ptCount val="20"/>
                <c:pt idx="0">
                  <c:v>44</c:v>
                </c:pt>
                <c:pt idx="1">
                  <c:v>36</c:v>
                </c:pt>
                <c:pt idx="2">
                  <c:v>69</c:v>
                </c:pt>
                <c:pt idx="3">
                  <c:v>42</c:v>
                </c:pt>
                <c:pt idx="4">
                  <c:v>68</c:v>
                </c:pt>
                <c:pt idx="5">
                  <c:v>58</c:v>
                </c:pt>
                <c:pt idx="6">
                  <c:v>46</c:v>
                </c:pt>
                <c:pt idx="7">
                  <c:v>66</c:v>
                </c:pt>
                <c:pt idx="8">
                  <c:v>64</c:v>
                </c:pt>
                <c:pt idx="9">
                  <c:v>33</c:v>
                </c:pt>
                <c:pt idx="10">
                  <c:v>66</c:v>
                </c:pt>
                <c:pt idx="11">
                  <c:v>51</c:v>
                </c:pt>
                <c:pt idx="12">
                  <c:v>54</c:v>
                </c:pt>
                <c:pt idx="13">
                  <c:v>72</c:v>
                </c:pt>
                <c:pt idx="14">
                  <c:v>26</c:v>
                </c:pt>
                <c:pt idx="15">
                  <c:v>64</c:v>
                </c:pt>
                <c:pt idx="16">
                  <c:v>58</c:v>
                </c:pt>
                <c:pt idx="17">
                  <c:v>58</c:v>
                </c:pt>
                <c:pt idx="18">
                  <c:v>54</c:v>
                </c:pt>
                <c:pt idx="19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D-4EDE-A99C-70683795D8E5}"/>
            </c:ext>
          </c:extLst>
        </c:ser>
        <c:ser>
          <c:idx val="1"/>
          <c:order val="1"/>
          <c:tx>
            <c:strRef>
              <c:f>Metric_Impact_Analysis!$E$4</c:f>
              <c:strCache>
                <c:ptCount val="1"/>
                <c:pt idx="0">
                  <c:v>Goal Against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Metric_Impact_Analysis!$A$5:$A$24</c:f>
              <c:strCache>
                <c:ptCount val="20"/>
                <c:pt idx="0">
                  <c:v>Man United</c:v>
                </c:pt>
                <c:pt idx="1">
                  <c:v>Ipswich</c:v>
                </c:pt>
                <c:pt idx="2">
                  <c:v>Arsenal</c:v>
                </c:pt>
                <c:pt idx="3">
                  <c:v>Everton</c:v>
                </c:pt>
                <c:pt idx="4">
                  <c:v>Newcastle</c:v>
                </c:pt>
                <c:pt idx="5">
                  <c:v>Nott'm Forest</c:v>
                </c:pt>
                <c:pt idx="6">
                  <c:v>West Ham</c:v>
                </c:pt>
                <c:pt idx="7">
                  <c:v>Brentford</c:v>
                </c:pt>
                <c:pt idx="8">
                  <c:v>Chelsea</c:v>
                </c:pt>
                <c:pt idx="9">
                  <c:v>Leicester</c:v>
                </c:pt>
                <c:pt idx="10">
                  <c:v>Brighton</c:v>
                </c:pt>
                <c:pt idx="11">
                  <c:v>Crystal Palace</c:v>
                </c:pt>
                <c:pt idx="12">
                  <c:v>Fulham</c:v>
                </c:pt>
                <c:pt idx="13">
                  <c:v>Man City</c:v>
                </c:pt>
                <c:pt idx="14">
                  <c:v>Southampton</c:v>
                </c:pt>
                <c:pt idx="15">
                  <c:v>Tottenham</c:v>
                </c:pt>
                <c:pt idx="16">
                  <c:v>Aston Villa</c:v>
                </c:pt>
                <c:pt idx="17">
                  <c:v>Bournemouth</c:v>
                </c:pt>
                <c:pt idx="18">
                  <c:v>Wolves</c:v>
                </c:pt>
                <c:pt idx="19">
                  <c:v>Liverpool</c:v>
                </c:pt>
              </c:strCache>
            </c:strRef>
          </c:xVal>
          <c:yVal>
            <c:numRef>
              <c:f>Metric_Impact_Analysis!$E$5:$E$24</c:f>
              <c:numCache>
                <c:formatCode>General</c:formatCode>
                <c:ptCount val="20"/>
                <c:pt idx="0">
                  <c:v>54</c:v>
                </c:pt>
                <c:pt idx="1">
                  <c:v>82</c:v>
                </c:pt>
                <c:pt idx="2">
                  <c:v>34</c:v>
                </c:pt>
                <c:pt idx="3">
                  <c:v>44</c:v>
                </c:pt>
                <c:pt idx="4">
                  <c:v>47</c:v>
                </c:pt>
                <c:pt idx="5">
                  <c:v>46</c:v>
                </c:pt>
                <c:pt idx="6">
                  <c:v>62</c:v>
                </c:pt>
                <c:pt idx="7">
                  <c:v>57</c:v>
                </c:pt>
                <c:pt idx="8">
                  <c:v>43</c:v>
                </c:pt>
                <c:pt idx="9">
                  <c:v>80</c:v>
                </c:pt>
                <c:pt idx="10">
                  <c:v>59</c:v>
                </c:pt>
                <c:pt idx="11">
                  <c:v>51</c:v>
                </c:pt>
                <c:pt idx="12">
                  <c:v>54</c:v>
                </c:pt>
                <c:pt idx="13">
                  <c:v>44</c:v>
                </c:pt>
                <c:pt idx="14">
                  <c:v>86</c:v>
                </c:pt>
                <c:pt idx="15">
                  <c:v>65</c:v>
                </c:pt>
                <c:pt idx="16">
                  <c:v>51</c:v>
                </c:pt>
                <c:pt idx="17">
                  <c:v>46</c:v>
                </c:pt>
                <c:pt idx="18">
                  <c:v>69</c:v>
                </c:pt>
                <c:pt idx="19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BD-4EDE-A99C-70683795D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774512"/>
        <c:axId val="755775472"/>
      </c:scatterChart>
      <c:valAx>
        <c:axId val="7557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775472"/>
        <c:crosses val="autoZero"/>
        <c:crossBetween val="midCat"/>
      </c:valAx>
      <c:valAx>
        <c:axId val="75577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77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Rank vs Model Rank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DASHBOARD!$W$9</c:f>
              <c:strCache>
                <c:ptCount val="1"/>
                <c:pt idx="0">
                  <c:v>League Rank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DASHBOARD!$V$10:$V$29</c:f>
              <c:strCache>
                <c:ptCount val="20"/>
                <c:pt idx="0">
                  <c:v>Man United</c:v>
                </c:pt>
                <c:pt idx="1">
                  <c:v>Ipswich</c:v>
                </c:pt>
                <c:pt idx="2">
                  <c:v>Arsenal</c:v>
                </c:pt>
                <c:pt idx="3">
                  <c:v>Everton</c:v>
                </c:pt>
                <c:pt idx="4">
                  <c:v>Newcastle</c:v>
                </c:pt>
                <c:pt idx="5">
                  <c:v>Nott'm Forest</c:v>
                </c:pt>
                <c:pt idx="6">
                  <c:v>West Ham</c:v>
                </c:pt>
                <c:pt idx="7">
                  <c:v>Brentford</c:v>
                </c:pt>
                <c:pt idx="8">
                  <c:v>Chelsea</c:v>
                </c:pt>
                <c:pt idx="9">
                  <c:v>Leicester</c:v>
                </c:pt>
                <c:pt idx="10">
                  <c:v>Brighton</c:v>
                </c:pt>
                <c:pt idx="11">
                  <c:v>Crystal Palace</c:v>
                </c:pt>
                <c:pt idx="12">
                  <c:v>Fulham</c:v>
                </c:pt>
                <c:pt idx="13">
                  <c:v>Man City</c:v>
                </c:pt>
                <c:pt idx="14">
                  <c:v>Southampton</c:v>
                </c:pt>
                <c:pt idx="15">
                  <c:v>Tottenham</c:v>
                </c:pt>
                <c:pt idx="16">
                  <c:v>Aston Villa</c:v>
                </c:pt>
                <c:pt idx="17">
                  <c:v>Bournemouth</c:v>
                </c:pt>
                <c:pt idx="18">
                  <c:v>Wolves</c:v>
                </c:pt>
                <c:pt idx="19">
                  <c:v>Liverpool</c:v>
                </c:pt>
              </c:strCache>
            </c:strRef>
          </c:cat>
          <c:val>
            <c:numRef>
              <c:f>DASHBOARD!$W$10:$W$29</c:f>
              <c:numCache>
                <c:formatCode>General</c:formatCode>
                <c:ptCount val="20"/>
                <c:pt idx="0">
                  <c:v>15</c:v>
                </c:pt>
                <c:pt idx="1">
                  <c:v>19</c:v>
                </c:pt>
                <c:pt idx="2">
                  <c:v>2</c:v>
                </c:pt>
                <c:pt idx="3">
                  <c:v>13</c:v>
                </c:pt>
                <c:pt idx="4">
                  <c:v>5</c:v>
                </c:pt>
                <c:pt idx="5">
                  <c:v>7</c:v>
                </c:pt>
                <c:pt idx="6">
                  <c:v>14</c:v>
                </c:pt>
                <c:pt idx="7">
                  <c:v>9</c:v>
                </c:pt>
                <c:pt idx="8">
                  <c:v>4</c:v>
                </c:pt>
                <c:pt idx="9">
                  <c:v>18</c:v>
                </c:pt>
                <c:pt idx="10">
                  <c:v>8</c:v>
                </c:pt>
                <c:pt idx="11">
                  <c:v>12</c:v>
                </c:pt>
                <c:pt idx="12">
                  <c:v>11</c:v>
                </c:pt>
                <c:pt idx="13">
                  <c:v>3</c:v>
                </c:pt>
                <c:pt idx="14">
                  <c:v>20</c:v>
                </c:pt>
                <c:pt idx="15">
                  <c:v>17</c:v>
                </c:pt>
                <c:pt idx="16">
                  <c:v>5</c:v>
                </c:pt>
                <c:pt idx="17">
                  <c:v>9</c:v>
                </c:pt>
                <c:pt idx="18">
                  <c:v>15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7-4CD5-A52D-0B8DDDC891FB}"/>
            </c:ext>
          </c:extLst>
        </c:ser>
        <c:ser>
          <c:idx val="1"/>
          <c:order val="1"/>
          <c:tx>
            <c:strRef>
              <c:f>DASHBOARD!$X$9</c:f>
              <c:strCache>
                <c:ptCount val="1"/>
                <c:pt idx="0">
                  <c:v>Model Rank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DASHBOARD!$V$10:$V$29</c:f>
              <c:strCache>
                <c:ptCount val="20"/>
                <c:pt idx="0">
                  <c:v>Man United</c:v>
                </c:pt>
                <c:pt idx="1">
                  <c:v>Ipswich</c:v>
                </c:pt>
                <c:pt idx="2">
                  <c:v>Arsenal</c:v>
                </c:pt>
                <c:pt idx="3">
                  <c:v>Everton</c:v>
                </c:pt>
                <c:pt idx="4">
                  <c:v>Newcastle</c:v>
                </c:pt>
                <c:pt idx="5">
                  <c:v>Nott'm Forest</c:v>
                </c:pt>
                <c:pt idx="6">
                  <c:v>West Ham</c:v>
                </c:pt>
                <c:pt idx="7">
                  <c:v>Brentford</c:v>
                </c:pt>
                <c:pt idx="8">
                  <c:v>Chelsea</c:v>
                </c:pt>
                <c:pt idx="9">
                  <c:v>Leicester</c:v>
                </c:pt>
                <c:pt idx="10">
                  <c:v>Brighton</c:v>
                </c:pt>
                <c:pt idx="11">
                  <c:v>Crystal Palace</c:v>
                </c:pt>
                <c:pt idx="12">
                  <c:v>Fulham</c:v>
                </c:pt>
                <c:pt idx="13">
                  <c:v>Man City</c:v>
                </c:pt>
                <c:pt idx="14">
                  <c:v>Southampton</c:v>
                </c:pt>
                <c:pt idx="15">
                  <c:v>Tottenham</c:v>
                </c:pt>
                <c:pt idx="16">
                  <c:v>Aston Villa</c:v>
                </c:pt>
                <c:pt idx="17">
                  <c:v>Bournemouth</c:v>
                </c:pt>
                <c:pt idx="18">
                  <c:v>Wolves</c:v>
                </c:pt>
                <c:pt idx="19">
                  <c:v>Liverpool</c:v>
                </c:pt>
              </c:strCache>
            </c:strRef>
          </c:cat>
          <c:val>
            <c:numRef>
              <c:f>DASHBOARD!$X$10:$X$29</c:f>
              <c:numCache>
                <c:formatCode>General</c:formatCode>
                <c:ptCount val="20"/>
                <c:pt idx="0">
                  <c:v>15</c:v>
                </c:pt>
                <c:pt idx="1">
                  <c:v>19</c:v>
                </c:pt>
                <c:pt idx="2">
                  <c:v>2</c:v>
                </c:pt>
                <c:pt idx="3">
                  <c:v>14</c:v>
                </c:pt>
                <c:pt idx="4">
                  <c:v>4</c:v>
                </c:pt>
                <c:pt idx="5">
                  <c:v>6</c:v>
                </c:pt>
                <c:pt idx="6">
                  <c:v>17</c:v>
                </c:pt>
                <c:pt idx="7">
                  <c:v>8</c:v>
                </c:pt>
                <c:pt idx="8">
                  <c:v>5</c:v>
                </c:pt>
                <c:pt idx="9">
                  <c:v>18</c:v>
                </c:pt>
                <c:pt idx="10">
                  <c:v>10</c:v>
                </c:pt>
                <c:pt idx="11">
                  <c:v>12</c:v>
                </c:pt>
                <c:pt idx="12">
                  <c:v>11</c:v>
                </c:pt>
                <c:pt idx="13">
                  <c:v>3</c:v>
                </c:pt>
                <c:pt idx="14">
                  <c:v>20</c:v>
                </c:pt>
                <c:pt idx="15">
                  <c:v>13</c:v>
                </c:pt>
                <c:pt idx="16">
                  <c:v>7</c:v>
                </c:pt>
                <c:pt idx="17">
                  <c:v>9</c:v>
                </c:pt>
                <c:pt idx="18">
                  <c:v>16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17-4CD5-A52D-0B8DDDC89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7241920"/>
        <c:axId val="2077243360"/>
        <c:axId val="0"/>
      </c:bar3DChart>
      <c:catAx>
        <c:axId val="207724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43360"/>
        <c:crosses val="autoZero"/>
        <c:auto val="1"/>
        <c:lblAlgn val="ctr"/>
        <c:lblOffset val="100"/>
        <c:noMultiLvlLbl val="0"/>
      </c:catAx>
      <c:valAx>
        <c:axId val="207724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4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dk1">
            <a:lumMod val="110000"/>
            <a:satMod val="105000"/>
            <a:tint val="67000"/>
          </a:schemeClr>
        </a:gs>
        <a:gs pos="50000">
          <a:schemeClr val="dk1">
            <a:lumMod val="105000"/>
            <a:satMod val="103000"/>
            <a:tint val="73000"/>
          </a:schemeClr>
        </a:gs>
        <a:gs pos="100000">
          <a:schemeClr val="dk1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dk1"/>
      </a:solidFill>
      <a:prstDash val="solid"/>
      <a:miter lim="800000"/>
    </a:ln>
    <a:effectLst/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Overall Team Performance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sports_analytics_01!$M$9</c:f>
              <c:strCache>
                <c:ptCount val="1"/>
                <c:pt idx="0">
                  <c:v>Performance 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sports_analytics_01!$L$10:$L$29</c:f>
              <c:strCache>
                <c:ptCount val="20"/>
                <c:pt idx="0">
                  <c:v>Man United</c:v>
                </c:pt>
                <c:pt idx="1">
                  <c:v>Ipswich</c:v>
                </c:pt>
                <c:pt idx="2">
                  <c:v>Arsenal</c:v>
                </c:pt>
                <c:pt idx="3">
                  <c:v>Everton</c:v>
                </c:pt>
                <c:pt idx="4">
                  <c:v>Newcastle</c:v>
                </c:pt>
                <c:pt idx="5">
                  <c:v>Nott'm Forest</c:v>
                </c:pt>
                <c:pt idx="6">
                  <c:v>West Ham</c:v>
                </c:pt>
                <c:pt idx="7">
                  <c:v>Brentford</c:v>
                </c:pt>
                <c:pt idx="8">
                  <c:v>Chelsea</c:v>
                </c:pt>
                <c:pt idx="9">
                  <c:v>Leicester</c:v>
                </c:pt>
                <c:pt idx="10">
                  <c:v>Brighton</c:v>
                </c:pt>
                <c:pt idx="11">
                  <c:v>Crystal Palace</c:v>
                </c:pt>
                <c:pt idx="12">
                  <c:v>Fulham</c:v>
                </c:pt>
                <c:pt idx="13">
                  <c:v>Man City</c:v>
                </c:pt>
                <c:pt idx="14">
                  <c:v>Southampton</c:v>
                </c:pt>
                <c:pt idx="15">
                  <c:v>Tottenham</c:v>
                </c:pt>
                <c:pt idx="16">
                  <c:v>Aston Villa</c:v>
                </c:pt>
                <c:pt idx="17">
                  <c:v>Bournemouth</c:v>
                </c:pt>
                <c:pt idx="18">
                  <c:v>Wolves</c:v>
                </c:pt>
                <c:pt idx="19">
                  <c:v>Liverpool</c:v>
                </c:pt>
              </c:strCache>
            </c:strRef>
          </c:cat>
          <c:val>
            <c:numRef>
              <c:f>sports_analytics_01!$M$10:$M$29</c:f>
              <c:numCache>
                <c:formatCode>0.00</c:formatCode>
                <c:ptCount val="20"/>
                <c:pt idx="0">
                  <c:v>0.42940595636247808</c:v>
                </c:pt>
                <c:pt idx="1">
                  <c:v>0.12044593088071348</c:v>
                </c:pt>
                <c:pt idx="2">
                  <c:v>0.84002070393374739</c:v>
                </c:pt>
                <c:pt idx="3">
                  <c:v>0.47244624940277119</c:v>
                </c:pt>
                <c:pt idx="4">
                  <c:v>0.75835403726708073</c:v>
                </c:pt>
                <c:pt idx="5">
                  <c:v>0.67961458831024046</c:v>
                </c:pt>
                <c:pt idx="6">
                  <c:v>0.39783086478738655</c:v>
                </c:pt>
                <c:pt idx="7">
                  <c:v>0.63456840261188086</c:v>
                </c:pt>
                <c:pt idx="8">
                  <c:v>0.7527130116260552</c:v>
                </c:pt>
                <c:pt idx="9">
                  <c:v>0.13656951743908269</c:v>
                </c:pt>
                <c:pt idx="10">
                  <c:v>0.62310320114667939</c:v>
                </c:pt>
                <c:pt idx="11">
                  <c:v>0.52269071508201947</c:v>
                </c:pt>
                <c:pt idx="12">
                  <c:v>0.55300844083452771</c:v>
                </c:pt>
                <c:pt idx="13">
                  <c:v>0.81716674629718111</c:v>
                </c:pt>
                <c:pt idx="14">
                  <c:v>0</c:v>
                </c:pt>
                <c:pt idx="15">
                  <c:v>0.50920449116101285</c:v>
                </c:pt>
                <c:pt idx="16">
                  <c:v>0.65095158464723679</c:v>
                </c:pt>
                <c:pt idx="17">
                  <c:v>0.62744067526676228</c:v>
                </c:pt>
                <c:pt idx="18">
                  <c:v>0.42788899506290806</c:v>
                </c:pt>
                <c:pt idx="19">
                  <c:v>0.98653846153846148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8-4176-A42C-D0628307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9188608"/>
        <c:axId val="2074012032"/>
        <c:axId val="0"/>
      </c:bar3DChart>
      <c:catAx>
        <c:axId val="187918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074012032"/>
        <c:crosses val="autoZero"/>
        <c:auto val="1"/>
        <c:lblAlgn val="ctr"/>
        <c:lblOffset val="100"/>
        <c:noMultiLvlLbl val="0"/>
      </c:catAx>
      <c:valAx>
        <c:axId val="207401203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8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Home vs Away Points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Home_Away_Analysis!$B$4</c:f>
              <c:strCache>
                <c:ptCount val="1"/>
                <c:pt idx="0">
                  <c:v>Home Points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Home_Away_Analysis!$A$5:$A$24</c:f>
              <c:strCache>
                <c:ptCount val="20"/>
                <c:pt idx="0">
                  <c:v>Man United</c:v>
                </c:pt>
                <c:pt idx="1">
                  <c:v>Ipswich</c:v>
                </c:pt>
                <c:pt idx="2">
                  <c:v>Arsenal</c:v>
                </c:pt>
                <c:pt idx="3">
                  <c:v>Everton</c:v>
                </c:pt>
                <c:pt idx="4">
                  <c:v>Newcastle</c:v>
                </c:pt>
                <c:pt idx="5">
                  <c:v>Nott'm Forest</c:v>
                </c:pt>
                <c:pt idx="6">
                  <c:v>West Ham</c:v>
                </c:pt>
                <c:pt idx="7">
                  <c:v>Brentford</c:v>
                </c:pt>
                <c:pt idx="8">
                  <c:v>Chelsea</c:v>
                </c:pt>
                <c:pt idx="9">
                  <c:v>Leicester</c:v>
                </c:pt>
                <c:pt idx="10">
                  <c:v>Brighton</c:v>
                </c:pt>
                <c:pt idx="11">
                  <c:v>Crystal Palace</c:v>
                </c:pt>
                <c:pt idx="12">
                  <c:v>Fulham</c:v>
                </c:pt>
                <c:pt idx="13">
                  <c:v>Man City</c:v>
                </c:pt>
                <c:pt idx="14">
                  <c:v>Southampton</c:v>
                </c:pt>
                <c:pt idx="15">
                  <c:v>Tottenham</c:v>
                </c:pt>
                <c:pt idx="16">
                  <c:v>Aston Villa</c:v>
                </c:pt>
                <c:pt idx="17">
                  <c:v>Bournemouth</c:v>
                </c:pt>
                <c:pt idx="18">
                  <c:v>Wolves</c:v>
                </c:pt>
                <c:pt idx="19">
                  <c:v>Liverpool</c:v>
                </c:pt>
              </c:strCache>
            </c:strRef>
          </c:cat>
          <c:val>
            <c:numRef>
              <c:f>Home_Away_Analysis!$B$5:$B$24</c:f>
              <c:numCache>
                <c:formatCode>General</c:formatCode>
                <c:ptCount val="20"/>
                <c:pt idx="0">
                  <c:v>24</c:v>
                </c:pt>
                <c:pt idx="1">
                  <c:v>7</c:v>
                </c:pt>
                <c:pt idx="2">
                  <c:v>39</c:v>
                </c:pt>
                <c:pt idx="3">
                  <c:v>24</c:v>
                </c:pt>
                <c:pt idx="4">
                  <c:v>38</c:v>
                </c:pt>
                <c:pt idx="5">
                  <c:v>32</c:v>
                </c:pt>
                <c:pt idx="6">
                  <c:v>20</c:v>
                </c:pt>
                <c:pt idx="7">
                  <c:v>31</c:v>
                </c:pt>
                <c:pt idx="8">
                  <c:v>41</c:v>
                </c:pt>
                <c:pt idx="9">
                  <c:v>15</c:v>
                </c:pt>
                <c:pt idx="10">
                  <c:v>32</c:v>
                </c:pt>
                <c:pt idx="11">
                  <c:v>25</c:v>
                </c:pt>
                <c:pt idx="12">
                  <c:v>26</c:v>
                </c:pt>
                <c:pt idx="13">
                  <c:v>42</c:v>
                </c:pt>
                <c:pt idx="14">
                  <c:v>6</c:v>
                </c:pt>
                <c:pt idx="15">
                  <c:v>21</c:v>
                </c:pt>
                <c:pt idx="16">
                  <c:v>40</c:v>
                </c:pt>
                <c:pt idx="17">
                  <c:v>28</c:v>
                </c:pt>
                <c:pt idx="18">
                  <c:v>21</c:v>
                </c:pt>
                <c:pt idx="1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2-4A29-A43C-4248A1E25884}"/>
            </c:ext>
          </c:extLst>
        </c:ser>
        <c:ser>
          <c:idx val="1"/>
          <c:order val="1"/>
          <c:tx>
            <c:strRef>
              <c:f>Home_Away_Analysis!$C$4</c:f>
              <c:strCache>
                <c:ptCount val="1"/>
                <c:pt idx="0">
                  <c:v>Away Points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Home_Away_Analysis!$A$5:$A$24</c:f>
              <c:strCache>
                <c:ptCount val="20"/>
                <c:pt idx="0">
                  <c:v>Man United</c:v>
                </c:pt>
                <c:pt idx="1">
                  <c:v>Ipswich</c:v>
                </c:pt>
                <c:pt idx="2">
                  <c:v>Arsenal</c:v>
                </c:pt>
                <c:pt idx="3">
                  <c:v>Everton</c:v>
                </c:pt>
                <c:pt idx="4">
                  <c:v>Newcastle</c:v>
                </c:pt>
                <c:pt idx="5">
                  <c:v>Nott'm Forest</c:v>
                </c:pt>
                <c:pt idx="6">
                  <c:v>West Ham</c:v>
                </c:pt>
                <c:pt idx="7">
                  <c:v>Brentford</c:v>
                </c:pt>
                <c:pt idx="8">
                  <c:v>Chelsea</c:v>
                </c:pt>
                <c:pt idx="9">
                  <c:v>Leicester</c:v>
                </c:pt>
                <c:pt idx="10">
                  <c:v>Brighton</c:v>
                </c:pt>
                <c:pt idx="11">
                  <c:v>Crystal Palace</c:v>
                </c:pt>
                <c:pt idx="12">
                  <c:v>Fulham</c:v>
                </c:pt>
                <c:pt idx="13">
                  <c:v>Man City</c:v>
                </c:pt>
                <c:pt idx="14">
                  <c:v>Southampton</c:v>
                </c:pt>
                <c:pt idx="15">
                  <c:v>Tottenham</c:v>
                </c:pt>
                <c:pt idx="16">
                  <c:v>Aston Villa</c:v>
                </c:pt>
                <c:pt idx="17">
                  <c:v>Bournemouth</c:v>
                </c:pt>
                <c:pt idx="18">
                  <c:v>Wolves</c:v>
                </c:pt>
                <c:pt idx="19">
                  <c:v>Liverpool</c:v>
                </c:pt>
              </c:strCache>
            </c:strRef>
          </c:cat>
          <c:val>
            <c:numRef>
              <c:f>Home_Away_Analysis!$C$5:$C$24</c:f>
              <c:numCache>
                <c:formatCode>General</c:formatCode>
                <c:ptCount val="20"/>
                <c:pt idx="0">
                  <c:v>18</c:v>
                </c:pt>
                <c:pt idx="1">
                  <c:v>15</c:v>
                </c:pt>
                <c:pt idx="2">
                  <c:v>35</c:v>
                </c:pt>
                <c:pt idx="3">
                  <c:v>24</c:v>
                </c:pt>
                <c:pt idx="4">
                  <c:v>28</c:v>
                </c:pt>
                <c:pt idx="5">
                  <c:v>33</c:v>
                </c:pt>
                <c:pt idx="6">
                  <c:v>23</c:v>
                </c:pt>
                <c:pt idx="7">
                  <c:v>25</c:v>
                </c:pt>
                <c:pt idx="8">
                  <c:v>28</c:v>
                </c:pt>
                <c:pt idx="9">
                  <c:v>10</c:v>
                </c:pt>
                <c:pt idx="10">
                  <c:v>29</c:v>
                </c:pt>
                <c:pt idx="11">
                  <c:v>28</c:v>
                </c:pt>
                <c:pt idx="12">
                  <c:v>28</c:v>
                </c:pt>
                <c:pt idx="13">
                  <c:v>29</c:v>
                </c:pt>
                <c:pt idx="14">
                  <c:v>6</c:v>
                </c:pt>
                <c:pt idx="15">
                  <c:v>17</c:v>
                </c:pt>
                <c:pt idx="16">
                  <c:v>26</c:v>
                </c:pt>
                <c:pt idx="17">
                  <c:v>28</c:v>
                </c:pt>
                <c:pt idx="18">
                  <c:v>21</c:v>
                </c:pt>
                <c:pt idx="1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2-4A29-A43C-4248A1E258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0765056"/>
        <c:axId val="810750656"/>
        <c:axId val="0"/>
      </c:bar3DChart>
      <c:catAx>
        <c:axId val="8107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810750656"/>
        <c:crosses val="autoZero"/>
        <c:auto val="1"/>
        <c:lblAlgn val="ctr"/>
        <c:lblOffset val="100"/>
        <c:noMultiLvlLbl val="0"/>
      </c:catAx>
      <c:valAx>
        <c:axId val="8107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14300" prst="artDeco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Impact of Key Metrics on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Metric_Impact_Analysis!$J$5</c:f>
              <c:strCache>
                <c:ptCount val="1"/>
                <c:pt idx="0">
                  <c:v>Correlation with Points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E4B-4EB1-8BA7-1BDC87C1547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E4B-4EB1-8BA7-1BDC87C15479}"/>
              </c:ext>
            </c:extLst>
          </c:dPt>
          <c:dPt>
            <c:idx val="2"/>
            <c:invertIfNegative val="0"/>
            <c:bubble3D val="0"/>
            <c:spPr>
              <a:solidFill>
                <a:srgbClr val="01F56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E4B-4EB1-8BA7-1BDC87C15479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E4B-4EB1-8BA7-1BDC87C154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Metric_Impact_Analysis!$I$6:$I$9</c:f>
              <c:strCache>
                <c:ptCount val="4"/>
                <c:pt idx="0">
                  <c:v>Goals For</c:v>
                </c:pt>
                <c:pt idx="1">
                  <c:v>Goals Against</c:v>
                </c:pt>
                <c:pt idx="2">
                  <c:v>Goal Difference</c:v>
                </c:pt>
                <c:pt idx="3">
                  <c:v>Wins</c:v>
                </c:pt>
              </c:strCache>
            </c:strRef>
          </c:cat>
          <c:val>
            <c:numRef>
              <c:f>Metric_Impact_Analysis!$J$6:$J$9</c:f>
              <c:numCache>
                <c:formatCode>General</c:formatCode>
                <c:ptCount val="4"/>
                <c:pt idx="0">
                  <c:v>0.89266233027041686</c:v>
                </c:pt>
                <c:pt idx="1">
                  <c:v>-0.9086628907769998</c:v>
                </c:pt>
                <c:pt idx="2">
                  <c:v>0.97009160901600744</c:v>
                </c:pt>
                <c:pt idx="3">
                  <c:v>0.98819593126502181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4B-4EB1-8BA7-1BDC87C154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66686192"/>
        <c:axId val="1166684272"/>
        <c:axId val="0"/>
      </c:bar3DChart>
      <c:catAx>
        <c:axId val="11666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684272"/>
        <c:crosses val="autoZero"/>
        <c:auto val="1"/>
        <c:lblAlgn val="ctr"/>
        <c:lblOffset val="100"/>
        <c:noMultiLvlLbl val="0"/>
      </c:catAx>
      <c:valAx>
        <c:axId val="11666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68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13" Type="http://schemas.openxmlformats.org/officeDocument/2006/relationships/image" Target="../media/image17.jpeg"/><Relationship Id="rId18" Type="http://schemas.openxmlformats.org/officeDocument/2006/relationships/image" Target="../media/image22.jpeg"/><Relationship Id="rId3" Type="http://schemas.openxmlformats.org/officeDocument/2006/relationships/image" Target="../media/image7.jpeg"/><Relationship Id="rId21" Type="http://schemas.openxmlformats.org/officeDocument/2006/relationships/image" Target="../media/image25.jpeg"/><Relationship Id="rId7" Type="http://schemas.openxmlformats.org/officeDocument/2006/relationships/image" Target="../media/image11.jpeg"/><Relationship Id="rId12" Type="http://schemas.openxmlformats.org/officeDocument/2006/relationships/image" Target="../media/image16.jpeg"/><Relationship Id="rId17" Type="http://schemas.openxmlformats.org/officeDocument/2006/relationships/image" Target="../media/image21.jpeg"/><Relationship Id="rId2" Type="http://schemas.openxmlformats.org/officeDocument/2006/relationships/image" Target="../media/image6.jpeg"/><Relationship Id="rId16" Type="http://schemas.openxmlformats.org/officeDocument/2006/relationships/image" Target="../media/image20.jpeg"/><Relationship Id="rId20" Type="http://schemas.openxmlformats.org/officeDocument/2006/relationships/image" Target="../media/image24.jpeg"/><Relationship Id="rId1" Type="http://schemas.openxmlformats.org/officeDocument/2006/relationships/image" Target="../media/image5.jpeg"/><Relationship Id="rId6" Type="http://schemas.openxmlformats.org/officeDocument/2006/relationships/image" Target="../media/image10.jpeg"/><Relationship Id="rId11" Type="http://schemas.openxmlformats.org/officeDocument/2006/relationships/image" Target="../media/image15.jpeg"/><Relationship Id="rId5" Type="http://schemas.openxmlformats.org/officeDocument/2006/relationships/image" Target="../media/image9.jpeg"/><Relationship Id="rId15" Type="http://schemas.openxmlformats.org/officeDocument/2006/relationships/image" Target="../media/image19.jpeg"/><Relationship Id="rId10" Type="http://schemas.openxmlformats.org/officeDocument/2006/relationships/image" Target="../media/image14.jpeg"/><Relationship Id="rId19" Type="http://schemas.openxmlformats.org/officeDocument/2006/relationships/image" Target="../media/image23.jpeg"/><Relationship Id="rId4" Type="http://schemas.openxmlformats.org/officeDocument/2006/relationships/image" Target="../media/image8.jpeg"/><Relationship Id="rId9" Type="http://schemas.openxmlformats.org/officeDocument/2006/relationships/image" Target="../media/image13.jpeg"/><Relationship Id="rId14" Type="http://schemas.openxmlformats.org/officeDocument/2006/relationships/image" Target="../media/image18.jpeg"/><Relationship Id="rId22" Type="http://schemas.openxmlformats.org/officeDocument/2006/relationships/image" Target="../media/image26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27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34.jpeg"/><Relationship Id="rId1" Type="http://schemas.openxmlformats.org/officeDocument/2006/relationships/image" Target="../media/image33.jpe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480786</xdr:rowOff>
    </xdr:from>
    <xdr:to>
      <xdr:col>22</xdr:col>
      <xdr:colOff>54429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D0486C-474F-AAD6-0F56-7BA33A2B97AC}"/>
            </a:ext>
          </a:extLst>
        </xdr:cNvPr>
        <xdr:cNvSpPr txBox="1"/>
      </xdr:nvSpPr>
      <xdr:spPr>
        <a:xfrm>
          <a:off x="11665857" y="1542143"/>
          <a:ext cx="5134429" cy="5669643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u="sng">
              <a:latin typeface="Arial Black" panose="020B0A04020102020204" pitchFamily="34" charset="0"/>
            </a:rPr>
            <a:t>Interpretation</a:t>
          </a:r>
        </a:p>
        <a:p>
          <a:pPr algn="ctr"/>
          <a:endParaRPr lang="en-IN" sz="1600" u="sng">
            <a:latin typeface="Arial Black" panose="020B0A04020102020204" pitchFamily="34" charset="0"/>
          </a:endParaRPr>
        </a:p>
        <a:p>
          <a:r>
            <a:rPr lang="en-IN" sz="1600">
              <a:solidFill>
                <a:schemeClr val="tx1"/>
              </a:solidFill>
            </a:rPr>
            <a:t>This sheet contains match-level data for </a:t>
          </a:r>
          <a:r>
            <a:rPr lang="en-IN" sz="1500" u="none">
              <a:solidFill>
                <a:schemeClr val="tx1"/>
              </a:solidFill>
            </a:rPr>
            <a:t>the</a:t>
          </a:r>
          <a:r>
            <a:rPr lang="en-IN" sz="1500" u="sng">
              <a:solidFill>
                <a:schemeClr val="tx1"/>
              </a:solidFill>
            </a:rPr>
            <a:t> </a:t>
          </a:r>
          <a:r>
            <a:rPr lang="en-IN" sz="1500" b="1" u="sng">
              <a:solidFill>
                <a:schemeClr val="tx1"/>
              </a:solidFill>
              <a:latin typeface="Bahnschrift SemiBold SemiConden" panose="020B0502040204020203" pitchFamily="34" charset="0"/>
            </a:rPr>
            <a:t>Premier League 2024–25 </a:t>
          </a:r>
          <a:r>
            <a:rPr lang="en-IN" sz="1600">
              <a:solidFill>
                <a:schemeClr val="tx1"/>
              </a:solidFill>
            </a:rPr>
            <a:t>season and serves as the foundation for all subsequent analysis.</a:t>
          </a:r>
        </a:p>
        <a:p>
          <a:endParaRPr lang="en-IN" sz="1600"/>
        </a:p>
        <a:p>
          <a:r>
            <a:rPr lang="en-IN" sz="1600" b="0">
              <a:solidFill>
                <a:schemeClr val="tx1"/>
              </a:solidFill>
            </a:rPr>
            <a:t>Each row represents a single match, capturing attacking, defensive, and disciplinary metrics for both home and away teams.</a:t>
          </a:r>
        </a:p>
        <a:p>
          <a:endParaRPr lang="en-IN" sz="1600"/>
        </a:p>
        <a:p>
          <a:r>
            <a:rPr lang="en-IN" sz="1600">
              <a:solidFill>
                <a:schemeClr val="tx1"/>
              </a:solidFill>
            </a:rPr>
            <a:t>Derived fields such as </a:t>
          </a:r>
          <a:r>
            <a:rPr lang="en-IN" sz="1600" b="1">
              <a:solidFill>
                <a:schemeClr val="tx1"/>
              </a:solidFill>
            </a:rPr>
            <a:t>Goal Difference</a:t>
          </a:r>
          <a:r>
            <a:rPr lang="en-IN" sz="1600">
              <a:solidFill>
                <a:schemeClr val="tx1"/>
              </a:solidFill>
            </a:rPr>
            <a:t>, </a:t>
          </a:r>
          <a:r>
            <a:rPr lang="en-IN" sz="1600" b="1">
              <a:solidFill>
                <a:schemeClr val="tx1"/>
              </a:solidFill>
            </a:rPr>
            <a:t>Total Goals, </a:t>
          </a:r>
          <a:r>
            <a:rPr lang="en-IN" sz="1600">
              <a:solidFill>
                <a:schemeClr val="tx1"/>
              </a:solidFill>
            </a:rPr>
            <a:t>and </a:t>
          </a:r>
          <a:r>
            <a:rPr lang="en-IN" sz="1600" b="1">
              <a:solidFill>
                <a:schemeClr val="tx1"/>
              </a:solidFill>
            </a:rPr>
            <a:t>Match Points </a:t>
          </a:r>
          <a:r>
            <a:rPr lang="en-IN" sz="1600">
              <a:solidFill>
                <a:schemeClr val="tx1"/>
              </a:solidFill>
            </a:rPr>
            <a:t>are calculated to enable league table construction, home vs away performance analysis, and correlation studies.</a:t>
          </a:r>
        </a:p>
        <a:p>
          <a:endParaRPr lang="en-IN" sz="1600"/>
        </a:p>
        <a:p>
          <a:r>
            <a:rPr lang="en-IN" sz="1600">
              <a:solidFill>
                <a:schemeClr val="tx1"/>
              </a:solidFill>
            </a:rPr>
            <a:t>This dataset feeds directly into team-level aggregation, performance modeling, and strategic insights used in later phases of the project.</a:t>
          </a:r>
        </a:p>
        <a:p>
          <a:pPr algn="l"/>
          <a:endParaRPr lang="en-IN" sz="1600" u="sng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16</xdr:col>
      <xdr:colOff>997858</xdr:colOff>
      <xdr:row>2</xdr:row>
      <xdr:rowOff>326571</xdr:rowOff>
    </xdr:from>
    <xdr:to>
      <xdr:col>22</xdr:col>
      <xdr:colOff>27214</xdr:colOff>
      <xdr:row>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8F31B0-6733-E446-6C43-8CB465C9880B}"/>
            </a:ext>
          </a:extLst>
        </xdr:cNvPr>
        <xdr:cNvSpPr txBox="1"/>
      </xdr:nvSpPr>
      <xdr:spPr>
        <a:xfrm>
          <a:off x="11647715" y="1034142"/>
          <a:ext cx="5125356" cy="517072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Segoe UI Black" panose="020B0A02040204020203" pitchFamily="34" charset="0"/>
              <a:ea typeface="Segoe UI Black" panose="020B0A02040204020203" pitchFamily="34" charset="0"/>
            </a:rPr>
            <a:t>Sheet Overview – Raw Match Data</a:t>
          </a:r>
        </a:p>
      </xdr:txBody>
    </xdr:sp>
    <xdr:clientData/>
  </xdr:twoCellAnchor>
  <xdr:twoCellAnchor>
    <xdr:from>
      <xdr:col>0</xdr:col>
      <xdr:colOff>0</xdr:colOff>
      <xdr:row>0</xdr:row>
      <xdr:rowOff>18143</xdr:rowOff>
    </xdr:from>
    <xdr:to>
      <xdr:col>23</xdr:col>
      <xdr:colOff>9072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254CF1-85BD-3EFF-8D85-6C00EC14EA28}"/>
            </a:ext>
          </a:extLst>
        </xdr:cNvPr>
        <xdr:cNvSpPr txBox="1"/>
      </xdr:nvSpPr>
      <xdr:spPr>
        <a:xfrm>
          <a:off x="0" y="18143"/>
          <a:ext cx="17770929" cy="689428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14300" prst="artDeco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000">
              <a:latin typeface="Algerian" panose="04020705040A02060702" pitchFamily="82" charset="0"/>
            </a:rPr>
            <a:t>Premier League 2024–25 | Match-Level Raw Data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281215</xdr:colOff>
      <xdr:row>1</xdr:row>
      <xdr:rowOff>332014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CE8023-6D78-EC66-CCDA-1BD54244D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1786" cy="6858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20</xdr:col>
      <xdr:colOff>698500</xdr:colOff>
      <xdr:row>0</xdr:row>
      <xdr:rowOff>0</xdr:rowOff>
    </xdr:from>
    <xdr:to>
      <xdr:col>22</xdr:col>
      <xdr:colOff>45357</xdr:colOff>
      <xdr:row>1</xdr:row>
      <xdr:rowOff>332014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2BB9D9-9A02-37D3-2933-612769105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2357" y="0"/>
          <a:ext cx="1378857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27169</xdr:colOff>
      <xdr:row>4</xdr:row>
      <xdr:rowOff>12258</xdr:rowOff>
    </xdr:from>
    <xdr:to>
      <xdr:col>17</xdr:col>
      <xdr:colOff>16566</xdr:colOff>
      <xdr:row>17</xdr:row>
      <xdr:rowOff>74543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A013D8-F64C-0BF1-0720-910B4570FF09}"/>
            </a:ext>
          </a:extLst>
        </xdr:cNvPr>
        <xdr:cNvSpPr txBox="1"/>
      </xdr:nvSpPr>
      <xdr:spPr>
        <a:xfrm>
          <a:off x="10065691" y="1403736"/>
          <a:ext cx="4172114" cy="4584590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u="sng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Interpretation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600" u="sng">
            <a:solidFill>
              <a:schemeClr val="dk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/>
            <a:t>This sheet represents </a:t>
          </a:r>
          <a:r>
            <a:rPr lang="en-IN" sz="1300" b="1"/>
            <a:t>team-wise match-level performance</a:t>
          </a:r>
          <a:r>
            <a:rPr lang="en-IN" sz="1300"/>
            <a:t> by transforming raw home–away match data into a </a:t>
          </a:r>
          <a:r>
            <a:rPr lang="en-IN" sz="1300" b="1"/>
            <a:t>single-team perspective</a:t>
          </a:r>
          <a:r>
            <a:rPr lang="en-IN" sz="1300"/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300"/>
        </a:p>
        <a:p>
          <a:r>
            <a:rPr lang="en-IN" sz="1300"/>
            <a:t>Each match appears </a:t>
          </a:r>
          <a:r>
            <a:rPr lang="en-IN" sz="1300" b="1"/>
            <a:t>twice</a:t>
          </a:r>
          <a:r>
            <a:rPr lang="en-IN" sz="1300"/>
            <a:t> — once for each team — enabling fair aggregation of: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Points earned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Goals scored and conceded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Shot efficiency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Home vs Away impact</a:t>
          </a:r>
        </a:p>
        <a:p>
          <a:endParaRPr lang="en-IN" sz="1200"/>
        </a:p>
        <a:p>
          <a:r>
            <a:rPr lang="en-IN" sz="1300"/>
            <a:t>This structure serves as the </a:t>
          </a:r>
          <a:r>
            <a:rPr lang="en-IN" sz="1300" b="1"/>
            <a:t>foundation dataset</a:t>
          </a:r>
          <a:r>
            <a:rPr lang="en-IN" sz="1300"/>
            <a:t> for: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League table construction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Home vs Away analysis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Performance correlation with league ranking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Advanced weighted performance modeling</a:t>
          </a:r>
        </a:p>
        <a:p>
          <a:endParaRPr lang="en-IN" sz="1400">
            <a:latin typeface="Bahnschrift SemiBold SemiConden" panose="020B0502040204020203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u="sng">
            <a:solidFill>
              <a:schemeClr val="dk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u="sng">
            <a:solidFill>
              <a:schemeClr val="dk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>
            <a:effectLst/>
            <a:latin typeface="Arial Black" panose="020B0A04020102020204" pitchFamily="34" charset="0"/>
          </a:endParaRPr>
        </a:p>
        <a:p>
          <a:pPr algn="ctr"/>
          <a:endParaRPr lang="en-IN" sz="1100"/>
        </a:p>
      </xdr:txBody>
    </xdr:sp>
    <xdr:clientData/>
  </xdr:twoCellAnchor>
  <xdr:twoCellAnchor>
    <xdr:from>
      <xdr:col>12</xdr:col>
      <xdr:colOff>8282</xdr:colOff>
      <xdr:row>3</xdr:row>
      <xdr:rowOff>8282</xdr:rowOff>
    </xdr:from>
    <xdr:to>
      <xdr:col>17</xdr:col>
      <xdr:colOff>24847</xdr:colOff>
      <xdr:row>3</xdr:row>
      <xdr:rowOff>472108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9ABB80-8F62-D480-002C-92D4560DD745}"/>
            </a:ext>
          </a:extLst>
        </xdr:cNvPr>
        <xdr:cNvSpPr txBox="1"/>
      </xdr:nvSpPr>
      <xdr:spPr>
        <a:xfrm>
          <a:off x="10286999" y="1051891"/>
          <a:ext cx="4199283" cy="463826"/>
        </a:xfrm>
        <a:prstGeom prst="rect">
          <a:avLst/>
        </a:prstGeom>
        <a:ln/>
        <a:effectLst>
          <a:innerShdw blurRad="114300">
            <a:prstClr val="black"/>
          </a:innerShdw>
        </a:effectLst>
        <a:scene3d>
          <a:camera prst="obliqueTopLeft"/>
          <a:lightRig rig="threePt" dir="t"/>
        </a:scene3d>
        <a:sp3d>
          <a:bevelT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latin typeface="Arial Black" panose="020B0A04020102020204" pitchFamily="34" charset="0"/>
            </a:rPr>
            <a:t>Sheet Purpose &amp; Interpretation</a:t>
          </a:r>
        </a:p>
      </xdr:txBody>
    </xdr:sp>
    <xdr:clientData/>
  </xdr:twoCellAnchor>
  <xdr:twoCellAnchor>
    <xdr:from>
      <xdr:col>12</xdr:col>
      <xdr:colOff>8284</xdr:colOff>
      <xdr:row>19</xdr:row>
      <xdr:rowOff>33129</xdr:rowOff>
    </xdr:from>
    <xdr:to>
      <xdr:col>17</xdr:col>
      <xdr:colOff>16565</xdr:colOff>
      <xdr:row>25</xdr:row>
      <xdr:rowOff>240194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0DE58C-11BA-9758-253B-838B173E9C7B}"/>
            </a:ext>
          </a:extLst>
        </xdr:cNvPr>
        <xdr:cNvSpPr txBox="1"/>
      </xdr:nvSpPr>
      <xdr:spPr>
        <a:xfrm>
          <a:off x="10287001" y="6775172"/>
          <a:ext cx="4190999" cy="2294283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 u="sng">
              <a:solidFill>
                <a:schemeClr val="bg1"/>
              </a:solidFill>
              <a:latin typeface="Arial Black" panose="020B0A04020102020204" pitchFamily="34" charset="0"/>
            </a:rPr>
            <a:t>Key Metrics Explanation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 b="1"/>
            <a:t>Goals_For</a:t>
          </a:r>
          <a:r>
            <a:rPr lang="en-IN" sz="1300"/>
            <a:t> → Attacking output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 b="1"/>
            <a:t>Goals_Against</a:t>
          </a:r>
          <a:r>
            <a:rPr lang="en-IN" sz="1300"/>
            <a:t> → Defensive strength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 b="1"/>
            <a:t>Points</a:t>
          </a:r>
          <a:r>
            <a:rPr lang="en-IN" sz="1300"/>
            <a:t> → Match outcome contribution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 b="1"/>
            <a:t>Shots / Shots_On_Target</a:t>
          </a:r>
          <a:r>
            <a:rPr lang="en-IN" sz="1300"/>
            <a:t> → Chance creation &amp; efficiency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 b="1"/>
            <a:t>Venue</a:t>
          </a:r>
          <a:r>
            <a:rPr lang="en-IN" sz="1300"/>
            <a:t> → Home vs Away performance split</a:t>
          </a:r>
        </a:p>
        <a:p>
          <a:endParaRPr lang="en-IN" sz="1100"/>
        </a:p>
      </xdr:txBody>
    </xdr:sp>
    <xdr:clientData/>
  </xdr:twoCellAnchor>
  <xdr:twoCellAnchor>
    <xdr:from>
      <xdr:col>0</xdr:col>
      <xdr:colOff>24848</xdr:colOff>
      <xdr:row>0</xdr:row>
      <xdr:rowOff>16565</xdr:rowOff>
    </xdr:from>
    <xdr:to>
      <xdr:col>18</xdr:col>
      <xdr:colOff>828261</xdr:colOff>
      <xdr:row>2</xdr:row>
      <xdr:rowOff>8283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E7FB0A-7E3E-5E99-E8DE-D958C68B0038}"/>
            </a:ext>
          </a:extLst>
        </xdr:cNvPr>
        <xdr:cNvSpPr txBox="1"/>
      </xdr:nvSpPr>
      <xdr:spPr>
        <a:xfrm>
          <a:off x="24848" y="16565"/>
          <a:ext cx="16101391" cy="687457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300">
              <a:latin typeface="Algerian" panose="04020705040A02060702" pitchFamily="82" charset="0"/>
            </a:rPr>
            <a:t>Premier League 2024–25 | Team Match-Level Performance Data</a:t>
          </a:r>
        </a:p>
      </xdr:txBody>
    </xdr:sp>
    <xdr:clientData/>
  </xdr:twoCellAnchor>
  <xdr:twoCellAnchor editAs="oneCell">
    <xdr:from>
      <xdr:col>0</xdr:col>
      <xdr:colOff>2</xdr:colOff>
      <xdr:row>0</xdr:row>
      <xdr:rowOff>0</xdr:rowOff>
    </xdr:from>
    <xdr:to>
      <xdr:col>1</xdr:col>
      <xdr:colOff>242454</xdr:colOff>
      <xdr:row>1</xdr:row>
      <xdr:rowOff>320386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668B2E-3513-CE9D-4FF5-BF8E2B5BA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0"/>
          <a:ext cx="1082384" cy="6667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17</xdr:col>
      <xdr:colOff>571500</xdr:colOff>
      <xdr:row>0</xdr:row>
      <xdr:rowOff>69273</xdr:rowOff>
    </xdr:from>
    <xdr:to>
      <xdr:col>18</xdr:col>
      <xdr:colOff>632113</xdr:colOff>
      <xdr:row>1</xdr:row>
      <xdr:rowOff>320386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92569FF-CA1E-811E-CCA4-BD09B24F3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4136" y="69273"/>
          <a:ext cx="900545" cy="5974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944973</xdr:colOff>
      <xdr:row>4</xdr:row>
      <xdr:rowOff>19750</xdr:rowOff>
    </xdr:from>
    <xdr:to>
      <xdr:col>15</xdr:col>
      <xdr:colOff>927252</xdr:colOff>
      <xdr:row>13</xdr:row>
      <xdr:rowOff>347906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83CC84-2322-92A5-ECF9-8AE945FEF1FB}"/>
            </a:ext>
          </a:extLst>
        </xdr:cNvPr>
        <xdr:cNvSpPr txBox="1"/>
      </xdr:nvSpPr>
      <xdr:spPr>
        <a:xfrm>
          <a:off x="10621455" y="1727364"/>
          <a:ext cx="4710351" cy="3899458"/>
        </a:xfrm>
        <a:prstGeom prst="rect">
          <a:avLst/>
        </a:prstGeom>
        <a:ln>
          <a:noFill/>
        </a:ln>
        <a:scene3d>
          <a:camera prst="obliqueTopRigh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u="sng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Interpretation</a:t>
          </a:r>
          <a:endParaRPr lang="en-IN" sz="1600">
            <a:solidFill>
              <a:schemeClr val="bg1"/>
            </a:solidFill>
            <a:effectLst/>
            <a:latin typeface="Arial Black" panose="020B0A04020102020204" pitchFamily="34" charset="0"/>
          </a:endParaRPr>
        </a:p>
        <a:p>
          <a:endParaRPr lang="en-IN" sz="1100"/>
        </a:p>
        <a:p>
          <a:r>
            <a:rPr lang="en-IN" sz="1200"/>
            <a:t>This table represents the </a:t>
          </a:r>
          <a:r>
            <a:rPr lang="en-IN" sz="1200" b="1"/>
            <a:t>final league standings</a:t>
          </a:r>
          <a:r>
            <a:rPr lang="en-IN" sz="1200"/>
            <a:t>, derived by aggregating team-level match data across the full season.</a:t>
          </a:r>
        </a:p>
        <a:p>
          <a:endParaRPr lang="en-IN" sz="1200"/>
        </a:p>
        <a:p>
          <a:r>
            <a:rPr lang="en-IN" sz="1200"/>
            <a:t>The ranking is determined primarily by </a:t>
          </a:r>
          <a:r>
            <a:rPr lang="en-IN" sz="1200" b="1"/>
            <a:t>Points</a:t>
          </a:r>
          <a:r>
            <a:rPr lang="en-IN" sz="1200"/>
            <a:t>, with </a:t>
          </a:r>
          <a:r>
            <a:rPr lang="en-IN" sz="1200" b="1"/>
            <a:t>Goal Difference</a:t>
          </a:r>
          <a:r>
            <a:rPr lang="en-IN" sz="1200"/>
            <a:t> used as a performance quality indicator.</a:t>
          </a:r>
        </a:p>
        <a:p>
          <a:endParaRPr lang="en-IN" sz="1200"/>
        </a:p>
        <a:p>
          <a:r>
            <a:rPr lang="en-IN"/>
            <a:t>This table provides a consolidated view of: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Offensive strength (Goals For)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Defensive stability (Goals Against)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Match consistency (Wins, Draws, Losses)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>
              <a:latin typeface="Bahnschrift SemiBold SemiConden" panose="020B0502040204020203" pitchFamily="34" charset="0"/>
            </a:rPr>
            <a:t>Overall season dominance (Points &amp; Rank)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/>
        </a:p>
        <a:p>
          <a:r>
            <a:rPr lang="en-IN" sz="1200"/>
            <a:t>It serves as the </a:t>
          </a:r>
          <a:r>
            <a:rPr lang="en-IN" sz="1200" b="1"/>
            <a:t>reference benchmark</a:t>
          </a:r>
          <a:r>
            <a:rPr lang="en-IN" sz="1200"/>
            <a:t> for all subsequent analyses, including metric correlation, weighted scoring models, and home vs away performance evaluation.</a:t>
          </a:r>
        </a:p>
        <a:p>
          <a:endParaRPr lang="en-IN" sz="1100"/>
        </a:p>
      </xdr:txBody>
    </xdr:sp>
    <xdr:clientData/>
  </xdr:twoCellAnchor>
  <xdr:twoCellAnchor>
    <xdr:from>
      <xdr:col>10</xdr:col>
      <xdr:colOff>927253</xdr:colOff>
      <xdr:row>3</xdr:row>
      <xdr:rowOff>36403</xdr:rowOff>
    </xdr:from>
    <xdr:to>
      <xdr:col>15</xdr:col>
      <xdr:colOff>930029</xdr:colOff>
      <xdr:row>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96021D-6AEE-5FC5-6E26-0DD937650A71}"/>
            </a:ext>
          </a:extLst>
        </xdr:cNvPr>
        <xdr:cNvSpPr txBox="1"/>
      </xdr:nvSpPr>
      <xdr:spPr>
        <a:xfrm>
          <a:off x="10603735" y="1193174"/>
          <a:ext cx="4730848" cy="51444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latin typeface="Arial Black" panose="020B0A04020102020204" pitchFamily="34" charset="0"/>
            </a:rPr>
            <a:t>League Table Interpretation</a:t>
          </a:r>
        </a:p>
      </xdr:txBody>
    </xdr:sp>
    <xdr:clientData/>
  </xdr:twoCellAnchor>
  <xdr:twoCellAnchor>
    <xdr:from>
      <xdr:col>11</xdr:col>
      <xdr:colOff>2776</xdr:colOff>
      <xdr:row>16</xdr:row>
      <xdr:rowOff>8218</xdr:rowOff>
    </xdr:from>
    <xdr:to>
      <xdr:col>15</xdr:col>
      <xdr:colOff>939530</xdr:colOff>
      <xdr:row>24</xdr:row>
      <xdr:rowOff>25939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1B0017-8E5F-A759-B22C-A7A28A2FC1E2}"/>
            </a:ext>
          </a:extLst>
        </xdr:cNvPr>
        <xdr:cNvSpPr txBox="1"/>
      </xdr:nvSpPr>
      <xdr:spPr>
        <a:xfrm>
          <a:off x="10624872" y="6443905"/>
          <a:ext cx="4719212" cy="3102444"/>
        </a:xfrm>
        <a:prstGeom prst="rect">
          <a:avLst/>
        </a:prstGeom>
        <a:ln/>
        <a:scene3d>
          <a:camera prst="obliqueTopRigh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u="sng">
              <a:solidFill>
                <a:schemeClr val="bg1"/>
              </a:solidFill>
              <a:latin typeface="Arial Black" panose="020B0A04020102020204" pitchFamily="34" charset="0"/>
            </a:rPr>
            <a:t>Key Observations from the League Table</a:t>
          </a:r>
        </a:p>
        <a:p>
          <a:pPr algn="l"/>
          <a:endParaRPr lang="en-IN" sz="1200" u="sng">
            <a:solidFill>
              <a:schemeClr val="bg1"/>
            </a:solidFill>
            <a:latin typeface="Arial Black" panose="020B0A04020102020204" pitchFamily="34" charset="0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 b="1"/>
            <a:t>Teams with high Goal Difference consistently finish in top ranks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 sz="1300" b="1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 b="1"/>
            <a:t>Defensive weakness (high GA) strongly correlates with relegation positions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 sz="1300" b="1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 b="1"/>
            <a:t>Top-ranked teams combine both attacking output and defensive control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 sz="1300" b="1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 b="1"/>
            <a:t>Mid-table teams often show similar points but large GD variation</a:t>
          </a:r>
        </a:p>
        <a:p>
          <a:pPr algn="l"/>
          <a:endParaRPr lang="en-IN" sz="1200" u="sng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8860</xdr:colOff>
      <xdr:row>0</xdr:row>
      <xdr:rowOff>0</xdr:rowOff>
    </xdr:from>
    <xdr:to>
      <xdr:col>18</xdr:col>
      <xdr:colOff>8861</xdr:colOff>
      <xdr:row>1</xdr:row>
      <xdr:rowOff>372140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9D80E4-C904-DD66-3B21-48F80C3529DF}"/>
            </a:ext>
          </a:extLst>
        </xdr:cNvPr>
        <xdr:cNvSpPr txBox="1"/>
      </xdr:nvSpPr>
      <xdr:spPr>
        <a:xfrm>
          <a:off x="8860" y="0"/>
          <a:ext cx="17241399" cy="75773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14300" prst="artDeco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900">
              <a:latin typeface="Algerian" panose="04020705040A02060702" pitchFamily="82" charset="0"/>
            </a:rPr>
            <a:t>Premier League 2024–25 | Final League Table &amp; Team Performance Summary</a:t>
          </a: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293785</xdr:colOff>
      <xdr:row>1</xdr:row>
      <xdr:rowOff>373362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8DD209-7CD4-39C2-6B9D-E03AC225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39398" cy="75895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16</xdr:col>
      <xdr:colOff>688554</xdr:colOff>
      <xdr:row>0</xdr:row>
      <xdr:rowOff>9180</xdr:rowOff>
    </xdr:from>
    <xdr:to>
      <xdr:col>17</xdr:col>
      <xdr:colOff>780362</xdr:colOff>
      <xdr:row>1</xdr:row>
      <xdr:rowOff>302964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7981A8-BB76-7E85-4426-D03CEFFB4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38723" y="9180"/>
          <a:ext cx="1037422" cy="679374"/>
        </a:xfrm>
        <a:prstGeom prst="rect">
          <a:avLst/>
        </a:prstGeom>
      </xdr:spPr>
    </xdr:pic>
    <xdr:clientData/>
  </xdr:twoCellAnchor>
  <xdr:twoCellAnchor editAs="oneCell">
    <xdr:from>
      <xdr:col>10</xdr:col>
      <xdr:colOff>6099</xdr:colOff>
      <xdr:row>4</xdr:row>
      <xdr:rowOff>9181</xdr:rowOff>
    </xdr:from>
    <xdr:to>
      <xdr:col>10</xdr:col>
      <xdr:colOff>919465</xdr:colOff>
      <xdr:row>4</xdr:row>
      <xdr:rowOff>449856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A059A2-12A1-DBFC-0EC4-06E25288D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2581" y="1716795"/>
          <a:ext cx="913366" cy="440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18360</xdr:colOff>
      <xdr:row>5</xdr:row>
      <xdr:rowOff>45902</xdr:rowOff>
    </xdr:from>
    <xdr:to>
      <xdr:col>10</xdr:col>
      <xdr:colOff>896035</xdr:colOff>
      <xdr:row>6</xdr:row>
      <xdr:rowOff>9999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CAC1E44-C578-1435-84C6-3B53500F2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4842" y="2221733"/>
          <a:ext cx="877675" cy="450676"/>
        </a:xfrm>
        <a:prstGeom prst="rect">
          <a:avLst/>
        </a:prstGeom>
      </xdr:spPr>
    </xdr:pic>
    <xdr:clientData/>
  </xdr:twoCellAnchor>
  <xdr:twoCellAnchor editAs="oneCell">
    <xdr:from>
      <xdr:col>10</xdr:col>
      <xdr:colOff>146892</xdr:colOff>
      <xdr:row>5</xdr:row>
      <xdr:rowOff>477398</xdr:rowOff>
    </xdr:from>
    <xdr:to>
      <xdr:col>10</xdr:col>
      <xdr:colOff>774809</xdr:colOff>
      <xdr:row>6</xdr:row>
      <xdr:rowOff>429731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46E51E-8B8B-7440-8CF6-A7732CA0C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374" y="2653229"/>
          <a:ext cx="627917" cy="438912"/>
        </a:xfrm>
        <a:prstGeom prst="rect">
          <a:avLst/>
        </a:prstGeom>
      </xdr:spPr>
    </xdr:pic>
    <xdr:clientData/>
  </xdr:twoCellAnchor>
  <xdr:twoCellAnchor editAs="oneCell">
    <xdr:from>
      <xdr:col>10</xdr:col>
      <xdr:colOff>27543</xdr:colOff>
      <xdr:row>6</xdr:row>
      <xdr:rowOff>440675</xdr:rowOff>
    </xdr:from>
    <xdr:to>
      <xdr:col>11</xdr:col>
      <xdr:colOff>649</xdr:colOff>
      <xdr:row>8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8B94C6-7000-6B8C-453A-8E097961B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4025" y="3103085"/>
          <a:ext cx="914400" cy="459035"/>
        </a:xfrm>
        <a:prstGeom prst="rect">
          <a:avLst/>
        </a:prstGeom>
      </xdr:spPr>
    </xdr:pic>
    <xdr:clientData/>
  </xdr:twoCellAnchor>
  <xdr:twoCellAnchor editAs="oneCell">
    <xdr:from>
      <xdr:col>10</xdr:col>
      <xdr:colOff>45904</xdr:colOff>
      <xdr:row>8</xdr:row>
      <xdr:rowOff>9182</xdr:rowOff>
    </xdr:from>
    <xdr:to>
      <xdr:col>10</xdr:col>
      <xdr:colOff>936601</xdr:colOff>
      <xdr:row>9</xdr:row>
      <xdr:rowOff>9180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00CA5AC-BDAF-9A95-8349-592E54085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2386" y="3571302"/>
          <a:ext cx="890697" cy="459035"/>
        </a:xfrm>
        <a:prstGeom prst="rect">
          <a:avLst/>
        </a:prstGeom>
      </xdr:spPr>
    </xdr:pic>
    <xdr:clientData/>
  </xdr:twoCellAnchor>
  <xdr:twoCellAnchor editAs="oneCell">
    <xdr:from>
      <xdr:col>10</xdr:col>
      <xdr:colOff>36723</xdr:colOff>
      <xdr:row>9</xdr:row>
      <xdr:rowOff>9181</xdr:rowOff>
    </xdr:from>
    <xdr:to>
      <xdr:col>10</xdr:col>
      <xdr:colOff>881349</xdr:colOff>
      <xdr:row>9</xdr:row>
      <xdr:rowOff>448093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BCDD237-81BD-A381-BB38-0A85AFB49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3205" y="4030338"/>
          <a:ext cx="844626" cy="438912"/>
        </a:xfrm>
        <a:prstGeom prst="rect">
          <a:avLst/>
        </a:prstGeom>
      </xdr:spPr>
    </xdr:pic>
    <xdr:clientData/>
  </xdr:twoCellAnchor>
  <xdr:twoCellAnchor editAs="oneCell">
    <xdr:from>
      <xdr:col>10</xdr:col>
      <xdr:colOff>119349</xdr:colOff>
      <xdr:row>9</xdr:row>
      <xdr:rowOff>459036</xdr:rowOff>
    </xdr:from>
    <xdr:to>
      <xdr:col>10</xdr:col>
      <xdr:colOff>789542</xdr:colOff>
      <xdr:row>11</xdr:row>
      <xdr:rowOff>9181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AC94895-6C34-BEE7-1625-C032791BD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5831" y="4480193"/>
          <a:ext cx="670193" cy="486578"/>
        </a:xfrm>
        <a:prstGeom prst="rect">
          <a:avLst/>
        </a:prstGeom>
      </xdr:spPr>
    </xdr:pic>
    <xdr:clientData/>
  </xdr:twoCellAnchor>
  <xdr:twoCellAnchor editAs="oneCell">
    <xdr:from>
      <xdr:col>10</xdr:col>
      <xdr:colOff>36723</xdr:colOff>
      <xdr:row>12</xdr:row>
      <xdr:rowOff>18361</xdr:rowOff>
    </xdr:from>
    <xdr:to>
      <xdr:col>10</xdr:col>
      <xdr:colOff>927253</xdr:colOff>
      <xdr:row>13</xdr:row>
      <xdr:rowOff>73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C31B392-9138-5135-CAB7-1597B4872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3205" y="5444168"/>
          <a:ext cx="890530" cy="438912"/>
        </a:xfrm>
        <a:prstGeom prst="rect">
          <a:avLst/>
        </a:prstGeom>
      </xdr:spPr>
    </xdr:pic>
    <xdr:clientData/>
  </xdr:twoCellAnchor>
  <xdr:twoCellAnchor editAs="oneCell">
    <xdr:from>
      <xdr:col>10</xdr:col>
      <xdr:colOff>73446</xdr:colOff>
      <xdr:row>11</xdr:row>
      <xdr:rowOff>10667</xdr:rowOff>
    </xdr:from>
    <xdr:to>
      <xdr:col>10</xdr:col>
      <xdr:colOff>872169</xdr:colOff>
      <xdr:row>11</xdr:row>
      <xdr:rowOff>449579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07BB132-1729-A0CC-A609-C932F2C34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9928" y="4968257"/>
          <a:ext cx="798723" cy="438912"/>
        </a:xfrm>
        <a:prstGeom prst="rect">
          <a:avLst/>
        </a:prstGeom>
      </xdr:spPr>
    </xdr:pic>
    <xdr:clientData/>
  </xdr:twoCellAnchor>
  <xdr:twoCellAnchor editAs="oneCell">
    <xdr:from>
      <xdr:col>10</xdr:col>
      <xdr:colOff>55084</xdr:colOff>
      <xdr:row>12</xdr:row>
      <xdr:rowOff>449856</xdr:rowOff>
    </xdr:from>
    <xdr:to>
      <xdr:col>10</xdr:col>
      <xdr:colOff>918072</xdr:colOff>
      <xdr:row>14</xdr:row>
      <xdr:rowOff>9180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D64EA88-D3E2-110F-7FA0-9E54C6E42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1566" y="5875663"/>
          <a:ext cx="862988" cy="477397"/>
        </a:xfrm>
        <a:prstGeom prst="rect">
          <a:avLst/>
        </a:prstGeom>
      </xdr:spPr>
    </xdr:pic>
    <xdr:clientData/>
  </xdr:twoCellAnchor>
  <xdr:twoCellAnchor editAs="oneCell">
    <xdr:from>
      <xdr:col>10</xdr:col>
      <xdr:colOff>82626</xdr:colOff>
      <xdr:row>13</xdr:row>
      <xdr:rowOff>403952</xdr:rowOff>
    </xdr:from>
    <xdr:to>
      <xdr:col>11</xdr:col>
      <xdr:colOff>0</xdr:colOff>
      <xdr:row>15</xdr:row>
      <xdr:rowOff>7418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E4F9EB3-EAAA-9611-EB96-705F41244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9108" y="6288795"/>
          <a:ext cx="862988" cy="521539"/>
        </a:xfrm>
        <a:prstGeom prst="rect">
          <a:avLst/>
        </a:prstGeom>
      </xdr:spPr>
    </xdr:pic>
    <xdr:clientData/>
  </xdr:twoCellAnchor>
  <xdr:twoCellAnchor editAs="oneCell">
    <xdr:from>
      <xdr:col>10</xdr:col>
      <xdr:colOff>73446</xdr:colOff>
      <xdr:row>15</xdr:row>
      <xdr:rowOff>9181</xdr:rowOff>
    </xdr:from>
    <xdr:to>
      <xdr:col>11</xdr:col>
      <xdr:colOff>0</xdr:colOff>
      <xdr:row>15</xdr:row>
      <xdr:rowOff>448093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1ECEB19-8E09-4EEB-231C-15FCAB801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9928" y="6812097"/>
          <a:ext cx="872168" cy="438912"/>
        </a:xfrm>
        <a:prstGeom prst="rect">
          <a:avLst/>
        </a:prstGeom>
      </xdr:spPr>
    </xdr:pic>
    <xdr:clientData/>
  </xdr:twoCellAnchor>
  <xdr:twoCellAnchor editAs="oneCell">
    <xdr:from>
      <xdr:col>10</xdr:col>
      <xdr:colOff>165253</xdr:colOff>
      <xdr:row>16</xdr:row>
      <xdr:rowOff>64265</xdr:rowOff>
    </xdr:from>
    <xdr:to>
      <xdr:col>10</xdr:col>
      <xdr:colOff>831273</xdr:colOff>
      <xdr:row>17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DE2FCA2-4FC0-4E63-1DC9-DB890D1A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4162" y="7298317"/>
          <a:ext cx="666020" cy="390956"/>
        </a:xfrm>
        <a:prstGeom prst="rect">
          <a:avLst/>
        </a:prstGeom>
      </xdr:spPr>
    </xdr:pic>
    <xdr:clientData/>
  </xdr:twoCellAnchor>
  <xdr:twoCellAnchor editAs="oneCell">
    <xdr:from>
      <xdr:col>10</xdr:col>
      <xdr:colOff>52552</xdr:colOff>
      <xdr:row>17</xdr:row>
      <xdr:rowOff>43793</xdr:rowOff>
    </xdr:from>
    <xdr:to>
      <xdr:col>10</xdr:col>
      <xdr:colOff>937172</xdr:colOff>
      <xdr:row>18</xdr:row>
      <xdr:rowOff>27257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478D022-1AEE-C911-D1F9-36855931C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0828" y="7733862"/>
          <a:ext cx="884620" cy="438912"/>
        </a:xfrm>
        <a:prstGeom prst="rect">
          <a:avLst/>
        </a:prstGeom>
      </xdr:spPr>
    </xdr:pic>
    <xdr:clientData/>
  </xdr:twoCellAnchor>
  <xdr:twoCellAnchor editAs="oneCell">
    <xdr:from>
      <xdr:col>10</xdr:col>
      <xdr:colOff>78827</xdr:colOff>
      <xdr:row>17</xdr:row>
      <xdr:rowOff>446690</xdr:rowOff>
    </xdr:from>
    <xdr:to>
      <xdr:col>10</xdr:col>
      <xdr:colOff>875862</xdr:colOff>
      <xdr:row>18</xdr:row>
      <xdr:rowOff>430154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5509FF3-10DD-1814-EE09-94990106D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7103" y="8136759"/>
          <a:ext cx="797035" cy="438912"/>
        </a:xfrm>
        <a:prstGeom prst="rect">
          <a:avLst/>
        </a:prstGeom>
      </xdr:spPr>
    </xdr:pic>
    <xdr:clientData/>
  </xdr:twoCellAnchor>
  <xdr:twoCellAnchor editAs="oneCell">
    <xdr:from>
      <xdr:col>10</xdr:col>
      <xdr:colOff>35034</xdr:colOff>
      <xdr:row>18</xdr:row>
      <xdr:rowOff>437931</xdr:rowOff>
    </xdr:from>
    <xdr:to>
      <xdr:col>10</xdr:col>
      <xdr:colOff>893379</xdr:colOff>
      <xdr:row>19</xdr:row>
      <xdr:rowOff>429172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3333BE4-CB6D-A8E2-D9C8-D00179A0D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3310" y="8583448"/>
          <a:ext cx="858345" cy="446690"/>
        </a:xfrm>
        <a:prstGeom prst="rect">
          <a:avLst/>
        </a:prstGeom>
      </xdr:spPr>
    </xdr:pic>
    <xdr:clientData/>
  </xdr:twoCellAnchor>
  <xdr:twoCellAnchor editAs="oneCell">
    <xdr:from>
      <xdr:col>10</xdr:col>
      <xdr:colOff>78827</xdr:colOff>
      <xdr:row>20</xdr:row>
      <xdr:rowOff>26276</xdr:rowOff>
    </xdr:from>
    <xdr:to>
      <xdr:col>10</xdr:col>
      <xdr:colOff>910896</xdr:colOff>
      <xdr:row>21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764B9DD-563D-2484-A860-3C49EC521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7103" y="9082690"/>
          <a:ext cx="832069" cy="429172"/>
        </a:xfrm>
        <a:prstGeom prst="rect">
          <a:avLst/>
        </a:prstGeom>
      </xdr:spPr>
    </xdr:pic>
    <xdr:clientData/>
  </xdr:twoCellAnchor>
  <xdr:twoCellAnchor editAs="oneCell">
    <xdr:from>
      <xdr:col>10</xdr:col>
      <xdr:colOff>70069</xdr:colOff>
      <xdr:row>21</xdr:row>
      <xdr:rowOff>43794</xdr:rowOff>
    </xdr:from>
    <xdr:to>
      <xdr:col>11</xdr:col>
      <xdr:colOff>26276</xdr:colOff>
      <xdr:row>22</xdr:row>
      <xdr:rowOff>27258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18F557C-94F9-9630-27A2-24C9A7066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8345" y="9555656"/>
          <a:ext cx="902138" cy="438912"/>
        </a:xfrm>
        <a:prstGeom prst="rect">
          <a:avLst/>
        </a:prstGeom>
      </xdr:spPr>
    </xdr:pic>
    <xdr:clientData/>
  </xdr:twoCellAnchor>
  <xdr:twoCellAnchor editAs="oneCell">
    <xdr:from>
      <xdr:col>10</xdr:col>
      <xdr:colOff>113862</xdr:colOff>
      <xdr:row>22</xdr:row>
      <xdr:rowOff>70069</xdr:rowOff>
    </xdr:from>
    <xdr:to>
      <xdr:col>10</xdr:col>
      <xdr:colOff>937172</xdr:colOff>
      <xdr:row>22</xdr:row>
      <xdr:rowOff>437931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A422E9E-1AE3-BDF9-9E49-1C9BB5008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9792138" y="10037379"/>
          <a:ext cx="823310" cy="367862"/>
        </a:xfrm>
        <a:prstGeom prst="rect">
          <a:avLst/>
        </a:prstGeom>
      </xdr:spPr>
    </xdr:pic>
    <xdr:clientData/>
  </xdr:twoCellAnchor>
  <xdr:twoCellAnchor editAs="oneCell">
    <xdr:from>
      <xdr:col>10</xdr:col>
      <xdr:colOff>43793</xdr:colOff>
      <xdr:row>23</xdr:row>
      <xdr:rowOff>17514</xdr:rowOff>
    </xdr:from>
    <xdr:to>
      <xdr:col>10</xdr:col>
      <xdr:colOff>928414</xdr:colOff>
      <xdr:row>23</xdr:row>
      <xdr:rowOff>420411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8B2C441-20C8-F7F3-F980-5E4E3B4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9722069" y="10440273"/>
          <a:ext cx="884621" cy="402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31706</xdr:colOff>
      <xdr:row>11</xdr:row>
      <xdr:rowOff>513</xdr:rowOff>
    </xdr:from>
    <xdr:to>
      <xdr:col>10</xdr:col>
      <xdr:colOff>1418896</xdr:colOff>
      <xdr:row>18</xdr:row>
      <xdr:rowOff>195942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56E36D-9BE3-EB29-0296-0FF093FEB30B}"/>
            </a:ext>
          </a:extLst>
        </xdr:cNvPr>
        <xdr:cNvSpPr txBox="1"/>
      </xdr:nvSpPr>
      <xdr:spPr>
        <a:xfrm>
          <a:off x="11439935" y="4670484"/>
          <a:ext cx="4239247" cy="3167229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u="sng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Interpretation</a:t>
          </a:r>
          <a:endParaRPr lang="en-IN" sz="1600">
            <a:solidFill>
              <a:schemeClr val="bg1"/>
            </a:solidFill>
            <a:effectLst/>
            <a:latin typeface="Arial Black" panose="020B0A04020102020204" pitchFamily="34" charset="0"/>
          </a:endParaRPr>
        </a:p>
        <a:p>
          <a:r>
            <a:rPr lang="en-IN" sz="1300">
              <a:latin typeface="Bahnschrift SemiBold SemiConden" panose="020B0502040204020203" pitchFamily="34" charset="0"/>
            </a:rPr>
            <a:t>• </a:t>
          </a:r>
          <a:r>
            <a:rPr lang="en-IN" sz="1300" b="1">
              <a:latin typeface="Bahnschrift SemiBold SemiConden" panose="020B0502040204020203" pitchFamily="34" charset="0"/>
            </a:rPr>
            <a:t>Wins</a:t>
          </a:r>
          <a:r>
            <a:rPr lang="en-IN" sz="1300">
              <a:latin typeface="Bahnschrift SemiBold SemiConden" panose="020B0502040204020203" pitchFamily="34" charset="0"/>
            </a:rPr>
            <a:t> </a:t>
          </a:r>
          <a:r>
            <a:rPr lang="en-IN"/>
            <a:t>show the strongest relationship with </a:t>
          </a:r>
          <a:r>
            <a:rPr lang="en-IN" sz="1400">
              <a:latin typeface="Britannic Bold" panose="020B0903060703020204" pitchFamily="34" charset="0"/>
            </a:rPr>
            <a:t>Points (0.99), </a:t>
          </a:r>
          <a:r>
            <a:rPr lang="en-IN"/>
            <a:t>confirming league ranking is primarily driven by match outcomes.</a:t>
          </a:r>
        </a:p>
        <a:p>
          <a:br>
            <a:rPr lang="en-IN" sz="1300">
              <a:latin typeface="Bahnschrift SemiBold SemiConden" panose="020B0502040204020203" pitchFamily="34" charset="0"/>
            </a:rPr>
          </a:br>
          <a:r>
            <a:rPr lang="en-IN" sz="1300">
              <a:latin typeface="Bahnschrift SemiBold SemiConden" panose="020B0502040204020203" pitchFamily="34" charset="0"/>
            </a:rPr>
            <a:t>• </a:t>
          </a:r>
          <a:r>
            <a:rPr lang="en-IN" sz="1300" b="1">
              <a:latin typeface="Bahnschrift SemiBold SemiConden" panose="020B0502040204020203" pitchFamily="34" charset="0"/>
            </a:rPr>
            <a:t>Goal Difference</a:t>
          </a:r>
          <a:r>
            <a:rPr lang="en-IN" sz="1300">
              <a:latin typeface="Bahnschrift SemiBold SemiConden" panose="020B0502040204020203" pitchFamily="34" charset="0"/>
            </a:rPr>
            <a:t> </a:t>
          </a:r>
          <a:r>
            <a:rPr lang="en-IN" sz="1400">
              <a:latin typeface="Britannic Bold" panose="020B0903060703020204" pitchFamily="34" charset="0"/>
            </a:rPr>
            <a:t>(0.97) </a:t>
          </a:r>
          <a:r>
            <a:rPr lang="en-IN"/>
            <a:t>is a more reliable performance indicator than Goals For alone.</a:t>
          </a:r>
        </a:p>
        <a:p>
          <a:br>
            <a:rPr lang="en-IN"/>
          </a:br>
          <a:r>
            <a:rPr lang="en-IN" sz="1300">
              <a:latin typeface="Bahnschrift SemiBold SemiConden" panose="020B0502040204020203" pitchFamily="34" charset="0"/>
            </a:rPr>
            <a:t>• </a:t>
          </a:r>
          <a:r>
            <a:rPr lang="en-IN" sz="1300" b="1">
              <a:latin typeface="Bahnschrift SemiBold SemiConden" panose="020B0502040204020203" pitchFamily="34" charset="0"/>
            </a:rPr>
            <a:t>Goals Against</a:t>
          </a:r>
          <a:r>
            <a:rPr lang="en-IN" sz="1300">
              <a:latin typeface="Bahnschrift SemiBold SemiConden" panose="020B0502040204020203" pitchFamily="34" charset="0"/>
            </a:rPr>
            <a:t> </a:t>
          </a:r>
          <a:r>
            <a:rPr lang="en-IN"/>
            <a:t>has a strong negative correlation </a:t>
          </a:r>
          <a:r>
            <a:rPr lang="en-IN" sz="1400">
              <a:latin typeface="Britannic Bold" panose="020B0903060703020204" pitchFamily="34" charset="0"/>
            </a:rPr>
            <a:t>(-0.91), </a:t>
          </a:r>
          <a:r>
            <a:rPr lang="en-IN"/>
            <a:t>highlighting defensive strength as a critical success factor.</a:t>
          </a:r>
        </a:p>
        <a:p>
          <a:br>
            <a:rPr lang="en-IN"/>
          </a:br>
          <a:r>
            <a:rPr lang="en-IN"/>
            <a:t>• Overall, both attacking efficiency and defensive stability significantly influence league success.</a:t>
          </a:r>
          <a:endParaRPr lang="en-IN" sz="1100"/>
        </a:p>
      </xdr:txBody>
    </xdr:sp>
    <xdr:clientData/>
  </xdr:twoCellAnchor>
  <xdr:twoCellAnchor>
    <xdr:from>
      <xdr:col>8</xdr:col>
      <xdr:colOff>17518</xdr:colOff>
      <xdr:row>10</xdr:row>
      <xdr:rowOff>17517</xdr:rowOff>
    </xdr:from>
    <xdr:to>
      <xdr:col>10</xdr:col>
      <xdr:colOff>1418896</xdr:colOff>
      <xdr:row>10</xdr:row>
      <xdr:rowOff>394138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99C81D-165D-73D4-1A4A-63C1429A336B}"/>
            </a:ext>
          </a:extLst>
        </xdr:cNvPr>
        <xdr:cNvSpPr txBox="1"/>
      </xdr:nvSpPr>
      <xdr:spPr>
        <a:xfrm>
          <a:off x="11438759" y="4309241"/>
          <a:ext cx="4256689" cy="376621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latin typeface="Arial Black" panose="020B0A04020102020204" pitchFamily="34" charset="0"/>
            </a:rPr>
            <a:t>Analytical Insights</a:t>
          </a:r>
        </a:p>
      </xdr:txBody>
    </xdr:sp>
    <xdr:clientData/>
  </xdr:twoCellAnchor>
  <xdr:twoCellAnchor>
    <xdr:from>
      <xdr:col>8</xdr:col>
      <xdr:colOff>0</xdr:colOff>
      <xdr:row>3</xdr:row>
      <xdr:rowOff>18586</xdr:rowOff>
    </xdr:from>
    <xdr:to>
      <xdr:col>11</xdr:col>
      <xdr:colOff>18586</xdr:colOff>
      <xdr:row>4</xdr:row>
      <xdr:rowOff>9292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AAFD85-043C-2790-7BD5-C436B3313383}"/>
            </a:ext>
          </a:extLst>
        </xdr:cNvPr>
        <xdr:cNvSpPr txBox="1"/>
      </xdr:nvSpPr>
      <xdr:spPr>
        <a:xfrm>
          <a:off x="11374244" y="1300976"/>
          <a:ext cx="4283927" cy="41817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chemeClr val="bg1"/>
              </a:solidFill>
              <a:latin typeface="Arial Black" panose="020B0A04020102020204" pitchFamily="34" charset="0"/>
            </a:rPr>
            <a:t>Metric vs Points Relationship</a:t>
          </a:r>
        </a:p>
      </xdr:txBody>
    </xdr:sp>
    <xdr:clientData/>
  </xdr:twoCellAnchor>
  <xdr:twoCellAnchor>
    <xdr:from>
      <xdr:col>11</xdr:col>
      <xdr:colOff>1413711</xdr:colOff>
      <xdr:row>7</xdr:row>
      <xdr:rowOff>20052</xdr:rowOff>
    </xdr:from>
    <xdr:to>
      <xdr:col>14</xdr:col>
      <xdr:colOff>1403684</xdr:colOff>
      <xdr:row>8</xdr:row>
      <xdr:rowOff>10027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E4C486-FFF3-7FD1-A80F-DADE116DE299}"/>
            </a:ext>
          </a:extLst>
        </xdr:cNvPr>
        <xdr:cNvSpPr txBox="1"/>
      </xdr:nvSpPr>
      <xdr:spPr>
        <a:xfrm>
          <a:off x="17074816" y="1313447"/>
          <a:ext cx="4261184" cy="421106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latin typeface="Arial Black" panose="020B0A04020102020204" pitchFamily="34" charset="0"/>
            </a:rPr>
            <a:t>Criteria</a:t>
          </a:r>
        </a:p>
        <a:p>
          <a:endParaRPr lang="en-IN" sz="1100"/>
        </a:p>
      </xdr:txBody>
    </xdr:sp>
    <xdr:clientData/>
  </xdr:twoCellAnchor>
  <xdr:oneCellAnchor>
    <xdr:from>
      <xdr:col>0</xdr:col>
      <xdr:colOff>0</xdr:colOff>
      <xdr:row>0</xdr:row>
      <xdr:rowOff>10026</xdr:rowOff>
    </xdr:from>
    <xdr:ext cx="21406184" cy="103500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A11B40-BB14-FA5C-3798-90E585BBDF89}"/>
            </a:ext>
          </a:extLst>
        </xdr:cNvPr>
        <xdr:cNvSpPr txBox="1"/>
      </xdr:nvSpPr>
      <xdr:spPr>
        <a:xfrm>
          <a:off x="0" y="10026"/>
          <a:ext cx="21406184" cy="1035003"/>
        </a:xfrm>
        <a:prstGeom prst="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4600">
              <a:latin typeface="Algerian" panose="04020705040A02060702" pitchFamily="82" charset="0"/>
            </a:rPr>
            <a:t>Metric Impact Analysis on League Points</a:t>
          </a: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651709</xdr:colOff>
      <xdr:row>2</xdr:row>
      <xdr:rowOff>108857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3FB091F-58CE-8C4C-C169-6203789C4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7738" cy="95794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12</xdr:col>
      <xdr:colOff>729342</xdr:colOff>
      <xdr:row>0</xdr:row>
      <xdr:rowOff>10885</xdr:rowOff>
    </xdr:from>
    <xdr:to>
      <xdr:col>13</xdr:col>
      <xdr:colOff>512935</xdr:colOff>
      <xdr:row>2</xdr:row>
      <xdr:rowOff>185057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26781F4-9DB9-E967-4823-4C68249B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1685" y="10885"/>
          <a:ext cx="1209621" cy="10232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1107956</xdr:colOff>
      <xdr:row>4</xdr:row>
      <xdr:rowOff>50132</xdr:rowOff>
    </xdr:from>
    <xdr:to>
      <xdr:col>10</xdr:col>
      <xdr:colOff>10026</xdr:colOff>
      <xdr:row>16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23BAFC-8706-E270-4C24-617D26EE6CDD}"/>
            </a:ext>
          </a:extLst>
        </xdr:cNvPr>
        <xdr:cNvSpPr txBox="1"/>
      </xdr:nvSpPr>
      <xdr:spPr>
        <a:xfrm>
          <a:off x="6121114" y="1453816"/>
          <a:ext cx="6421807" cy="4451684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u="sng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Interpretation</a:t>
          </a:r>
          <a:endParaRPr lang="en-IN" sz="1600">
            <a:solidFill>
              <a:schemeClr val="bg1"/>
            </a:solidFill>
            <a:effectLst/>
            <a:latin typeface="Arial Black" panose="020B0A04020102020204" pitchFamily="34" charset="0"/>
          </a:endParaRPr>
        </a:p>
        <a:p>
          <a:endParaRPr lang="en-IN" sz="1100"/>
        </a:p>
        <a:p>
          <a:r>
            <a:rPr lang="en-IN" sz="1200"/>
            <a:t>This table presents normalized values (0–1 scale) for key performance metrics—Goals For, Goals Against, Goal Difference, and Wins—allowing fair comparison across teams.</a:t>
          </a:r>
        </a:p>
        <a:p>
          <a:endParaRPr lang="en-IN"/>
        </a:p>
        <a:p>
          <a:r>
            <a:rPr lang="en-IN" sz="1400" b="1"/>
            <a:t>Higher Normalized GF and Wins</a:t>
          </a:r>
          <a:r>
            <a:rPr lang="en-IN" sz="1400"/>
            <a:t> </a:t>
          </a:r>
          <a:r>
            <a:rPr lang="en-IN" sz="1200"/>
            <a:t>indicate stronger attacking output and match-winning ability.</a:t>
          </a:r>
        </a:p>
        <a:p>
          <a:endParaRPr lang="en-IN"/>
        </a:p>
        <a:p>
          <a:r>
            <a:rPr lang="en-IN" sz="1400" b="1"/>
            <a:t>Lower Normalized GA</a:t>
          </a:r>
          <a:r>
            <a:rPr lang="en-IN" sz="1400"/>
            <a:t> </a:t>
          </a:r>
          <a:r>
            <a:rPr lang="en-IN" sz="1200"/>
            <a:t>reflects better defensive performance.</a:t>
          </a:r>
        </a:p>
        <a:p>
          <a:endParaRPr lang="en-IN"/>
        </a:p>
        <a:p>
          <a:r>
            <a:rPr lang="en-IN" sz="1400" b="1"/>
            <a:t>Normalized GD</a:t>
          </a:r>
          <a:r>
            <a:rPr lang="en-IN" sz="1400"/>
            <a:t> </a:t>
          </a:r>
          <a:r>
            <a:rPr lang="en-IN" sz="1200"/>
            <a:t>captures overall team efficiency and balance.</a:t>
          </a:r>
        </a:p>
        <a:p>
          <a:endParaRPr lang="en-IN"/>
        </a:p>
        <a:p>
          <a:r>
            <a:rPr lang="en-IN" sz="1200"/>
            <a:t>Top teams such as </a:t>
          </a:r>
          <a:r>
            <a:rPr lang="en-IN" sz="1500" b="1" u="sng">
              <a:latin typeface="Bahnschrift SemiBold SemiConden" panose="020B0502040204020203" pitchFamily="34" charset="0"/>
            </a:rPr>
            <a:t>Liverpool</a:t>
          </a:r>
          <a:r>
            <a:rPr lang="en-IN" sz="1500" b="1">
              <a:latin typeface="Bahnschrift SemiBold SemiConden" panose="020B0502040204020203" pitchFamily="34" charset="0"/>
            </a:rPr>
            <a:t>, </a:t>
          </a:r>
          <a:r>
            <a:rPr lang="en-IN" sz="1500" b="1" u="sng">
              <a:latin typeface="Bahnschrift SemiBold SemiConden" panose="020B0502040204020203" pitchFamily="34" charset="0"/>
            </a:rPr>
            <a:t>Man City</a:t>
          </a:r>
          <a:r>
            <a:rPr lang="en-IN" sz="1500" b="1">
              <a:latin typeface="Bahnschrift SemiBold SemiConden" panose="020B0502040204020203" pitchFamily="34" charset="0"/>
            </a:rPr>
            <a:t>, and </a:t>
          </a:r>
          <a:r>
            <a:rPr lang="en-IN" sz="1500" b="1" u="sng">
              <a:latin typeface="Bahnschrift SemiBold SemiConden" panose="020B0502040204020203" pitchFamily="34" charset="0"/>
            </a:rPr>
            <a:t>Arsenal</a:t>
          </a:r>
          <a:r>
            <a:rPr lang="en-IN" sz="1500" u="sng">
              <a:latin typeface="Bahnschrift SemiBold SemiConden" panose="020B0502040204020203" pitchFamily="34" charset="0"/>
            </a:rPr>
            <a:t> </a:t>
          </a:r>
          <a:r>
            <a:rPr lang="en-IN" sz="1200"/>
            <a:t>show consistently high values across most metrics, reflecting strong and balanced performances.</a:t>
          </a:r>
        </a:p>
        <a:p>
          <a:br>
            <a:rPr lang="en-IN"/>
          </a:br>
          <a:r>
            <a:rPr lang="en-IN" sz="1200"/>
            <a:t>Mid-table teams display moderate values, indicating competitiveness with some limitations.</a:t>
          </a:r>
        </a:p>
        <a:p>
          <a:br>
            <a:rPr lang="en-IN" sz="1200"/>
          </a:br>
          <a:r>
            <a:rPr lang="en-IN" sz="1200"/>
            <a:t>Lower-ranked teams like </a:t>
          </a:r>
          <a:r>
            <a:rPr lang="en-IN" sz="1500" b="1" u="sng">
              <a:latin typeface="Bahnschrift SemiBold SemiConden" panose="020B0502040204020203" pitchFamily="34" charset="0"/>
            </a:rPr>
            <a:t>Southampton</a:t>
          </a:r>
          <a:r>
            <a:rPr lang="en-IN" sz="1500" b="1">
              <a:latin typeface="Bahnschrift SemiBold SemiConden" panose="020B0502040204020203" pitchFamily="34" charset="0"/>
            </a:rPr>
            <a:t>, </a:t>
          </a:r>
          <a:r>
            <a:rPr lang="en-IN" sz="1500" b="1" u="sng">
              <a:latin typeface="Bahnschrift SemiBold SemiConden" panose="020B0502040204020203" pitchFamily="34" charset="0"/>
            </a:rPr>
            <a:t>Leicester</a:t>
          </a:r>
          <a:r>
            <a:rPr lang="en-IN" sz="1500" b="1">
              <a:latin typeface="Bahnschrift SemiBold SemiConden" panose="020B0502040204020203" pitchFamily="34" charset="0"/>
            </a:rPr>
            <a:t>, and </a:t>
          </a:r>
          <a:r>
            <a:rPr lang="en-IN" sz="1500" b="1" u="sng">
              <a:latin typeface="Bahnschrift SemiBold SemiConden" panose="020B0502040204020203" pitchFamily="34" charset="0"/>
            </a:rPr>
            <a:t>Ipswich</a:t>
          </a:r>
          <a:r>
            <a:rPr lang="en-IN" u="sng"/>
            <a:t> </a:t>
          </a:r>
          <a:r>
            <a:rPr lang="en-IN" sz="1200"/>
            <a:t>have consistently low normalized scores, highlighting weaknesses in both attack and results.</a:t>
          </a:r>
        </a:p>
        <a:p>
          <a:endParaRPr lang="en-IN"/>
        </a:p>
        <a:p>
          <a:r>
            <a:rPr lang="en-IN" sz="1200"/>
            <a:t>This normalization enables objective comparison and forms the basis for weighted performance scoring and model-based ranking.</a:t>
          </a:r>
        </a:p>
        <a:p>
          <a:endParaRPr lang="en-IN" sz="1100"/>
        </a:p>
      </xdr:txBody>
    </xdr:sp>
    <xdr:clientData/>
  </xdr:twoCellAnchor>
  <xdr:twoCellAnchor>
    <xdr:from>
      <xdr:col>4</xdr:col>
      <xdr:colOff>1096549</xdr:colOff>
      <xdr:row>2</xdr:row>
      <xdr:rowOff>350343</xdr:rowOff>
    </xdr:from>
    <xdr:to>
      <xdr:col>9</xdr:col>
      <xdr:colOff>1213184</xdr:colOff>
      <xdr:row>4</xdr:row>
      <xdr:rowOff>90237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B640BE-6B6D-1585-6DCD-8AA78B6107DF}"/>
            </a:ext>
          </a:extLst>
        </xdr:cNvPr>
        <xdr:cNvSpPr txBox="1"/>
      </xdr:nvSpPr>
      <xdr:spPr>
        <a:xfrm>
          <a:off x="6109707" y="1052185"/>
          <a:ext cx="6383082" cy="441736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500">
              <a:latin typeface="Arial Black" panose="020B0A04020102020204" pitchFamily="34" charset="0"/>
            </a:rPr>
            <a:t>Interpretation: Normalized Team Performance Metrics</a:t>
          </a:r>
        </a:p>
      </xdr:txBody>
    </xdr:sp>
    <xdr:clientData/>
  </xdr:twoCellAnchor>
  <xdr:twoCellAnchor>
    <xdr:from>
      <xdr:col>4</xdr:col>
      <xdr:colOff>1130164</xdr:colOff>
      <xdr:row>18</xdr:row>
      <xdr:rowOff>320841</xdr:rowOff>
    </xdr:from>
    <xdr:to>
      <xdr:col>9</xdr:col>
      <xdr:colOff>1243262</xdr:colOff>
      <xdr:row>28</xdr:row>
      <xdr:rowOff>320843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76533B-3CBB-69C1-CC91-40937AED1ABA}"/>
            </a:ext>
          </a:extLst>
        </xdr:cNvPr>
        <xdr:cNvSpPr txBox="1"/>
      </xdr:nvSpPr>
      <xdr:spPr>
        <a:xfrm>
          <a:off x="6143322" y="6737683"/>
          <a:ext cx="6379545" cy="3509213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0" i="0" u="sng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Interpretation</a:t>
          </a:r>
          <a:endParaRPr kumimoji="0" lang="en-IN" sz="16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r>
            <a:rPr lang="en-IN" sz="1200"/>
            <a:t>The Performance Score is a weighted composite metric based on normalized goals, goal difference, and wins, representing overall team effectiveness.</a:t>
          </a:r>
        </a:p>
        <a:p>
          <a:endParaRPr lang="en-IN" sz="1100"/>
        </a:p>
        <a:p>
          <a:r>
            <a:rPr lang="en-IN" sz="1500" b="1">
              <a:latin typeface="Bahnschrift SemiBold SemiConden" panose="020B0502040204020203" pitchFamily="34" charset="0"/>
            </a:rPr>
            <a:t>Liverpool, Arsenal, and Man City</a:t>
          </a:r>
          <a:r>
            <a:rPr lang="en-IN" sz="1500">
              <a:latin typeface="Bahnschrift SemiBold SemiConden" panose="020B0502040204020203" pitchFamily="34" charset="0"/>
            </a:rPr>
            <a:t> </a:t>
          </a:r>
          <a:r>
            <a:rPr lang="en-IN" sz="1200"/>
            <a:t>rank at the top with very high scores, confirming their consistent dominance across key performance indicators.</a:t>
          </a:r>
        </a:p>
        <a:p>
          <a:endParaRPr lang="en-IN" sz="1100"/>
        </a:p>
        <a:p>
          <a:r>
            <a:rPr lang="en-IN" sz="1200"/>
            <a:t>Teams like </a:t>
          </a:r>
          <a:r>
            <a:rPr lang="en-IN" sz="1500" b="1">
              <a:latin typeface="Bahnschrift SemiBold SemiConden" panose="020B0502040204020203" pitchFamily="34" charset="0"/>
            </a:rPr>
            <a:t>Newcastle, Chelsea, and Aston Villa</a:t>
          </a:r>
          <a:r>
            <a:rPr lang="en-IN">
              <a:latin typeface="Bahnschrift SemiBold SemiConden" panose="020B0502040204020203" pitchFamily="34" charset="0"/>
            </a:rPr>
            <a:t> </a:t>
          </a:r>
          <a:r>
            <a:rPr lang="en-IN" sz="1200"/>
            <a:t>form a strong upper-mid tier, showing competitive but slightly less balanced performances.</a:t>
          </a:r>
        </a:p>
        <a:p>
          <a:endParaRPr lang="en-IN" sz="1100"/>
        </a:p>
        <a:p>
          <a:r>
            <a:rPr lang="en-IN" sz="1200"/>
            <a:t>Mid-table teams have moderate scores, indicating inconsistency across metrics.</a:t>
          </a:r>
        </a:p>
        <a:p>
          <a:br>
            <a:rPr lang="en-IN"/>
          </a:br>
          <a:r>
            <a:rPr lang="en-IN" sz="1200"/>
            <a:t>Lower-ranked teams such as </a:t>
          </a:r>
          <a:r>
            <a:rPr lang="en-IN" sz="1500" b="1">
              <a:latin typeface="Bahnschrift SemiBold SemiConden" panose="020B0502040204020203" pitchFamily="34" charset="0"/>
            </a:rPr>
            <a:t>Southampton, Ipswich, and Leicester</a:t>
          </a:r>
          <a:r>
            <a:rPr lang="en-IN" sz="1500">
              <a:latin typeface="Bahnschrift SemiBold SemiConden" panose="020B0502040204020203" pitchFamily="34" charset="0"/>
            </a:rPr>
            <a:t> </a:t>
          </a:r>
          <a:r>
            <a:rPr lang="en-IN" sz="1200"/>
            <a:t>record low scores, reflecting structural weaknesses in both results and efficiency.</a:t>
          </a:r>
        </a:p>
        <a:p>
          <a:endParaRPr lang="en-IN"/>
        </a:p>
        <a:p>
          <a:r>
            <a:rPr lang="en-IN"/>
            <a:t>The Model Rank closely aligns with </a:t>
          </a:r>
          <a:r>
            <a:rPr lang="en-IN" sz="1200"/>
            <a:t>league outcomes, validating the effectiveness of the weighted scoring approach.</a:t>
          </a:r>
        </a:p>
        <a:p>
          <a:endParaRPr lang="en-IN" sz="1100"/>
        </a:p>
      </xdr:txBody>
    </xdr:sp>
    <xdr:clientData/>
  </xdr:twoCellAnchor>
  <xdr:twoCellAnchor>
    <xdr:from>
      <xdr:col>4</xdr:col>
      <xdr:colOff>1102896</xdr:colOff>
      <xdr:row>17</xdr:row>
      <xdr:rowOff>163038</xdr:rowOff>
    </xdr:from>
    <xdr:to>
      <xdr:col>9</xdr:col>
      <xdr:colOff>1223211</xdr:colOff>
      <xdr:row>18</xdr:row>
      <xdr:rowOff>300788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F477D6-65D3-544A-BED4-E0E702538525}"/>
            </a:ext>
          </a:extLst>
        </xdr:cNvPr>
        <xdr:cNvSpPr txBox="1"/>
      </xdr:nvSpPr>
      <xdr:spPr>
        <a:xfrm>
          <a:off x="6116054" y="6128696"/>
          <a:ext cx="6386762" cy="488671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500">
              <a:latin typeface="Arial Black" panose="020B0A04020102020204" pitchFamily="34" charset="0"/>
            </a:rPr>
            <a:t>Interpretation: Performance Score &amp; Model Rank</a:t>
          </a:r>
        </a:p>
      </xdr:txBody>
    </xdr:sp>
    <xdr:clientData/>
  </xdr:twoCellAnchor>
  <xdr:twoCellAnchor>
    <xdr:from>
      <xdr:col>0</xdr:col>
      <xdr:colOff>30080</xdr:colOff>
      <xdr:row>6</xdr:row>
      <xdr:rowOff>40107</xdr:rowOff>
    </xdr:from>
    <xdr:to>
      <xdr:col>4</xdr:col>
      <xdr:colOff>39044</xdr:colOff>
      <xdr:row>7</xdr:row>
      <xdr:rowOff>350686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BBDB369-C157-8BAF-D5AB-A2CEAC5E0506}"/>
            </a:ext>
          </a:extLst>
        </xdr:cNvPr>
        <xdr:cNvSpPr txBox="1"/>
      </xdr:nvSpPr>
      <xdr:spPr>
        <a:xfrm>
          <a:off x="30080" y="2145633"/>
          <a:ext cx="5022122" cy="66150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latin typeface="Arial Black" panose="020B0A04020102020204" pitchFamily="34" charset="0"/>
            </a:rPr>
            <a:t> Normalized Team Performance Metrics  </a:t>
          </a:r>
        </a:p>
      </xdr:txBody>
    </xdr:sp>
    <xdr:clientData/>
  </xdr:twoCellAnchor>
  <xdr:twoCellAnchor>
    <xdr:from>
      <xdr:col>10</xdr:col>
      <xdr:colOff>1252482</xdr:colOff>
      <xdr:row>6</xdr:row>
      <xdr:rowOff>40106</xdr:rowOff>
    </xdr:from>
    <xdr:to>
      <xdr:col>14</xdr:col>
      <xdr:colOff>30079</xdr:colOff>
      <xdr:row>8</xdr:row>
      <xdr:rowOff>160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68403BE-E250-25F3-3602-872AD574EA5C}"/>
            </a:ext>
          </a:extLst>
        </xdr:cNvPr>
        <xdr:cNvSpPr txBox="1"/>
      </xdr:nvSpPr>
      <xdr:spPr>
        <a:xfrm>
          <a:off x="13785377" y="2145632"/>
          <a:ext cx="3790755" cy="661896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latin typeface="Arial Black" panose="020B0A04020102020204" pitchFamily="34" charset="0"/>
            </a:rPr>
            <a:t>Weighted Performance  &amp; Model Rank  </a:t>
          </a:r>
        </a:p>
      </xdr:txBody>
    </xdr:sp>
    <xdr:clientData/>
  </xdr:twoCellAnchor>
  <xdr:twoCellAnchor>
    <xdr:from>
      <xdr:col>0</xdr:col>
      <xdr:colOff>30078</xdr:colOff>
      <xdr:row>0</xdr:row>
      <xdr:rowOff>20053</xdr:rowOff>
    </xdr:from>
    <xdr:to>
      <xdr:col>14</xdr:col>
      <xdr:colOff>1230923</xdr:colOff>
      <xdr:row>2</xdr:row>
      <xdr:rowOff>117230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7E70A30-582D-0BB2-E4E3-FFE1833E2231}"/>
            </a:ext>
          </a:extLst>
        </xdr:cNvPr>
        <xdr:cNvSpPr txBox="1"/>
      </xdr:nvSpPr>
      <xdr:spPr>
        <a:xfrm>
          <a:off x="30078" y="20053"/>
          <a:ext cx="18844076" cy="800562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000">
              <a:latin typeface="Algerian" panose="04020705040A02060702" pitchFamily="82" charset="0"/>
            </a:rPr>
            <a:t>Normalized Performance &amp; Weighted Ranking Model</a:t>
          </a:r>
        </a:p>
      </xdr:txBody>
    </xdr:sp>
    <xdr:clientData/>
  </xdr:twoCellAnchor>
  <xdr:twoCellAnchor editAs="oneCell">
    <xdr:from>
      <xdr:col>0</xdr:col>
      <xdr:colOff>0</xdr:colOff>
      <xdr:row>0</xdr:row>
      <xdr:rowOff>9769</xdr:rowOff>
    </xdr:from>
    <xdr:to>
      <xdr:col>1</xdr:col>
      <xdr:colOff>791307</xdr:colOff>
      <xdr:row>2</xdr:row>
      <xdr:rowOff>107462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B4A0E18-84C8-8FAC-6BFB-66BECC78A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69"/>
          <a:ext cx="2051538" cy="801078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87923</xdr:colOff>
      <xdr:row>0</xdr:row>
      <xdr:rowOff>87922</xdr:rowOff>
    </xdr:from>
    <xdr:to>
      <xdr:col>14</xdr:col>
      <xdr:colOff>175846</xdr:colOff>
      <xdr:row>2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D31AB96-272C-BF27-DE8D-7D1E23AD5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0923" y="87922"/>
          <a:ext cx="1348154" cy="6154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</xdr:colOff>
      <xdr:row>10</xdr:row>
      <xdr:rowOff>0</xdr:rowOff>
    </xdr:from>
    <xdr:to>
      <xdr:col>7</xdr:col>
      <xdr:colOff>2230438</xdr:colOff>
      <xdr:row>19</xdr:row>
      <xdr:rowOff>420688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71EF42-D4D1-F27C-4D96-7933D0D1048E}"/>
            </a:ext>
          </a:extLst>
        </xdr:cNvPr>
        <xdr:cNvSpPr txBox="1"/>
      </xdr:nvSpPr>
      <xdr:spPr>
        <a:xfrm>
          <a:off x="8607425" y="4286250"/>
          <a:ext cx="3624263" cy="4278313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0" i="0" u="sng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Interpretation</a:t>
          </a:r>
          <a:endParaRPr lang="en-IN" sz="1600">
            <a:effectLst/>
            <a:latin typeface="Arial Black" panose="020B0A04020102020204" pitchFamily="34" charset="0"/>
          </a:endParaRPr>
        </a:p>
        <a:p>
          <a:r>
            <a:rPr lang="en-IN"/>
            <a:t>This analysis highlights how dependent each team’s league points are on home matches.</a:t>
          </a:r>
        </a:p>
        <a:p>
          <a:br>
            <a:rPr lang="en-IN"/>
          </a:br>
          <a:r>
            <a:rPr lang="en-IN"/>
            <a:t>Teams like </a:t>
          </a:r>
          <a:r>
            <a:rPr lang="en-IN" sz="1300" b="1">
              <a:latin typeface="Bahnschrift SemiBold SemiConden" panose="020B0502040204020203" pitchFamily="34" charset="0"/>
            </a:rPr>
            <a:t>Aston Villa, Leicester, Chelsea, and Man City</a:t>
          </a:r>
          <a:r>
            <a:rPr lang="en-IN" sz="1300">
              <a:latin typeface="Bahnschrift SemiBold SemiConden" panose="020B0502040204020203" pitchFamily="34" charset="0"/>
            </a:rPr>
            <a:t> </a:t>
          </a:r>
          <a:r>
            <a:rPr lang="en-IN"/>
            <a:t>show high home dependence (≈59–61%), indicating strong home advantage but relatively weaker away performance.</a:t>
          </a:r>
        </a:p>
        <a:p>
          <a:br>
            <a:rPr lang="en-IN"/>
          </a:br>
          <a:r>
            <a:rPr lang="en-IN" sz="1300" b="1">
              <a:latin typeface="Bahnschrift SemiBold SemiConden" panose="020B0502040204020203" pitchFamily="34" charset="0"/>
            </a:rPr>
            <a:t>Ipswich</a:t>
          </a:r>
          <a:r>
            <a:rPr lang="en-IN"/>
            <a:t> stands out with low home dependence, suggesting most points were earned away from home.</a:t>
          </a:r>
        </a:p>
        <a:p>
          <a:br>
            <a:rPr lang="en-IN"/>
          </a:br>
          <a:r>
            <a:rPr lang="en-IN"/>
            <a:t>Top teams such as </a:t>
          </a:r>
          <a:r>
            <a:rPr lang="en-IN" sz="1300" b="1">
              <a:latin typeface="Bahnschrift SemiBold SemiConden" panose="020B0502040204020203" pitchFamily="34" charset="0"/>
            </a:rPr>
            <a:t>Liverpool and Arsenal</a:t>
          </a:r>
          <a:r>
            <a:rPr lang="en-IN" sz="1300">
              <a:latin typeface="Bahnschrift SemiBold SemiConden" panose="020B0502040204020203" pitchFamily="34" charset="0"/>
            </a:rPr>
            <a:t> </a:t>
          </a:r>
          <a:r>
            <a:rPr lang="en-IN"/>
            <a:t>maintain a balanced points distribution between home and away games, reflecting consistency and tactical adaptability.</a:t>
          </a:r>
        </a:p>
        <a:p>
          <a:endParaRPr lang="en-IN"/>
        </a:p>
        <a:p>
          <a:r>
            <a:rPr lang="en-IN"/>
            <a:t>Overall, teams with </a:t>
          </a:r>
          <a:r>
            <a:rPr lang="en-IN" b="1"/>
            <a:t>lower home dependence tend to be more stable league performers</a:t>
          </a:r>
          <a:r>
            <a:rPr lang="en-IN"/>
            <a:t>, while high dependence may signal vulnerability in away fixtures.</a:t>
          </a:r>
        </a:p>
        <a:p>
          <a:endParaRPr lang="en-IN" sz="1100"/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8</xdr:col>
      <xdr:colOff>0</xdr:colOff>
      <xdr:row>9</xdr:row>
      <xdr:rowOff>420688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0EB264-FDE7-A412-6474-EB7DEE87FD9D}"/>
            </a:ext>
          </a:extLst>
        </xdr:cNvPr>
        <xdr:cNvSpPr txBox="1"/>
      </xdr:nvSpPr>
      <xdr:spPr>
        <a:xfrm>
          <a:off x="8572500" y="3857625"/>
          <a:ext cx="3667125" cy="420688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>
              <a:latin typeface="Arial Black" panose="020B0A04020102020204" pitchFamily="34" charset="0"/>
            </a:rPr>
            <a:t>Key Insights from Home vs Away Analysis</a:t>
          </a:r>
          <a:endParaRPr lang="en-IN" sz="11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24848</xdr:colOff>
      <xdr:row>0</xdr:row>
      <xdr:rowOff>16565</xdr:rowOff>
    </xdr:from>
    <xdr:to>
      <xdr:col>10</xdr:col>
      <xdr:colOff>16565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5D01EE-5BB3-F998-D2D8-664664EC6DD8}"/>
            </a:ext>
          </a:extLst>
        </xdr:cNvPr>
        <xdr:cNvSpPr txBox="1"/>
      </xdr:nvSpPr>
      <xdr:spPr>
        <a:xfrm>
          <a:off x="24848" y="16565"/>
          <a:ext cx="15049500" cy="844826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500">
              <a:latin typeface="Algerian" panose="04020705040A02060702" pitchFamily="82" charset="0"/>
            </a:rPr>
            <a:t>Team-wise Home vs Away Points Breakdown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1134717</xdr:colOff>
      <xdr:row>1</xdr:row>
      <xdr:rowOff>410552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D521CF-551E-DFF1-B06E-0A5E9D1E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4717" cy="841248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9</xdr:col>
      <xdr:colOff>430696</xdr:colOff>
      <xdr:row>0</xdr:row>
      <xdr:rowOff>33130</xdr:rowOff>
    </xdr:from>
    <xdr:to>
      <xdr:col>9</xdr:col>
      <xdr:colOff>1391478</xdr:colOff>
      <xdr:row>1</xdr:row>
      <xdr:rowOff>422413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E7377B-5DDC-66F9-CB13-EA9CFCB2B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3870" y="33130"/>
          <a:ext cx="960782" cy="8199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25</xdr:col>
      <xdr:colOff>7620</xdr:colOff>
      <xdr:row>3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477023-7C98-4DD8-7DCD-A91A86C2E508}"/>
            </a:ext>
          </a:extLst>
        </xdr:cNvPr>
        <xdr:cNvSpPr txBox="1"/>
      </xdr:nvSpPr>
      <xdr:spPr>
        <a:xfrm>
          <a:off x="7620" y="7620"/>
          <a:ext cx="15476220" cy="70866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000">
              <a:latin typeface="Algerian" panose="04020705040A02060702" pitchFamily="82" charset="0"/>
            </a:rPr>
            <a:t>Premier League 2024/25 – Performance Analytics Dashboard</a:t>
          </a:r>
        </a:p>
      </xdr:txBody>
    </xdr:sp>
    <xdr:clientData/>
  </xdr:twoCellAnchor>
  <xdr:twoCellAnchor editAs="oneCell">
    <xdr:from>
      <xdr:col>0</xdr:col>
      <xdr:colOff>15240</xdr:colOff>
      <xdr:row>0</xdr:row>
      <xdr:rowOff>15240</xdr:rowOff>
    </xdr:from>
    <xdr:to>
      <xdr:col>2</xdr:col>
      <xdr:colOff>182217</xdr:colOff>
      <xdr:row>3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9777C2-983C-12EE-8AEE-60FB07DE3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15240"/>
          <a:ext cx="1392803" cy="65333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22</xdr:col>
      <xdr:colOff>99060</xdr:colOff>
      <xdr:row>0</xdr:row>
      <xdr:rowOff>91440</xdr:rowOff>
    </xdr:from>
    <xdr:to>
      <xdr:col>23</xdr:col>
      <xdr:colOff>327660</xdr:colOff>
      <xdr:row>3</xdr:row>
      <xdr:rowOff>99060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78EAC7-A21E-E1BA-C219-6AC8A54E9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0260" y="91440"/>
          <a:ext cx="838200" cy="556260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7</xdr:row>
      <xdr:rowOff>175260</xdr:rowOff>
    </xdr:from>
    <xdr:to>
      <xdr:col>9</xdr:col>
      <xdr:colOff>22860</xdr:colOff>
      <xdr:row>29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C4FC05-2D37-4C32-95DE-5B79D4D4F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30</xdr:row>
      <xdr:rowOff>175260</xdr:rowOff>
    </xdr:from>
    <xdr:to>
      <xdr:col>9</xdr:col>
      <xdr:colOff>0</xdr:colOff>
      <xdr:row>53</xdr:row>
      <xdr:rowOff>138684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892034-1DA5-4CF0-8608-531052C47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15240</xdr:colOff>
      <xdr:row>8</xdr:row>
      <xdr:rowOff>38100</xdr:rowOff>
    </xdr:from>
    <xdr:to>
      <xdr:col>20</xdr:col>
      <xdr:colOff>38100</xdr:colOff>
      <xdr:row>29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294FDE8-5623-BA31-BEF1-9BDF04FBF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20</xdr:col>
      <xdr:colOff>27432</xdr:colOff>
      <xdr:row>54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021A8BC-B341-4456-AE91-6FE64C111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55</xdr:row>
      <xdr:rowOff>15239</xdr:rowOff>
    </xdr:from>
    <xdr:to>
      <xdr:col>9</xdr:col>
      <xdr:colOff>0</xdr:colOff>
      <xdr:row>77</xdr:row>
      <xdr:rowOff>161543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D2EAB7-D681-4641-B2AE-D36FE30A9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55</xdr:row>
      <xdr:rowOff>0</xdr:rowOff>
    </xdr:from>
    <xdr:to>
      <xdr:col>20</xdr:col>
      <xdr:colOff>0</xdr:colOff>
      <xdr:row>77</xdr:row>
      <xdr:rowOff>146304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7BB0108-B6C7-4A49-A052-60DC1BFC5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</xdr:colOff>
      <xdr:row>31</xdr:row>
      <xdr:rowOff>0</xdr:rowOff>
    </xdr:from>
    <xdr:to>
      <xdr:col>24</xdr:col>
      <xdr:colOff>381001</xdr:colOff>
      <xdr:row>54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E252A18-8942-4873-A3B3-57A235DF2213}"/>
            </a:ext>
          </a:extLst>
        </xdr:cNvPr>
        <xdr:cNvSpPr txBox="1"/>
      </xdr:nvSpPr>
      <xdr:spPr>
        <a:xfrm>
          <a:off x="12801601" y="6583680"/>
          <a:ext cx="2446020" cy="4221480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300" u="sng">
              <a:solidFill>
                <a:schemeClr val="bg1"/>
              </a:solidFill>
              <a:latin typeface="Arial Black" panose="020B0A04020102020204" pitchFamily="34" charset="0"/>
            </a:rPr>
            <a:t>Key Dashboard Insights</a:t>
          </a:r>
        </a:p>
        <a:p>
          <a:pPr algn="ctr"/>
          <a:endParaRPr lang="en-IN" sz="1300" u="sng">
            <a:latin typeface="Arial Black" panose="020B0A04020102020204" pitchFamily="34" charset="0"/>
          </a:endParaRPr>
        </a:p>
        <a:p>
          <a:pPr algn="l"/>
          <a:r>
            <a:rPr lang="en-IN" sz="1400"/>
            <a:t>• </a:t>
          </a:r>
          <a:r>
            <a:rPr lang="en-IN" sz="1400" b="1"/>
            <a:t>Wins and Goal Difference show the strongest influence on league points</a:t>
          </a:r>
        </a:p>
        <a:p>
          <a:pPr algn="l"/>
          <a:br>
            <a:rPr lang="en-IN" sz="1400"/>
          </a:br>
          <a:r>
            <a:rPr lang="en-IN" sz="1400"/>
            <a:t>• </a:t>
          </a:r>
          <a:r>
            <a:rPr lang="en-IN" sz="1400" b="1"/>
            <a:t>Liverpool and Arsenal dominate both actual and model rankings</a:t>
          </a:r>
        </a:p>
        <a:p>
          <a:pPr algn="l"/>
          <a:br>
            <a:rPr lang="en-IN" sz="1400" b="1"/>
          </a:br>
          <a:r>
            <a:rPr lang="en-IN" sz="1400" b="1"/>
            <a:t>• Some mid-table teams</a:t>
          </a:r>
        </a:p>
        <a:p>
          <a:pPr algn="l"/>
          <a:r>
            <a:rPr lang="en-IN" sz="1400" b="1"/>
            <a:t>outperform their league rank based on performance score</a:t>
          </a:r>
        </a:p>
        <a:p>
          <a:pPr algn="l"/>
          <a:br>
            <a:rPr lang="en-IN" sz="1400"/>
          </a:br>
          <a:r>
            <a:rPr lang="en-IN" sz="1400" b="1"/>
            <a:t>• Home advantage plays a significant role for top-half teams</a:t>
          </a:r>
          <a:endParaRPr lang="en-IN" sz="1300" b="1" u="sng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21</xdr:col>
      <xdr:colOff>1</xdr:colOff>
      <xdr:row>55</xdr:row>
      <xdr:rowOff>0</xdr:rowOff>
    </xdr:from>
    <xdr:to>
      <xdr:col>24</xdr:col>
      <xdr:colOff>434340</xdr:colOff>
      <xdr:row>78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05DF2BF-42D2-496B-91EA-C6C107CCFC41}"/>
            </a:ext>
          </a:extLst>
        </xdr:cNvPr>
        <xdr:cNvSpPr txBox="1"/>
      </xdr:nvSpPr>
      <xdr:spPr>
        <a:xfrm>
          <a:off x="12801601" y="10972800"/>
          <a:ext cx="2499359" cy="4206240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300" u="sng">
              <a:solidFill>
                <a:schemeClr val="bg1"/>
              </a:solidFill>
              <a:latin typeface="Arial Black" panose="020B0A04020102020204" pitchFamily="34" charset="0"/>
            </a:rPr>
            <a:t>Performance Model Overview</a:t>
          </a:r>
        </a:p>
        <a:p>
          <a:pPr algn="l"/>
          <a:endParaRPr lang="en-IN" sz="1300" u="sng">
            <a:solidFill>
              <a:schemeClr val="bg1"/>
            </a:solidFill>
            <a:latin typeface="Arial Black" panose="020B0A04020102020204" pitchFamily="34" charset="0"/>
          </a:endParaRPr>
        </a:p>
        <a:p>
          <a:pPr algn="l"/>
          <a:r>
            <a:rPr lang="en-IN" sz="1400" b="1"/>
            <a:t>The performance score is calculated using a weighted normalized model:</a:t>
          </a:r>
          <a:br>
            <a:rPr lang="en-IN" sz="1400" b="1"/>
          </a:br>
          <a:r>
            <a:rPr lang="en-IN" sz="14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Goal Difference (40%), Wins (30%), Goals For (20%), Goals Against (10%).</a:t>
          </a:r>
        </a:p>
        <a:p>
          <a:pPr algn="l"/>
          <a:br>
            <a:rPr lang="en-IN" sz="1400" b="1"/>
          </a:br>
          <a:r>
            <a:rPr lang="en-IN" sz="1400" b="1"/>
            <a:t>This ensures fair comparison across teams with different performance scales.</a:t>
          </a:r>
          <a:endParaRPr lang="en-IN" sz="1300" b="1" u="sng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32F6F4A-7CE1-48E0-A3F1-02F6A85A2375}" autoFormatId="16" applyNumberFormats="0" applyBorderFormats="0" applyFontFormats="0" applyPatternFormats="0" applyAlignmentFormats="0" applyWidthHeightFormats="0">
  <queryTableRefresh nextId="17">
    <queryTableFields count="16">
      <queryTableField id="1" name="Date" tableColumnId="1"/>
      <queryTableField id="2" name="HomeTeam" tableColumnId="2"/>
      <queryTableField id="3" name="AwayTeam" tableColumnId="3"/>
      <queryTableField id="4" name="FTHG" tableColumnId="4"/>
      <queryTableField id="5" name="FTAG" tableColumnId="5"/>
      <queryTableField id="6" name="FTR" tableColumnId="6"/>
      <queryTableField id="7" name="HTHG" tableColumnId="7"/>
      <queryTableField id="8" name="HTAG" tableColumnId="8"/>
      <queryTableField id="9" name="HS" tableColumnId="9"/>
      <queryTableField id="10" name="AS" tableColumnId="10"/>
      <queryTableField id="11" name="HST" tableColumnId="11"/>
      <queryTableField id="12" name="AST" tableColumnId="12"/>
      <queryTableField id="13" name="HF" tableColumnId="13"/>
      <queryTableField id="14" name="AF" tableColumnId="14"/>
      <queryTableField id="15" name="HC" tableColumnId="15"/>
      <queryTableField id="16" name="AC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2C4489F-E025-4590-9172-C10C6DE7F69E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Team" tableColumnId="2"/>
      <queryTableField id="3" name="Opponent" tableColumnId="3"/>
      <queryTableField id="4" name="Goals_for" tableColumnId="4"/>
      <queryTableField id="5" name="Goals_against" tableColumnId="5"/>
      <queryTableField id="6" name="FTR" tableColumnId="6"/>
      <queryTableField id="7" name="Shots" tableColumnId="7"/>
      <queryTableField id="8" name="Shots_on_target" tableColumnId="8"/>
      <queryTableField id="9" name="Venue" tableColumnId="9"/>
      <queryTableField id="10" name="Points" tableColumnId="10"/>
      <queryTableField id="11" name="Results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198D3-3283-42E7-8DE5-EDF8C4C06753}" name="Table1" displayName="Table1" ref="A1:DP381" totalsRowShown="0">
  <autoFilter ref="A1:DP381" xr:uid="{644198D3-3283-42E7-8DE5-EDF8C4C06753}"/>
  <tableColumns count="120">
    <tableColumn id="1" xr3:uid="{1CFE905E-7A25-4FDD-882C-BF1A54000D91}" name="Div"/>
    <tableColumn id="2" xr3:uid="{2F5FEDB7-5149-4BEC-8C9B-7A6B0F6AC972}" name="Date"/>
    <tableColumn id="3" xr3:uid="{886ED39B-4FA9-4792-B305-5A084D0356E7}" name="Time" dataDxfId="41"/>
    <tableColumn id="4" xr3:uid="{08D8C236-8BF2-4881-8877-3E5F4A9DD5E0}" name="HomeTeam"/>
    <tableColumn id="5" xr3:uid="{EBDA3963-195E-4466-9124-F76548798309}" name="AwayTeam"/>
    <tableColumn id="6" xr3:uid="{AFD98956-93C7-47BD-9440-5BA98F5EE89B}" name="FTHG"/>
    <tableColumn id="7" xr3:uid="{4EB7AB10-4300-4BDA-9A70-FEEA06852299}" name="FTAG"/>
    <tableColumn id="8" xr3:uid="{D876C778-6ED4-406D-99D1-BA740694C442}" name="FTR"/>
    <tableColumn id="9" xr3:uid="{1AC3B15D-7B56-4DA8-A96D-35F9CE16CFBB}" name="HTHG"/>
    <tableColumn id="10" xr3:uid="{E23347C6-9853-4C5B-B7D1-EC75300FDDE0}" name="HTAG"/>
    <tableColumn id="11" xr3:uid="{1ECDE0D0-B03C-4DEE-BC56-41549A7B99C9}" name="HTR"/>
    <tableColumn id="12" xr3:uid="{940F64E6-0000-4E5D-B2B6-66718AB84D1C}" name="Referee"/>
    <tableColumn id="13" xr3:uid="{137D3DDE-D148-4A25-A2DF-A75A6EF25D79}" name="HS"/>
    <tableColumn id="14" xr3:uid="{8563B46C-E1B9-4398-A609-4822CE7A0794}" name="AS"/>
    <tableColumn id="15" xr3:uid="{34CA0D9C-EDC2-4F03-B3B1-8D4878F1F68C}" name="HST"/>
    <tableColumn id="16" xr3:uid="{8BC91039-2021-4F9E-AF93-C96CBB7EB740}" name="AST"/>
    <tableColumn id="17" xr3:uid="{67E5A646-3D05-4057-898E-1A72426797C4}" name="HF"/>
    <tableColumn id="18" xr3:uid="{C63B6458-BF6C-4098-9F52-D76CD4BA367A}" name="AF"/>
    <tableColumn id="19" xr3:uid="{8652A2CF-5D9A-4FBA-BF88-3361974876ED}" name="HC"/>
    <tableColumn id="20" xr3:uid="{10D440E3-5B7A-49FA-8FB1-428830DD32F3}" name="AC"/>
    <tableColumn id="21" xr3:uid="{A2CF8636-FC5B-419E-A4C9-AF6C914E1DB7}" name="HY"/>
    <tableColumn id="22" xr3:uid="{31EB369A-D8D7-4AB5-88D3-06BC61D1802B}" name="AY"/>
    <tableColumn id="23" xr3:uid="{2576A03C-63E3-4726-83ED-F3EDF6468299}" name="HR"/>
    <tableColumn id="24" xr3:uid="{16C92D7F-BF43-4330-A8CB-F0F1EA1E9300}" name="AR"/>
    <tableColumn id="25" xr3:uid="{DFF89443-E1DA-48CC-88BA-FEAFF65D1835}" name="B365H"/>
    <tableColumn id="26" xr3:uid="{0CE29962-43AC-4996-83B4-E1538E3AB4F6}" name="B365D"/>
    <tableColumn id="27" xr3:uid="{42E190C0-F41A-4BC7-B1F5-CCA3AC2A5BC4}" name="B365A"/>
    <tableColumn id="28" xr3:uid="{87E131B9-EF3A-492E-8500-33AB3DE1983C}" name="BWH"/>
    <tableColumn id="29" xr3:uid="{2FCCD4C5-A15E-4D26-B74E-3CCFCE10101A}" name="BWD"/>
    <tableColumn id="30" xr3:uid="{FBBBE0CF-3F5C-490F-96D2-0D3A1685307F}" name="BWA"/>
    <tableColumn id="31" xr3:uid="{7C8C1BF1-D83D-454B-BEC7-EA4FC1499AE8}" name="BFH"/>
    <tableColumn id="32" xr3:uid="{9F22DDEE-ABAF-4122-AD5A-E492ECA399CB}" name="BFD"/>
    <tableColumn id="33" xr3:uid="{9EF80833-E631-4576-8397-989A47BAA742}" name="BFA"/>
    <tableColumn id="34" xr3:uid="{915CD5B8-B642-4593-9B87-A51B698B04B0}" name="PSH"/>
    <tableColumn id="35" xr3:uid="{D6A8A43E-7729-441F-B871-8BE3BFF2AF02}" name="PSD"/>
    <tableColumn id="36" xr3:uid="{0BD6D042-B51B-4DB2-B123-070B60D472F6}" name="PSA"/>
    <tableColumn id="37" xr3:uid="{498B3896-56FD-4997-A556-445330F45B40}" name="WHH"/>
    <tableColumn id="38" xr3:uid="{3E056B59-4E60-47F5-B453-A65524C4DF02}" name="WHD"/>
    <tableColumn id="39" xr3:uid="{A22B1946-113C-429F-8797-4FA869549454}" name="WHA"/>
    <tableColumn id="40" xr3:uid="{D036CE23-F975-45B8-9C1F-873F589062AF}" name="1XBH"/>
    <tableColumn id="41" xr3:uid="{F247D67D-EAD8-404D-82A0-F03BC6AA07E3}" name="1XBD"/>
    <tableColumn id="42" xr3:uid="{FB70C670-B9BF-4A78-A5CD-0A1A0FBDAC75}" name="1XBA"/>
    <tableColumn id="43" xr3:uid="{B54E63D2-06D9-4DFF-832A-C5E139C7DA92}" name="MaxH"/>
    <tableColumn id="44" xr3:uid="{5B52B303-87B5-4CEB-8891-BE161F980E02}" name="MaxD"/>
    <tableColumn id="45" xr3:uid="{78FFFF72-CFEA-4649-B150-AF79136C2636}" name="MaxA"/>
    <tableColumn id="46" xr3:uid="{501F73FF-629D-42F0-B711-4163662656F4}" name="AvgH"/>
    <tableColumn id="47" xr3:uid="{F97B730A-5151-44E1-A515-CD3A3D75249A}" name="AvgD"/>
    <tableColumn id="48" xr3:uid="{E3093493-2ADF-4B5C-9D96-8454ECBBA733}" name="AvgA"/>
    <tableColumn id="49" xr3:uid="{48170C39-9E33-4BA6-9ACC-348A0CA3E4CC}" name="BFEH"/>
    <tableColumn id="50" xr3:uid="{BF1492DD-DA76-404E-8908-859351D24B14}" name="BFED"/>
    <tableColumn id="51" xr3:uid="{EF9B1EDD-4EC3-4BFB-8187-2D1C703A7D09}" name="BFEA"/>
    <tableColumn id="52" xr3:uid="{65933E62-48D0-4176-BA20-C23A92B28B35}" name="B365&gt;2.5"/>
    <tableColumn id="53" xr3:uid="{DF234D60-CE74-48A7-AACC-B05922DB5293}" name="B365&lt;2.5"/>
    <tableColumn id="54" xr3:uid="{1F7C573D-5C25-4D17-BC20-D5BBDBBDB01F}" name="P&gt;2.5"/>
    <tableColumn id="55" xr3:uid="{522E8188-7D8D-4DB9-8642-4B10E65DCE08}" name="P&lt;2.5"/>
    <tableColumn id="56" xr3:uid="{BCA8952B-6200-48BC-915F-6BCDFA2FE171}" name="Max&gt;2.5"/>
    <tableColumn id="57" xr3:uid="{A2258417-A591-4DFB-9E02-CBCF9B0E3AAC}" name="Max&lt;2.5"/>
    <tableColumn id="58" xr3:uid="{9EB2DA50-6212-4084-83E8-6B38497F5418}" name="Avg&gt;2.5"/>
    <tableColumn id="59" xr3:uid="{4CB26C1A-0CA7-4E2C-A5CB-80D99EB666ED}" name="Avg&lt;2.5"/>
    <tableColumn id="60" xr3:uid="{FAC5A1A7-DB8A-4DBB-8EF8-4919A8F4967E}" name="BFE&gt;2.5"/>
    <tableColumn id="61" xr3:uid="{80867A44-528D-43E0-8BA6-2DCB904DA2A4}" name="BFE&lt;2.5"/>
    <tableColumn id="62" xr3:uid="{68D6B46F-4CFE-4D13-A764-C1825EB7D9D7}" name="AHh"/>
    <tableColumn id="63" xr3:uid="{F96F71C4-167F-459D-B6E2-D8095F6209F7}" name="B365AHH"/>
    <tableColumn id="64" xr3:uid="{5AE12E85-C5C8-4229-9B49-ED980F5458B0}" name="B365AHA"/>
    <tableColumn id="65" xr3:uid="{92B9AF03-481D-479B-9985-7D66FB86CCF7}" name="PAHH"/>
    <tableColumn id="66" xr3:uid="{62802703-D0E4-436B-A226-A6328B317D24}" name="PAHA"/>
    <tableColumn id="67" xr3:uid="{1C1C1E10-DBD8-4604-9888-773D7C833ED1}" name="MaxAHH"/>
    <tableColumn id="68" xr3:uid="{D0CE85EC-E5D0-4AA1-B803-F70C0463922C}" name="MaxAHA"/>
    <tableColumn id="69" xr3:uid="{12481F59-8A17-4BEF-A281-F51A30BEF8EE}" name="AvgAHH"/>
    <tableColumn id="70" xr3:uid="{D99BAF8B-E68D-41CC-A26B-9A6E9AFBF30A}" name="AvgAHA"/>
    <tableColumn id="71" xr3:uid="{58617999-1416-46B2-BFCE-0D4154055EEA}" name="BFEAHH"/>
    <tableColumn id="72" xr3:uid="{AFF83F37-9C74-48A2-83EF-9D0B5DDAC9A0}" name="BFEAHA"/>
    <tableColumn id="73" xr3:uid="{4CFBFA64-1A31-4F58-B6F6-C1ACF3695C43}" name="B365CH"/>
    <tableColumn id="74" xr3:uid="{EE71506D-9A28-41DC-83A4-70867D3CA795}" name="B365CD"/>
    <tableColumn id="75" xr3:uid="{C8BE5713-1364-4E2F-9FC3-8CD8866CFABC}" name="B365CA"/>
    <tableColumn id="76" xr3:uid="{6EFA5D74-3373-4418-AD55-6BB50D229032}" name="BWCH"/>
    <tableColumn id="77" xr3:uid="{7C6CE82D-7574-41B6-A7F5-69BC34D18C63}" name="BWCD"/>
    <tableColumn id="78" xr3:uid="{65FF7458-352A-437D-937F-8F6CF74273C2}" name="BWCA"/>
    <tableColumn id="79" xr3:uid="{B8E99CF4-679C-4B7E-8B81-834EE2C9217E}" name="BFCH"/>
    <tableColumn id="80" xr3:uid="{AC698012-5FB7-4E89-8106-5A253C74A38C}" name="BFCD"/>
    <tableColumn id="81" xr3:uid="{6B81DD5F-9445-4BE8-9776-A5805D078A83}" name="BFCA"/>
    <tableColumn id="82" xr3:uid="{B19AF2F3-03E7-43F8-BF45-E75B4DEDBD43}" name="PSCH"/>
    <tableColumn id="83" xr3:uid="{0E21AFB1-7100-4F70-A134-45609479DE5D}" name="PSCD"/>
    <tableColumn id="84" xr3:uid="{2F3BDB71-F6CB-4342-B08E-D48AEA884BF5}" name="PSCA"/>
    <tableColumn id="85" xr3:uid="{054B142B-9D59-4FED-8645-C7F8B6EFF018}" name="WHCH"/>
    <tableColumn id="86" xr3:uid="{82FDB386-8E37-423F-B745-BADE1B3C07D2}" name="WHCD"/>
    <tableColumn id="87" xr3:uid="{27C7C358-1AFC-4B26-8CBC-3FA2F5184B99}" name="WHCA"/>
    <tableColumn id="88" xr3:uid="{B2A27BB0-FAF1-46C9-8EF7-C90F122D093F}" name="1XBCH"/>
    <tableColumn id="89" xr3:uid="{CBD2AA36-3623-4295-8763-3F50DEE4588E}" name="1XBCD"/>
    <tableColumn id="90" xr3:uid="{A77754A5-7832-40AD-AFB9-430C6F1B30BD}" name="1XBCA"/>
    <tableColumn id="91" xr3:uid="{54CEE368-A1FE-4350-8CC5-3CC7621F30AF}" name="MaxCH"/>
    <tableColumn id="92" xr3:uid="{FC0A1F9E-24DB-472D-83A7-53BF1B016F18}" name="MaxCD"/>
    <tableColumn id="93" xr3:uid="{83B23ADA-A85B-42DB-958B-D24BAE8DF5F9}" name="MaxCA"/>
    <tableColumn id="94" xr3:uid="{78A0586E-4983-4C64-A584-B7A9A5C0FDB0}" name="AvgCH"/>
    <tableColumn id="95" xr3:uid="{DFBC571E-E0C9-4786-811D-F80D156B5589}" name="AvgCD"/>
    <tableColumn id="96" xr3:uid="{A0C96AA6-8AC1-4D76-8E4A-098511D35FC2}" name="AvgCA"/>
    <tableColumn id="97" xr3:uid="{D8BDA1D1-7156-44AB-A9CC-75EECBFF6DCE}" name="BFECH"/>
    <tableColumn id="98" xr3:uid="{1C290DC4-7C64-4062-A36B-187969837CA3}" name="BFECD"/>
    <tableColumn id="99" xr3:uid="{796594DA-0734-4ED4-90AC-CB12B8E58966}" name="BFECA"/>
    <tableColumn id="100" xr3:uid="{E068C233-5602-4A32-8EB0-C09A61D268B7}" name="B365C&gt;2.5"/>
    <tableColumn id="101" xr3:uid="{8D831E4D-C268-427E-AE41-64F7E33C330A}" name="B365C&lt;2.5"/>
    <tableColumn id="102" xr3:uid="{EDBB0314-85FC-4C6F-8515-9B047B242462}" name="PC&gt;2.5"/>
    <tableColumn id="103" xr3:uid="{CFCD5E55-BFC7-490B-98A5-6D853B8D28F8}" name="PC&lt;2.5"/>
    <tableColumn id="104" xr3:uid="{762F3DE0-BD73-483D-AAA4-EE9A4755EC42}" name="MaxC&gt;2.5"/>
    <tableColumn id="105" xr3:uid="{513EEB8B-D09B-4CF2-A1CF-4606F7DCFC21}" name="MaxC&lt;2.5"/>
    <tableColumn id="106" xr3:uid="{4A7B1DCC-C871-4B79-8117-C424CA502586}" name="AvgC&gt;2.5"/>
    <tableColumn id="107" xr3:uid="{1AF5677A-E22D-414B-8BCE-5508C900019C}" name="AvgC&lt;2.5"/>
    <tableColumn id="108" xr3:uid="{4AF5CFB0-EFA1-43D9-8213-4865D752257E}" name="BFEC&gt;2.5"/>
    <tableColumn id="109" xr3:uid="{E00BC26C-68D6-48E2-BB11-4329B971750D}" name="BFEC&lt;2.5"/>
    <tableColumn id="110" xr3:uid="{F38A1C17-3AFF-4FD5-96B9-981DAC705432}" name="AHCh"/>
    <tableColumn id="111" xr3:uid="{5510286A-FCB2-4FD2-9A86-E179C71AE75C}" name="B365CAHH"/>
    <tableColumn id="112" xr3:uid="{72418E66-312B-4011-9E85-5C43794A0C41}" name="B365CAHA"/>
    <tableColumn id="113" xr3:uid="{1FF1193B-9C0B-4D9A-8DAA-672A1ECF72B9}" name="PCAHH"/>
    <tableColumn id="114" xr3:uid="{CA647C30-621E-40B1-94D1-BE4803C34967}" name="PCAHA"/>
    <tableColumn id="115" xr3:uid="{313E15C8-8A18-4BB4-8D96-C34DE81D0317}" name="MaxCAHH"/>
    <tableColumn id="116" xr3:uid="{85237A08-5428-4E55-A76A-EA058D7522A4}" name="MaxCAHA"/>
    <tableColumn id="117" xr3:uid="{D7856AE0-7D3C-4E8E-A0E9-F7B4FC22BBC8}" name="AvgCAHH"/>
    <tableColumn id="118" xr3:uid="{A0853F32-BBE2-408C-888F-0458157EEAD3}" name="AvgCAHA"/>
    <tableColumn id="119" xr3:uid="{1FA8BC2E-DD6E-4ED3-815E-BB9C9733D27D}" name="BFECAHH"/>
    <tableColumn id="120" xr3:uid="{1F1CC1EA-8ACE-412E-B4D4-70F8E6CA39A1}" name="BFECA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5B2278-99C1-4A91-AEA4-7A1431DD81DA}" name="Match_data" displayName="Match_data" ref="A4:P384" tableType="queryTable" totalsRowShown="0" headerRowDxfId="40" dataDxfId="39">
  <tableColumns count="16">
    <tableColumn id="1" xr3:uid="{287CCE83-CEF0-4658-8F65-52FE62E10291}" uniqueName="1" name="Date" queryTableFieldId="1" dataDxfId="38"/>
    <tableColumn id="2" xr3:uid="{A05E3B00-D6E1-45E5-9D8B-23078C9BDF0D}" uniqueName="2" name="HomeTeam" queryTableFieldId="2" dataDxfId="37"/>
    <tableColumn id="3" xr3:uid="{BC9118B3-C47D-4CC6-AD0D-54535347A113}" uniqueName="3" name="AwayTeam" queryTableFieldId="3" dataDxfId="36"/>
    <tableColumn id="4" xr3:uid="{5EEA2DF0-7552-4B8B-94D1-22AF996C7A45}" uniqueName="4" name="FTHG" queryTableFieldId="4" dataDxfId="35"/>
    <tableColumn id="5" xr3:uid="{A79A4C5C-DFCD-48C2-8003-02C37490ABC4}" uniqueName="5" name="FTAG" queryTableFieldId="5" dataDxfId="34"/>
    <tableColumn id="6" xr3:uid="{B74F6165-A7E1-44E2-9EA0-59A0FD218EFF}" uniqueName="6" name="FTR" queryTableFieldId="6" dataDxfId="33"/>
    <tableColumn id="7" xr3:uid="{AC6098E3-D2CE-4A03-AA5C-20FEFC9629F6}" uniqueName="7" name="HTHG" queryTableFieldId="7" dataDxfId="32"/>
    <tableColumn id="8" xr3:uid="{FCF619BC-3313-4506-A2FD-C91F687EE555}" uniqueName="8" name="HTAG" queryTableFieldId="8" dataDxfId="31"/>
    <tableColumn id="9" xr3:uid="{BAB825A1-EFB4-4FDA-A0BF-670F7C6887E7}" uniqueName="9" name="HS" queryTableFieldId="9" dataDxfId="30"/>
    <tableColumn id="10" xr3:uid="{92233DD4-1E8A-49CD-BD48-57DC38433892}" uniqueName="10" name="AS" queryTableFieldId="10" dataDxfId="29"/>
    <tableColumn id="11" xr3:uid="{04C6314D-D316-4805-963F-60E526BB4E0F}" uniqueName="11" name="HST" queryTableFieldId="11" dataDxfId="28"/>
    <tableColumn id="12" xr3:uid="{E46688BF-ACCF-4450-9FE5-4C84D4A2435D}" uniqueName="12" name="AST" queryTableFieldId="12" dataDxfId="27"/>
    <tableColumn id="13" xr3:uid="{6F1B366A-2021-4816-8F64-FE78AB4ECF37}" uniqueName="13" name="HF" queryTableFieldId="13" dataDxfId="26"/>
    <tableColumn id="14" xr3:uid="{1D1B5B5C-AF03-4726-8E57-BF84FE29D285}" uniqueName="14" name="AF" queryTableFieldId="14" dataDxfId="25"/>
    <tableColumn id="15" xr3:uid="{4F27CA99-9D55-4B4C-A229-F35A532C7C08}" uniqueName="15" name="HC" queryTableFieldId="15" dataDxfId="24"/>
    <tableColumn id="16" xr3:uid="{53F10881-3BD2-49E9-8444-2CA046730579}" uniqueName="16" name="AC" queryTableFieldId="16" dataDxfId="2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28F8A7-8D8E-4926-B15A-F7DB47E1E7BC}" name="Team_Match_Data" displayName="Team_Match_Data" ref="A4:K764" tableType="queryTable" totalsRowShown="0" headerRowDxfId="22" dataDxfId="21">
  <tableColumns count="11">
    <tableColumn id="1" xr3:uid="{63F24102-2103-40AB-AC31-390234D426C6}" uniqueName="1" name="Date" queryTableFieldId="1" dataDxfId="20"/>
    <tableColumn id="2" xr3:uid="{8DD3F1C6-22FE-4097-B804-1D1ABCE0CC46}" uniqueName="2" name="Team" queryTableFieldId="2" dataDxfId="19"/>
    <tableColumn id="3" xr3:uid="{CF41CEC9-9611-4155-A904-0A2531725DA5}" uniqueName="3" name="Opponent" queryTableFieldId="3" dataDxfId="18"/>
    <tableColumn id="4" xr3:uid="{12B0E4BF-C0FA-44DF-9967-0450CCB1FC17}" uniqueName="4" name="Goals for" queryTableFieldId="4" dataDxfId="17"/>
    <tableColumn id="5" xr3:uid="{AD310920-4CB6-423D-8EE3-E1D9065858B3}" uniqueName="5" name="Goals against" queryTableFieldId="5" dataDxfId="16"/>
    <tableColumn id="6" xr3:uid="{B6CCEDC7-ED85-4D9F-95C3-2145E645FBE1}" uniqueName="6" name="FTR" queryTableFieldId="6" dataDxfId="15"/>
    <tableColumn id="7" xr3:uid="{4E5B3553-A230-4032-8DE0-BB8535B9FE7A}" uniqueName="7" name="Shots" queryTableFieldId="7" dataDxfId="14"/>
    <tableColumn id="8" xr3:uid="{AB2E6FB9-0B9F-4E0B-868B-A46029EF2A6C}" uniqueName="8" name="Shots_on_target" queryTableFieldId="8" dataDxfId="13"/>
    <tableColumn id="9" xr3:uid="{79901C30-8A9B-46CD-B3E0-709ADF3D9FDD}" uniqueName="9" name="Venue" queryTableFieldId="9" dataDxfId="12"/>
    <tableColumn id="10" xr3:uid="{EEAC9AB9-F393-46C7-95BE-4F0F1F11E58C}" uniqueName="10" name="Points" queryTableFieldId="10" dataDxfId="11"/>
    <tableColumn id="11" xr3:uid="{29A6B90D-337C-4F44-A3D1-90E4CEBF2660}" uniqueName="11" name="Results" queryTableFieldId="11" dataDxfId="1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7384-9491-43D8-A852-68B36F1AAE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0EBB-3B58-462B-BCCE-D7814F3863CD}">
  <dimension ref="A1:DP381"/>
  <sheetViews>
    <sheetView workbookViewId="0">
      <selection activeCell="D21" sqref="D21"/>
    </sheetView>
  </sheetViews>
  <sheetFormatPr defaultRowHeight="14.4" x14ac:dyDescent="0.3"/>
  <cols>
    <col min="4" max="4" width="12.5546875" customWidth="1"/>
    <col min="5" max="5" width="12.21875" customWidth="1"/>
    <col min="12" max="12" width="9.33203125" customWidth="1"/>
    <col min="52" max="53" width="10.5546875" customWidth="1"/>
    <col min="56" max="57" width="10.109375" customWidth="1"/>
    <col min="58" max="59" width="9.6640625" customWidth="1"/>
    <col min="60" max="61" width="9.44140625" customWidth="1"/>
    <col min="63" max="64" width="10.6640625" customWidth="1"/>
    <col min="67" max="68" width="10.21875" customWidth="1"/>
    <col min="69" max="70" width="9.77734375" customWidth="1"/>
    <col min="71" max="72" width="9.5546875" customWidth="1"/>
    <col min="73" max="75" width="9.33203125" customWidth="1"/>
    <col min="100" max="101" width="11.6640625" customWidth="1"/>
    <col min="104" max="105" width="11.21875" customWidth="1"/>
    <col min="106" max="107" width="10.77734375" customWidth="1"/>
    <col min="108" max="109" width="10.5546875" customWidth="1"/>
    <col min="111" max="112" width="11.77734375" customWidth="1"/>
    <col min="115" max="116" width="11.33203125" customWidth="1"/>
    <col min="117" max="118" width="10.88671875" customWidth="1"/>
    <col min="119" max="120" width="10.6640625" customWidth="1"/>
  </cols>
  <sheetData>
    <row r="1" spans="1:1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3">
      <c r="A2" t="s">
        <v>120</v>
      </c>
      <c r="B2" t="s">
        <v>121</v>
      </c>
      <c r="C2" s="1">
        <v>0.83333333333333337</v>
      </c>
      <c r="D2" t="s">
        <v>122</v>
      </c>
      <c r="E2" t="s">
        <v>123</v>
      </c>
      <c r="F2">
        <v>1</v>
      </c>
      <c r="G2">
        <v>0</v>
      </c>
      <c r="H2" t="s">
        <v>124</v>
      </c>
      <c r="I2">
        <v>0</v>
      </c>
      <c r="J2">
        <v>0</v>
      </c>
      <c r="K2" t="s">
        <v>125</v>
      </c>
      <c r="L2" t="s">
        <v>126</v>
      </c>
      <c r="M2">
        <v>14</v>
      </c>
      <c r="N2">
        <v>10</v>
      </c>
      <c r="O2">
        <v>5</v>
      </c>
      <c r="P2">
        <v>2</v>
      </c>
      <c r="Q2">
        <v>12</v>
      </c>
      <c r="R2">
        <v>10</v>
      </c>
      <c r="S2">
        <v>7</v>
      </c>
      <c r="T2">
        <v>8</v>
      </c>
      <c r="U2">
        <v>2</v>
      </c>
      <c r="V2">
        <v>3</v>
      </c>
      <c r="W2">
        <v>0</v>
      </c>
      <c r="X2">
        <v>0</v>
      </c>
      <c r="Y2">
        <v>1.6</v>
      </c>
      <c r="Z2">
        <v>4.2</v>
      </c>
      <c r="AA2">
        <v>5.25</v>
      </c>
      <c r="AB2">
        <v>1.6</v>
      </c>
      <c r="AC2">
        <v>4.4000000000000004</v>
      </c>
      <c r="AD2">
        <v>5.25</v>
      </c>
      <c r="AE2">
        <v>1.6</v>
      </c>
      <c r="AF2">
        <v>4.33</v>
      </c>
      <c r="AG2">
        <v>5</v>
      </c>
      <c r="AH2">
        <v>1.63</v>
      </c>
      <c r="AI2">
        <v>4.38</v>
      </c>
      <c r="AJ2">
        <v>5.3</v>
      </c>
      <c r="AK2">
        <v>1.65</v>
      </c>
      <c r="AL2">
        <v>4.2</v>
      </c>
      <c r="AM2">
        <v>5</v>
      </c>
      <c r="AN2">
        <v>1.68</v>
      </c>
      <c r="AO2">
        <v>4.32</v>
      </c>
      <c r="AP2">
        <v>5.03</v>
      </c>
      <c r="AQ2">
        <v>1.68</v>
      </c>
      <c r="AR2">
        <v>4.5</v>
      </c>
      <c r="AS2">
        <v>5.5</v>
      </c>
      <c r="AT2">
        <v>1.62</v>
      </c>
      <c r="AU2">
        <v>4.3600000000000003</v>
      </c>
      <c r="AV2">
        <v>5.15</v>
      </c>
      <c r="AW2">
        <v>1.66</v>
      </c>
      <c r="AX2">
        <v>4.5</v>
      </c>
      <c r="AY2">
        <v>5.6</v>
      </c>
      <c r="AZ2">
        <v>1.53</v>
      </c>
      <c r="BA2">
        <v>2.5</v>
      </c>
      <c r="BB2">
        <v>1.56</v>
      </c>
      <c r="BC2">
        <v>2.56</v>
      </c>
      <c r="BD2">
        <v>1.57</v>
      </c>
      <c r="BE2">
        <v>2.6</v>
      </c>
      <c r="BF2">
        <v>1.53</v>
      </c>
      <c r="BG2">
        <v>2.52</v>
      </c>
      <c r="BH2">
        <v>1.59</v>
      </c>
      <c r="BI2">
        <v>2.64</v>
      </c>
      <c r="BJ2">
        <v>-1</v>
      </c>
      <c r="BK2">
        <v>2.0499999999999998</v>
      </c>
      <c r="BL2">
        <v>1.88</v>
      </c>
      <c r="BM2">
        <v>2.0699999999999998</v>
      </c>
      <c r="BN2">
        <v>1.86</v>
      </c>
      <c r="BO2">
        <v>2.0699999999999998</v>
      </c>
      <c r="BP2">
        <v>1.89</v>
      </c>
      <c r="BQ2">
        <v>2.0299999999999998</v>
      </c>
      <c r="BR2">
        <v>1.85</v>
      </c>
      <c r="BS2">
        <v>2.1</v>
      </c>
      <c r="BT2">
        <v>1.88</v>
      </c>
      <c r="BU2">
        <v>1.67</v>
      </c>
      <c r="BV2">
        <v>4.0999999999999996</v>
      </c>
      <c r="BW2">
        <v>5</v>
      </c>
      <c r="BX2">
        <v>1.65</v>
      </c>
      <c r="BY2">
        <v>4.2</v>
      </c>
      <c r="BZ2">
        <v>4.8</v>
      </c>
      <c r="CA2">
        <v>1.62</v>
      </c>
      <c r="CB2">
        <v>4</v>
      </c>
      <c r="CC2">
        <v>5</v>
      </c>
      <c r="CD2">
        <v>1.65</v>
      </c>
      <c r="CE2">
        <v>4.2300000000000004</v>
      </c>
      <c r="CF2">
        <v>5.28</v>
      </c>
      <c r="CG2">
        <v>1.6</v>
      </c>
      <c r="CH2">
        <v>4.2</v>
      </c>
      <c r="CI2">
        <v>5.5</v>
      </c>
      <c r="CJ2">
        <v>1.66</v>
      </c>
      <c r="CK2">
        <v>4.1500000000000004</v>
      </c>
      <c r="CL2">
        <v>5.33</v>
      </c>
      <c r="CM2">
        <v>1.7</v>
      </c>
      <c r="CN2">
        <v>4.33</v>
      </c>
      <c r="CO2">
        <v>5.5</v>
      </c>
      <c r="CP2">
        <v>1.66</v>
      </c>
      <c r="CQ2">
        <v>4.2</v>
      </c>
      <c r="CR2">
        <v>5.0199999999999996</v>
      </c>
      <c r="CS2">
        <v>1.72</v>
      </c>
      <c r="CT2">
        <v>4.2</v>
      </c>
      <c r="CU2">
        <v>5.4</v>
      </c>
      <c r="CV2">
        <v>1.62</v>
      </c>
      <c r="CW2">
        <v>2.2999999999999998</v>
      </c>
      <c r="CX2">
        <v>1.63</v>
      </c>
      <c r="CY2">
        <v>2.38</v>
      </c>
      <c r="CZ2">
        <v>1.66</v>
      </c>
      <c r="DA2">
        <v>2.4500000000000002</v>
      </c>
      <c r="DB2">
        <v>1.61</v>
      </c>
      <c r="DC2">
        <v>2.37</v>
      </c>
      <c r="DD2">
        <v>1.68</v>
      </c>
      <c r="DE2">
        <v>2.46</v>
      </c>
      <c r="DF2">
        <v>-0.75</v>
      </c>
      <c r="DG2">
        <v>1.86</v>
      </c>
      <c r="DH2">
        <v>2.0699999999999998</v>
      </c>
      <c r="DI2">
        <v>1.83</v>
      </c>
      <c r="DJ2">
        <v>2.11</v>
      </c>
      <c r="DK2">
        <v>1.88</v>
      </c>
      <c r="DL2">
        <v>2.11</v>
      </c>
      <c r="DM2">
        <v>1.82</v>
      </c>
      <c r="DN2">
        <v>2.0499999999999998</v>
      </c>
      <c r="DO2">
        <v>1.9</v>
      </c>
      <c r="DP2">
        <v>2.08</v>
      </c>
    </row>
    <row r="3" spans="1:120" x14ac:dyDescent="0.3">
      <c r="A3" t="s">
        <v>120</v>
      </c>
      <c r="B3" t="s">
        <v>127</v>
      </c>
      <c r="C3" s="1">
        <v>0.52083333333333337</v>
      </c>
      <c r="D3" t="s">
        <v>128</v>
      </c>
      <c r="E3" t="s">
        <v>129</v>
      </c>
      <c r="F3">
        <v>0</v>
      </c>
      <c r="G3">
        <v>2</v>
      </c>
      <c r="H3" t="s">
        <v>130</v>
      </c>
      <c r="I3">
        <v>0</v>
      </c>
      <c r="J3">
        <v>0</v>
      </c>
      <c r="K3" t="s">
        <v>125</v>
      </c>
      <c r="L3" t="s">
        <v>131</v>
      </c>
      <c r="M3">
        <v>7</v>
      </c>
      <c r="N3">
        <v>18</v>
      </c>
      <c r="O3">
        <v>2</v>
      </c>
      <c r="P3">
        <v>5</v>
      </c>
      <c r="Q3">
        <v>9</v>
      </c>
      <c r="R3">
        <v>18</v>
      </c>
      <c r="S3">
        <v>2</v>
      </c>
      <c r="T3">
        <v>10</v>
      </c>
      <c r="U3">
        <v>3</v>
      </c>
      <c r="V3">
        <v>1</v>
      </c>
      <c r="W3">
        <v>0</v>
      </c>
      <c r="X3">
        <v>0</v>
      </c>
      <c r="Y3">
        <v>8.5</v>
      </c>
      <c r="Z3">
        <v>5.5</v>
      </c>
      <c r="AA3">
        <v>1.33</v>
      </c>
      <c r="AB3">
        <v>7.5</v>
      </c>
      <c r="AC3">
        <v>5.5</v>
      </c>
      <c r="AD3">
        <v>1.36</v>
      </c>
      <c r="AE3">
        <v>8.5</v>
      </c>
      <c r="AF3">
        <v>5.5</v>
      </c>
      <c r="AG3">
        <v>1.33</v>
      </c>
      <c r="AH3">
        <v>8.18</v>
      </c>
      <c r="AI3">
        <v>5.84</v>
      </c>
      <c r="AJ3">
        <v>1.34</v>
      </c>
      <c r="AK3">
        <v>8.5</v>
      </c>
      <c r="AL3">
        <v>5.5</v>
      </c>
      <c r="AM3">
        <v>1.33</v>
      </c>
      <c r="AN3">
        <v>8.6</v>
      </c>
      <c r="AO3">
        <v>5.85</v>
      </c>
      <c r="AP3">
        <v>1.35</v>
      </c>
      <c r="AQ3">
        <v>9</v>
      </c>
      <c r="AR3">
        <v>6.1</v>
      </c>
      <c r="AS3">
        <v>1.37</v>
      </c>
      <c r="AT3">
        <v>8.2799999999999994</v>
      </c>
      <c r="AU3">
        <v>5.76</v>
      </c>
      <c r="AV3">
        <v>1.34</v>
      </c>
      <c r="AW3">
        <v>9.4</v>
      </c>
      <c r="AX3">
        <v>6.2</v>
      </c>
      <c r="AY3">
        <v>1.36</v>
      </c>
      <c r="AZ3">
        <v>1.4</v>
      </c>
      <c r="BA3">
        <v>3</v>
      </c>
      <c r="BB3">
        <v>1.41</v>
      </c>
      <c r="BC3">
        <v>3</v>
      </c>
      <c r="BD3">
        <v>1.43</v>
      </c>
      <c r="BE3">
        <v>3.07</v>
      </c>
      <c r="BF3">
        <v>1.41</v>
      </c>
      <c r="BG3">
        <v>2.94</v>
      </c>
      <c r="BH3">
        <v>1.45</v>
      </c>
      <c r="BI3">
        <v>3.15</v>
      </c>
      <c r="BJ3">
        <v>1.5</v>
      </c>
      <c r="BK3">
        <v>2.02</v>
      </c>
      <c r="BL3">
        <v>1.91</v>
      </c>
      <c r="BM3">
        <v>1.99</v>
      </c>
      <c r="BN3">
        <v>1.92</v>
      </c>
      <c r="BO3">
        <v>2.02</v>
      </c>
      <c r="BP3">
        <v>1.95</v>
      </c>
      <c r="BQ3">
        <v>1.97</v>
      </c>
      <c r="BR3">
        <v>1.9</v>
      </c>
      <c r="BS3">
        <v>2.04</v>
      </c>
      <c r="BT3">
        <v>1.93</v>
      </c>
      <c r="BU3">
        <v>8</v>
      </c>
      <c r="BV3">
        <v>5.75</v>
      </c>
      <c r="BW3">
        <v>1.33</v>
      </c>
      <c r="BX3">
        <v>8</v>
      </c>
      <c r="BY3">
        <v>5.75</v>
      </c>
      <c r="BZ3">
        <v>1.34</v>
      </c>
      <c r="CA3">
        <v>7.5</v>
      </c>
      <c r="CB3">
        <v>5.5</v>
      </c>
      <c r="CC3">
        <v>1.33</v>
      </c>
      <c r="CD3">
        <v>8.14</v>
      </c>
      <c r="CE3">
        <v>6.09</v>
      </c>
      <c r="CF3">
        <v>1.34</v>
      </c>
      <c r="CG3">
        <v>8</v>
      </c>
      <c r="CH3">
        <v>5.5</v>
      </c>
      <c r="CI3">
        <v>1.35</v>
      </c>
      <c r="CJ3">
        <v>8.57</v>
      </c>
      <c r="CK3">
        <v>5.85</v>
      </c>
      <c r="CL3">
        <v>1.34</v>
      </c>
      <c r="CM3">
        <v>8.57</v>
      </c>
      <c r="CN3">
        <v>6.25</v>
      </c>
      <c r="CO3">
        <v>1.39</v>
      </c>
      <c r="CP3">
        <v>7.87</v>
      </c>
      <c r="CQ3">
        <v>5.81</v>
      </c>
      <c r="CR3">
        <v>1.35</v>
      </c>
      <c r="CS3">
        <v>8.6</v>
      </c>
      <c r="CT3">
        <v>6.2</v>
      </c>
      <c r="CU3">
        <v>1.37</v>
      </c>
      <c r="CV3">
        <v>1.36</v>
      </c>
      <c r="CW3">
        <v>3.2</v>
      </c>
      <c r="CX3">
        <v>1.37</v>
      </c>
      <c r="CY3">
        <v>3.3</v>
      </c>
      <c r="CZ3">
        <v>1.4</v>
      </c>
      <c r="DA3">
        <v>3.38</v>
      </c>
      <c r="DB3">
        <v>1.37</v>
      </c>
      <c r="DC3">
        <v>3.18</v>
      </c>
      <c r="DD3">
        <v>1.4</v>
      </c>
      <c r="DE3">
        <v>3.4</v>
      </c>
      <c r="DF3">
        <v>1.5</v>
      </c>
      <c r="DG3">
        <v>2.0499999999999998</v>
      </c>
      <c r="DH3">
        <v>1.88</v>
      </c>
      <c r="DI3">
        <v>2.04</v>
      </c>
      <c r="DJ3">
        <v>1.9</v>
      </c>
      <c r="DK3">
        <v>2.2000000000000002</v>
      </c>
      <c r="DL3">
        <v>2</v>
      </c>
      <c r="DM3">
        <v>1.99</v>
      </c>
      <c r="DN3">
        <v>1.88</v>
      </c>
      <c r="DO3">
        <v>2.04</v>
      </c>
      <c r="DP3">
        <v>1.93</v>
      </c>
    </row>
    <row r="4" spans="1:120" x14ac:dyDescent="0.3">
      <c r="A4" t="s">
        <v>120</v>
      </c>
      <c r="B4" t="s">
        <v>127</v>
      </c>
      <c r="C4" s="1">
        <v>0.625</v>
      </c>
      <c r="D4" t="s">
        <v>132</v>
      </c>
      <c r="E4" t="s">
        <v>133</v>
      </c>
      <c r="F4">
        <v>2</v>
      </c>
      <c r="G4">
        <v>0</v>
      </c>
      <c r="H4" t="s">
        <v>124</v>
      </c>
      <c r="I4">
        <v>1</v>
      </c>
      <c r="J4">
        <v>0</v>
      </c>
      <c r="K4" t="s">
        <v>124</v>
      </c>
      <c r="L4" t="s">
        <v>134</v>
      </c>
      <c r="M4">
        <v>18</v>
      </c>
      <c r="N4">
        <v>9</v>
      </c>
      <c r="O4">
        <v>6</v>
      </c>
      <c r="P4">
        <v>3</v>
      </c>
      <c r="Q4">
        <v>17</v>
      </c>
      <c r="R4">
        <v>14</v>
      </c>
      <c r="S4">
        <v>8</v>
      </c>
      <c r="T4">
        <v>2</v>
      </c>
      <c r="U4">
        <v>2</v>
      </c>
      <c r="V4">
        <v>2</v>
      </c>
      <c r="W4">
        <v>0</v>
      </c>
      <c r="X4">
        <v>0</v>
      </c>
      <c r="Y4">
        <v>1.18</v>
      </c>
      <c r="Z4">
        <v>7.5</v>
      </c>
      <c r="AA4">
        <v>13</v>
      </c>
      <c r="AB4">
        <v>1.2</v>
      </c>
      <c r="AC4">
        <v>7.5</v>
      </c>
      <c r="AD4">
        <v>13.5</v>
      </c>
      <c r="AE4">
        <v>1.1499999999999999</v>
      </c>
      <c r="AF4">
        <v>8</v>
      </c>
      <c r="AG4">
        <v>16</v>
      </c>
      <c r="AH4">
        <v>1.1599999999999999</v>
      </c>
      <c r="AI4">
        <v>8.56</v>
      </c>
      <c r="AJ4">
        <v>16.22</v>
      </c>
      <c r="AK4">
        <v>1.18</v>
      </c>
      <c r="AL4">
        <v>7</v>
      </c>
      <c r="AM4">
        <v>17</v>
      </c>
      <c r="AN4">
        <v>1.2</v>
      </c>
      <c r="AO4">
        <v>7.65</v>
      </c>
      <c r="AP4">
        <v>16</v>
      </c>
      <c r="AQ4">
        <v>1.2</v>
      </c>
      <c r="AR4">
        <v>9.1</v>
      </c>
      <c r="AS4">
        <v>18</v>
      </c>
      <c r="AT4">
        <v>1.18</v>
      </c>
      <c r="AU4">
        <v>7.86</v>
      </c>
      <c r="AV4">
        <v>15.87</v>
      </c>
      <c r="AW4">
        <v>1.19</v>
      </c>
      <c r="AX4">
        <v>9</v>
      </c>
      <c r="AY4">
        <v>18</v>
      </c>
      <c r="AZ4">
        <v>1.44</v>
      </c>
      <c r="BA4">
        <v>2.75</v>
      </c>
      <c r="BB4">
        <v>1.46</v>
      </c>
      <c r="BC4">
        <v>2.79</v>
      </c>
      <c r="BD4">
        <v>1.5</v>
      </c>
      <c r="BE4">
        <v>2.82</v>
      </c>
      <c r="BF4">
        <v>1.46</v>
      </c>
      <c r="BG4">
        <v>2.7</v>
      </c>
      <c r="BH4">
        <v>1.53</v>
      </c>
      <c r="BI4">
        <v>2.84</v>
      </c>
      <c r="BJ4">
        <v>-2</v>
      </c>
      <c r="BK4">
        <v>1.93</v>
      </c>
      <c r="BL4">
        <v>2</v>
      </c>
      <c r="BM4">
        <v>1.88</v>
      </c>
      <c r="BN4">
        <v>2</v>
      </c>
      <c r="BO4">
        <v>1.97</v>
      </c>
      <c r="BP4">
        <v>2</v>
      </c>
      <c r="BQ4">
        <v>1.9</v>
      </c>
      <c r="BR4">
        <v>1.96</v>
      </c>
      <c r="BS4">
        <v>1.94</v>
      </c>
      <c r="BT4">
        <v>2</v>
      </c>
      <c r="BU4">
        <v>1.1399999999999999</v>
      </c>
      <c r="BV4">
        <v>8.5</v>
      </c>
      <c r="BW4">
        <v>15</v>
      </c>
      <c r="BX4">
        <v>1.1599999999999999</v>
      </c>
      <c r="BY4">
        <v>8.5</v>
      </c>
      <c r="BZ4">
        <v>18</v>
      </c>
      <c r="CA4">
        <v>1.1299999999999999</v>
      </c>
      <c r="CB4">
        <v>8.5</v>
      </c>
      <c r="CC4">
        <v>17</v>
      </c>
      <c r="CD4">
        <v>1.1499999999999999</v>
      </c>
      <c r="CE4">
        <v>9.0500000000000007</v>
      </c>
      <c r="CF4">
        <v>18.760000000000002</v>
      </c>
      <c r="CG4">
        <v>1.1499999999999999</v>
      </c>
      <c r="CH4">
        <v>8</v>
      </c>
      <c r="CI4">
        <v>19</v>
      </c>
      <c r="CJ4">
        <v>1.1599999999999999</v>
      </c>
      <c r="CK4">
        <v>9.39</v>
      </c>
      <c r="CL4">
        <v>16.600000000000001</v>
      </c>
      <c r="CM4">
        <v>1.17</v>
      </c>
      <c r="CN4">
        <v>9.4</v>
      </c>
      <c r="CO4">
        <v>21</v>
      </c>
      <c r="CP4">
        <v>1.1499999999999999</v>
      </c>
      <c r="CQ4">
        <v>8.6199999999999992</v>
      </c>
      <c r="CR4">
        <v>18.11</v>
      </c>
      <c r="CS4">
        <v>1.17</v>
      </c>
      <c r="CT4">
        <v>9.4</v>
      </c>
      <c r="CU4">
        <v>21</v>
      </c>
      <c r="CV4">
        <v>1.4</v>
      </c>
      <c r="CW4">
        <v>3</v>
      </c>
      <c r="CX4">
        <v>1.41</v>
      </c>
      <c r="CY4">
        <v>2.98</v>
      </c>
      <c r="CZ4">
        <v>1.45</v>
      </c>
      <c r="DA4">
        <v>3</v>
      </c>
      <c r="DB4">
        <v>1.42</v>
      </c>
      <c r="DC4">
        <v>2.93</v>
      </c>
      <c r="DD4">
        <v>1.44</v>
      </c>
      <c r="DE4">
        <v>3.2</v>
      </c>
      <c r="DF4">
        <v>-2.25</v>
      </c>
      <c r="DG4">
        <v>2.02</v>
      </c>
      <c r="DH4">
        <v>1.91</v>
      </c>
      <c r="DI4">
        <v>2</v>
      </c>
      <c r="DJ4">
        <v>1.9</v>
      </c>
      <c r="DK4">
        <v>2.0499999999999998</v>
      </c>
      <c r="DL4">
        <v>1.93</v>
      </c>
      <c r="DM4">
        <v>1.99</v>
      </c>
      <c r="DN4">
        <v>1.87</v>
      </c>
      <c r="DO4">
        <v>2.02</v>
      </c>
      <c r="DP4">
        <v>1.96</v>
      </c>
    </row>
    <row r="5" spans="1:120" x14ac:dyDescent="0.3">
      <c r="A5" t="s">
        <v>120</v>
      </c>
      <c r="B5" t="s">
        <v>127</v>
      </c>
      <c r="C5" s="1">
        <v>0.625</v>
      </c>
      <c r="D5" t="s">
        <v>135</v>
      </c>
      <c r="E5" t="s">
        <v>136</v>
      </c>
      <c r="F5">
        <v>0</v>
      </c>
      <c r="G5">
        <v>3</v>
      </c>
      <c r="H5" t="s">
        <v>130</v>
      </c>
      <c r="I5">
        <v>0</v>
      </c>
      <c r="J5">
        <v>1</v>
      </c>
      <c r="K5" t="s">
        <v>130</v>
      </c>
      <c r="L5" t="s">
        <v>137</v>
      </c>
      <c r="M5">
        <v>9</v>
      </c>
      <c r="N5">
        <v>10</v>
      </c>
      <c r="O5">
        <v>1</v>
      </c>
      <c r="P5">
        <v>5</v>
      </c>
      <c r="Q5">
        <v>8</v>
      </c>
      <c r="R5">
        <v>8</v>
      </c>
      <c r="S5">
        <v>1</v>
      </c>
      <c r="T5">
        <v>5</v>
      </c>
      <c r="U5">
        <v>1</v>
      </c>
      <c r="V5">
        <v>1</v>
      </c>
      <c r="W5">
        <v>1</v>
      </c>
      <c r="X5">
        <v>0</v>
      </c>
      <c r="Y5">
        <v>2.63</v>
      </c>
      <c r="Z5">
        <v>3.3</v>
      </c>
      <c r="AA5">
        <v>2.63</v>
      </c>
      <c r="AB5">
        <v>2.65</v>
      </c>
      <c r="AC5">
        <v>3.4</v>
      </c>
      <c r="AD5">
        <v>2.6</v>
      </c>
      <c r="AE5">
        <v>2.7</v>
      </c>
      <c r="AF5">
        <v>3.4</v>
      </c>
      <c r="AG5">
        <v>2.63</v>
      </c>
      <c r="AH5">
        <v>2.73</v>
      </c>
      <c r="AI5">
        <v>3.36</v>
      </c>
      <c r="AJ5">
        <v>2.71</v>
      </c>
      <c r="AK5">
        <v>2.6</v>
      </c>
      <c r="AL5">
        <v>3.5</v>
      </c>
      <c r="AM5">
        <v>2.7</v>
      </c>
      <c r="AN5">
        <v>2.68</v>
      </c>
      <c r="AO5">
        <v>3.66</v>
      </c>
      <c r="AP5">
        <v>2.63</v>
      </c>
      <c r="AQ5">
        <v>2.76</v>
      </c>
      <c r="AR5">
        <v>3.66</v>
      </c>
      <c r="AS5">
        <v>2.78</v>
      </c>
      <c r="AT5">
        <v>2.67</v>
      </c>
      <c r="AU5">
        <v>3.41</v>
      </c>
      <c r="AV5">
        <v>2.68</v>
      </c>
      <c r="AW5">
        <v>2.78</v>
      </c>
      <c r="AX5">
        <v>3.5</v>
      </c>
      <c r="AY5">
        <v>2.78</v>
      </c>
      <c r="AZ5">
        <v>1.8</v>
      </c>
      <c r="BA5">
        <v>2</v>
      </c>
      <c r="BB5">
        <v>1.83</v>
      </c>
      <c r="BC5">
        <v>2.0499999999999998</v>
      </c>
      <c r="BD5">
        <v>1.85</v>
      </c>
      <c r="BE5">
        <v>2.08</v>
      </c>
      <c r="BF5">
        <v>1.81</v>
      </c>
      <c r="BG5">
        <v>2.04</v>
      </c>
      <c r="BH5">
        <v>1.88</v>
      </c>
      <c r="BI5">
        <v>2.08</v>
      </c>
      <c r="BJ5">
        <v>0</v>
      </c>
      <c r="BK5">
        <v>1.96</v>
      </c>
      <c r="BL5">
        <v>1.97</v>
      </c>
      <c r="BM5">
        <v>1.96</v>
      </c>
      <c r="BN5">
        <v>1.94</v>
      </c>
      <c r="BO5">
        <v>1.97</v>
      </c>
      <c r="BP5">
        <v>1.97</v>
      </c>
      <c r="BQ5">
        <v>1.94</v>
      </c>
      <c r="BR5">
        <v>1.94</v>
      </c>
      <c r="BS5">
        <v>1.99</v>
      </c>
      <c r="BT5">
        <v>1.99</v>
      </c>
      <c r="BU5">
        <v>3.1</v>
      </c>
      <c r="BV5">
        <v>3.4</v>
      </c>
      <c r="BW5">
        <v>2.2999999999999998</v>
      </c>
      <c r="BX5">
        <v>3</v>
      </c>
      <c r="BY5">
        <v>3.4</v>
      </c>
      <c r="BZ5">
        <v>2.37</v>
      </c>
      <c r="CA5">
        <v>3</v>
      </c>
      <c r="CB5">
        <v>3.3</v>
      </c>
      <c r="CC5">
        <v>2.2999999999999998</v>
      </c>
      <c r="CD5">
        <v>3.15</v>
      </c>
      <c r="CE5">
        <v>3.41</v>
      </c>
      <c r="CF5">
        <v>2.4</v>
      </c>
      <c r="CG5">
        <v>3.1</v>
      </c>
      <c r="CH5">
        <v>3.3</v>
      </c>
      <c r="CI5">
        <v>2.4</v>
      </c>
      <c r="CJ5">
        <v>3.16</v>
      </c>
      <c r="CK5">
        <v>3.47</v>
      </c>
      <c r="CL5">
        <v>2.34</v>
      </c>
      <c r="CM5">
        <v>3.16</v>
      </c>
      <c r="CN5">
        <v>3.5</v>
      </c>
      <c r="CO5">
        <v>2.4500000000000002</v>
      </c>
      <c r="CP5">
        <v>3.06</v>
      </c>
      <c r="CQ5">
        <v>3.4</v>
      </c>
      <c r="CR5">
        <v>2.38</v>
      </c>
      <c r="CS5">
        <v>3.15</v>
      </c>
      <c r="CT5">
        <v>3.55</v>
      </c>
      <c r="CU5">
        <v>2.46</v>
      </c>
      <c r="CV5">
        <v>1.93</v>
      </c>
      <c r="CW5">
        <v>1.97</v>
      </c>
      <c r="CX5">
        <v>1.93</v>
      </c>
      <c r="CY5">
        <v>1.97</v>
      </c>
      <c r="CZ5">
        <v>1.95</v>
      </c>
      <c r="DA5">
        <v>2</v>
      </c>
      <c r="DB5">
        <v>1.89</v>
      </c>
      <c r="DC5">
        <v>1.96</v>
      </c>
      <c r="DD5">
        <v>1.94</v>
      </c>
      <c r="DE5">
        <v>2.04</v>
      </c>
      <c r="DF5">
        <v>0.25</v>
      </c>
      <c r="DG5">
        <v>1.87</v>
      </c>
      <c r="DH5">
        <v>2.06</v>
      </c>
      <c r="DI5">
        <v>1.86</v>
      </c>
      <c r="DJ5">
        <v>2.0699999999999998</v>
      </c>
      <c r="DK5">
        <v>1.92</v>
      </c>
      <c r="DL5">
        <v>2.1</v>
      </c>
      <c r="DM5">
        <v>1.83</v>
      </c>
      <c r="DN5">
        <v>2.04</v>
      </c>
      <c r="DO5">
        <v>1.88</v>
      </c>
      <c r="DP5">
        <v>2.11</v>
      </c>
    </row>
    <row r="6" spans="1:120" x14ac:dyDescent="0.3">
      <c r="A6" t="s">
        <v>120</v>
      </c>
      <c r="B6" t="s">
        <v>127</v>
      </c>
      <c r="C6" s="1">
        <v>0.625</v>
      </c>
      <c r="D6" t="s">
        <v>138</v>
      </c>
      <c r="E6" t="s">
        <v>139</v>
      </c>
      <c r="F6">
        <v>1</v>
      </c>
      <c r="G6">
        <v>0</v>
      </c>
      <c r="H6" t="s">
        <v>124</v>
      </c>
      <c r="I6">
        <v>1</v>
      </c>
      <c r="J6">
        <v>0</v>
      </c>
      <c r="K6" t="s">
        <v>124</v>
      </c>
      <c r="L6" t="s">
        <v>140</v>
      </c>
      <c r="M6">
        <v>3</v>
      </c>
      <c r="N6">
        <v>19</v>
      </c>
      <c r="O6">
        <v>1</v>
      </c>
      <c r="P6">
        <v>4</v>
      </c>
      <c r="Q6">
        <v>15</v>
      </c>
      <c r="R6">
        <v>16</v>
      </c>
      <c r="S6">
        <v>3</v>
      </c>
      <c r="T6">
        <v>12</v>
      </c>
      <c r="U6">
        <v>2</v>
      </c>
      <c r="V6">
        <v>4</v>
      </c>
      <c r="W6">
        <v>1</v>
      </c>
      <c r="X6">
        <v>0</v>
      </c>
      <c r="Y6">
        <v>1.36</v>
      </c>
      <c r="Z6">
        <v>5.25</v>
      </c>
      <c r="AA6">
        <v>8</v>
      </c>
      <c r="AB6">
        <v>1.35</v>
      </c>
      <c r="AC6">
        <v>5.5</v>
      </c>
      <c r="AD6">
        <v>7.75</v>
      </c>
      <c r="AE6">
        <v>1.33</v>
      </c>
      <c r="AF6">
        <v>5.5</v>
      </c>
      <c r="AG6">
        <v>8.5</v>
      </c>
      <c r="AH6">
        <v>1.35</v>
      </c>
      <c r="AI6">
        <v>5.7</v>
      </c>
      <c r="AJ6">
        <v>8.25</v>
      </c>
      <c r="AK6">
        <v>1.35</v>
      </c>
      <c r="AL6">
        <v>5.5</v>
      </c>
      <c r="AM6">
        <v>8</v>
      </c>
      <c r="AN6">
        <v>1.37</v>
      </c>
      <c r="AO6">
        <v>5.74</v>
      </c>
      <c r="AP6">
        <v>8.1</v>
      </c>
      <c r="AQ6">
        <v>1.37</v>
      </c>
      <c r="AR6">
        <v>5.9</v>
      </c>
      <c r="AS6">
        <v>8.6</v>
      </c>
      <c r="AT6">
        <v>1.35</v>
      </c>
      <c r="AU6">
        <v>5.62</v>
      </c>
      <c r="AV6">
        <v>8.1</v>
      </c>
      <c r="AW6">
        <v>1.37</v>
      </c>
      <c r="AX6">
        <v>6</v>
      </c>
      <c r="AY6">
        <v>9.1999999999999993</v>
      </c>
      <c r="AZ6">
        <v>1.4</v>
      </c>
      <c r="BA6">
        <v>3</v>
      </c>
      <c r="BB6">
        <v>1.4</v>
      </c>
      <c r="BC6">
        <v>3.09</v>
      </c>
      <c r="BD6">
        <v>1.42</v>
      </c>
      <c r="BE6">
        <v>3.12</v>
      </c>
      <c r="BF6">
        <v>1.4</v>
      </c>
      <c r="BG6">
        <v>3.01</v>
      </c>
      <c r="BH6">
        <v>1.43</v>
      </c>
      <c r="BI6">
        <v>3.15</v>
      </c>
      <c r="BJ6">
        <v>-1.5</v>
      </c>
      <c r="BK6">
        <v>1.98</v>
      </c>
      <c r="BL6">
        <v>1.95</v>
      </c>
      <c r="BM6">
        <v>1.94</v>
      </c>
      <c r="BN6">
        <v>1.96</v>
      </c>
      <c r="BO6">
        <v>1.99</v>
      </c>
      <c r="BP6">
        <v>1.98</v>
      </c>
      <c r="BQ6">
        <v>1.93</v>
      </c>
      <c r="BR6">
        <v>1.93</v>
      </c>
      <c r="BS6">
        <v>1.94</v>
      </c>
      <c r="BT6">
        <v>2.0099999999999998</v>
      </c>
      <c r="BU6">
        <v>1.4</v>
      </c>
      <c r="BV6">
        <v>5</v>
      </c>
      <c r="BW6">
        <v>7</v>
      </c>
      <c r="BX6">
        <v>1.39</v>
      </c>
      <c r="BY6">
        <v>5.25</v>
      </c>
      <c r="BZ6">
        <v>7.25</v>
      </c>
      <c r="CA6">
        <v>1.36</v>
      </c>
      <c r="CB6">
        <v>5</v>
      </c>
      <c r="CC6">
        <v>7.5</v>
      </c>
      <c r="CD6">
        <v>1.42</v>
      </c>
      <c r="CE6">
        <v>5.3</v>
      </c>
      <c r="CF6">
        <v>7.26</v>
      </c>
      <c r="CG6">
        <v>1.4</v>
      </c>
      <c r="CH6">
        <v>5</v>
      </c>
      <c r="CI6">
        <v>7.5</v>
      </c>
      <c r="CJ6">
        <v>1.39</v>
      </c>
      <c r="CK6">
        <v>5.34</v>
      </c>
      <c r="CL6">
        <v>7.9</v>
      </c>
      <c r="CM6">
        <v>1.44</v>
      </c>
      <c r="CN6">
        <v>5.75</v>
      </c>
      <c r="CO6">
        <v>8</v>
      </c>
      <c r="CP6">
        <v>1.39</v>
      </c>
      <c r="CQ6">
        <v>5.27</v>
      </c>
      <c r="CR6">
        <v>7.33</v>
      </c>
      <c r="CS6">
        <v>1.43</v>
      </c>
      <c r="CT6">
        <v>5.5</v>
      </c>
      <c r="CU6">
        <v>8.1999999999999993</v>
      </c>
      <c r="CV6">
        <v>1.44</v>
      </c>
      <c r="CW6">
        <v>2.75</v>
      </c>
      <c r="CX6">
        <v>1.46</v>
      </c>
      <c r="CY6">
        <v>2.85</v>
      </c>
      <c r="CZ6">
        <v>1.46</v>
      </c>
      <c r="DA6">
        <v>3.05</v>
      </c>
      <c r="DB6">
        <v>1.43</v>
      </c>
      <c r="DC6">
        <v>2.84</v>
      </c>
      <c r="DD6">
        <v>1.49</v>
      </c>
      <c r="DE6">
        <v>2.98</v>
      </c>
      <c r="DF6">
        <v>-1.25</v>
      </c>
      <c r="DG6">
        <v>1.87</v>
      </c>
      <c r="DH6">
        <v>2.06</v>
      </c>
      <c r="DI6">
        <v>1.88</v>
      </c>
      <c r="DJ6">
        <v>2.06</v>
      </c>
      <c r="DK6">
        <v>1.89</v>
      </c>
      <c r="DL6">
        <v>2.1</v>
      </c>
      <c r="DM6">
        <v>1.82</v>
      </c>
      <c r="DN6">
        <v>2.0499999999999998</v>
      </c>
      <c r="DO6">
        <v>1.89</v>
      </c>
      <c r="DP6">
        <v>2.1</v>
      </c>
    </row>
    <row r="7" spans="1:120" x14ac:dyDescent="0.3">
      <c r="A7" t="s">
        <v>120</v>
      </c>
      <c r="B7" t="s">
        <v>127</v>
      </c>
      <c r="C7" s="1">
        <v>0.625</v>
      </c>
      <c r="D7" t="s">
        <v>141</v>
      </c>
      <c r="E7" t="s">
        <v>142</v>
      </c>
      <c r="F7">
        <v>1</v>
      </c>
      <c r="G7">
        <v>1</v>
      </c>
      <c r="H7" t="s">
        <v>125</v>
      </c>
      <c r="I7">
        <v>1</v>
      </c>
      <c r="J7">
        <v>0</v>
      </c>
      <c r="K7" t="s">
        <v>124</v>
      </c>
      <c r="L7" t="s">
        <v>143</v>
      </c>
      <c r="M7">
        <v>14</v>
      </c>
      <c r="N7">
        <v>13</v>
      </c>
      <c r="O7">
        <v>8</v>
      </c>
      <c r="P7">
        <v>4</v>
      </c>
      <c r="Q7">
        <v>17</v>
      </c>
      <c r="R7">
        <v>8</v>
      </c>
      <c r="S7">
        <v>2</v>
      </c>
      <c r="T7">
        <v>6</v>
      </c>
      <c r="U7">
        <v>1</v>
      </c>
      <c r="V7">
        <v>3</v>
      </c>
      <c r="W7">
        <v>0</v>
      </c>
      <c r="X7">
        <v>0</v>
      </c>
      <c r="Y7">
        <v>2.4500000000000002</v>
      </c>
      <c r="Z7">
        <v>3.5</v>
      </c>
      <c r="AA7">
        <v>2.8</v>
      </c>
      <c r="AB7">
        <v>2.4500000000000002</v>
      </c>
      <c r="AC7">
        <v>3.5</v>
      </c>
      <c r="AD7">
        <v>2.8</v>
      </c>
      <c r="AE7">
        <v>2.4500000000000002</v>
      </c>
      <c r="AF7">
        <v>3.5</v>
      </c>
      <c r="AG7">
        <v>2.88</v>
      </c>
      <c r="AH7">
        <v>2.4700000000000002</v>
      </c>
      <c r="AI7">
        <v>3.42</v>
      </c>
      <c r="AJ7">
        <v>2.97</v>
      </c>
      <c r="AK7">
        <v>2.5</v>
      </c>
      <c r="AL7">
        <v>3.5</v>
      </c>
      <c r="AM7">
        <v>2.8</v>
      </c>
      <c r="AN7">
        <v>2.46</v>
      </c>
      <c r="AO7">
        <v>3.7</v>
      </c>
      <c r="AP7">
        <v>2.87</v>
      </c>
      <c r="AQ7">
        <v>2.5099999999999998</v>
      </c>
      <c r="AR7">
        <v>3.7</v>
      </c>
      <c r="AS7">
        <v>3</v>
      </c>
      <c r="AT7">
        <v>2.4500000000000002</v>
      </c>
      <c r="AU7">
        <v>3.49</v>
      </c>
      <c r="AV7">
        <v>2.89</v>
      </c>
      <c r="AW7">
        <v>2.54</v>
      </c>
      <c r="AX7">
        <v>3.6</v>
      </c>
      <c r="AY7">
        <v>3</v>
      </c>
      <c r="AZ7">
        <v>1.73</v>
      </c>
      <c r="BA7">
        <v>2.1</v>
      </c>
      <c r="BB7">
        <v>1.79</v>
      </c>
      <c r="BC7">
        <v>2.11</v>
      </c>
      <c r="BD7">
        <v>1.81</v>
      </c>
      <c r="BE7">
        <v>2.14</v>
      </c>
      <c r="BF7">
        <v>1.77</v>
      </c>
      <c r="BG7">
        <v>2.08</v>
      </c>
      <c r="BH7">
        <v>1.83</v>
      </c>
      <c r="BI7">
        <v>2.16</v>
      </c>
      <c r="BJ7">
        <v>0</v>
      </c>
      <c r="BK7">
        <v>1.82</v>
      </c>
      <c r="BL7">
        <v>2.11</v>
      </c>
      <c r="BM7">
        <v>1.78</v>
      </c>
      <c r="BN7">
        <v>2.14</v>
      </c>
      <c r="BO7">
        <v>1.83</v>
      </c>
      <c r="BP7">
        <v>2.14</v>
      </c>
      <c r="BQ7">
        <v>1.8</v>
      </c>
      <c r="BR7">
        <v>2.09</v>
      </c>
      <c r="BS7">
        <v>1.83</v>
      </c>
      <c r="BT7">
        <v>2.17</v>
      </c>
      <c r="BU7">
        <v>2.2000000000000002</v>
      </c>
      <c r="BV7">
        <v>3.4</v>
      </c>
      <c r="BW7">
        <v>3.25</v>
      </c>
      <c r="BX7">
        <v>2.2000000000000002</v>
      </c>
      <c r="BY7">
        <v>3.4</v>
      </c>
      <c r="BZ7">
        <v>3.25</v>
      </c>
      <c r="CA7">
        <v>2.2000000000000002</v>
      </c>
      <c r="CB7">
        <v>3.3</v>
      </c>
      <c r="CC7">
        <v>3.25</v>
      </c>
      <c r="CD7">
        <v>2.2400000000000002</v>
      </c>
      <c r="CE7">
        <v>3.5</v>
      </c>
      <c r="CF7">
        <v>3.37</v>
      </c>
      <c r="CG7">
        <v>2.25</v>
      </c>
      <c r="CH7">
        <v>3.4</v>
      </c>
      <c r="CI7">
        <v>3.25</v>
      </c>
      <c r="CJ7">
        <v>2.2599999999999998</v>
      </c>
      <c r="CK7">
        <v>3.49</v>
      </c>
      <c r="CL7">
        <v>3.33</v>
      </c>
      <c r="CM7">
        <v>2.38</v>
      </c>
      <c r="CN7">
        <v>3.55</v>
      </c>
      <c r="CO7">
        <v>3.37</v>
      </c>
      <c r="CP7">
        <v>2.25</v>
      </c>
      <c r="CQ7">
        <v>3.44</v>
      </c>
      <c r="CR7">
        <v>3.23</v>
      </c>
      <c r="CS7">
        <v>2.2999999999999998</v>
      </c>
      <c r="CT7">
        <v>3.5</v>
      </c>
      <c r="CU7">
        <v>3.5</v>
      </c>
      <c r="CV7">
        <v>1.89</v>
      </c>
      <c r="CW7">
        <v>2.0099999999999998</v>
      </c>
      <c r="CX7">
        <v>1.89</v>
      </c>
      <c r="CY7">
        <v>2.02</v>
      </c>
      <c r="CZ7">
        <v>1.93</v>
      </c>
      <c r="DA7">
        <v>2.04</v>
      </c>
      <c r="DB7">
        <v>1.87</v>
      </c>
      <c r="DC7">
        <v>1.96</v>
      </c>
      <c r="DD7">
        <v>1.91</v>
      </c>
      <c r="DE7">
        <v>2.08</v>
      </c>
      <c r="DF7">
        <v>-0.25</v>
      </c>
      <c r="DG7">
        <v>1.94</v>
      </c>
      <c r="DH7">
        <v>1.99</v>
      </c>
      <c r="DI7">
        <v>1.94</v>
      </c>
      <c r="DJ7">
        <v>1.98</v>
      </c>
      <c r="DK7">
        <v>2.0499999999999998</v>
      </c>
      <c r="DL7">
        <v>2</v>
      </c>
      <c r="DM7">
        <v>1.93</v>
      </c>
      <c r="DN7">
        <v>1.93</v>
      </c>
      <c r="DO7">
        <v>1.96</v>
      </c>
      <c r="DP7">
        <v>2.02</v>
      </c>
    </row>
    <row r="8" spans="1:120" x14ac:dyDescent="0.3">
      <c r="A8" t="s">
        <v>120</v>
      </c>
      <c r="B8" t="s">
        <v>127</v>
      </c>
      <c r="C8" s="1">
        <v>0.72916666666666663</v>
      </c>
      <c r="D8" t="s">
        <v>144</v>
      </c>
      <c r="E8" t="s">
        <v>145</v>
      </c>
      <c r="F8">
        <v>1</v>
      </c>
      <c r="G8">
        <v>2</v>
      </c>
      <c r="H8" t="s">
        <v>130</v>
      </c>
      <c r="I8">
        <v>1</v>
      </c>
      <c r="J8">
        <v>1</v>
      </c>
      <c r="K8" t="s">
        <v>125</v>
      </c>
      <c r="L8" t="s">
        <v>146</v>
      </c>
      <c r="M8">
        <v>14</v>
      </c>
      <c r="N8">
        <v>15</v>
      </c>
      <c r="O8">
        <v>3</v>
      </c>
      <c r="P8">
        <v>3</v>
      </c>
      <c r="Q8">
        <v>18</v>
      </c>
      <c r="R8">
        <v>11</v>
      </c>
      <c r="S8">
        <v>5</v>
      </c>
      <c r="T8">
        <v>3</v>
      </c>
      <c r="U8">
        <v>1</v>
      </c>
      <c r="V8">
        <v>2</v>
      </c>
      <c r="W8">
        <v>0</v>
      </c>
      <c r="X8">
        <v>0</v>
      </c>
      <c r="Y8">
        <v>2.4500000000000002</v>
      </c>
      <c r="Z8">
        <v>3.6</v>
      </c>
      <c r="AA8">
        <v>2.75</v>
      </c>
      <c r="AB8">
        <v>2.4500000000000002</v>
      </c>
      <c r="AC8">
        <v>3.6</v>
      </c>
      <c r="AD8">
        <v>2.7</v>
      </c>
      <c r="AE8">
        <v>2.4</v>
      </c>
      <c r="AF8">
        <v>3.6</v>
      </c>
      <c r="AG8">
        <v>2.8</v>
      </c>
      <c r="AH8">
        <v>2.4900000000000002</v>
      </c>
      <c r="AI8">
        <v>3.65</v>
      </c>
      <c r="AJ8">
        <v>2.8</v>
      </c>
      <c r="AK8">
        <v>2.4</v>
      </c>
      <c r="AL8">
        <v>3.75</v>
      </c>
      <c r="AM8">
        <v>2.75</v>
      </c>
      <c r="AN8">
        <v>2.42</v>
      </c>
      <c r="AO8">
        <v>3.91</v>
      </c>
      <c r="AP8">
        <v>2.81</v>
      </c>
      <c r="AQ8">
        <v>2.4900000000000002</v>
      </c>
      <c r="AR8">
        <v>3.91</v>
      </c>
      <c r="AS8">
        <v>2.87</v>
      </c>
      <c r="AT8">
        <v>2.44</v>
      </c>
      <c r="AU8">
        <v>3.69</v>
      </c>
      <c r="AV8">
        <v>2.79</v>
      </c>
      <c r="AW8">
        <v>2.5</v>
      </c>
      <c r="AX8">
        <v>3.75</v>
      </c>
      <c r="AY8">
        <v>2.94</v>
      </c>
      <c r="AZ8">
        <v>1.57</v>
      </c>
      <c r="BA8">
        <v>2.38</v>
      </c>
      <c r="BB8">
        <v>1.59</v>
      </c>
      <c r="BC8">
        <v>2.46</v>
      </c>
      <c r="BD8">
        <v>1.59</v>
      </c>
      <c r="BE8">
        <v>2.52</v>
      </c>
      <c r="BF8">
        <v>1.57</v>
      </c>
      <c r="BG8">
        <v>2.4300000000000002</v>
      </c>
      <c r="BH8">
        <v>1.63</v>
      </c>
      <c r="BI8">
        <v>2.52</v>
      </c>
      <c r="BJ8">
        <v>-0.25</v>
      </c>
      <c r="BK8">
        <v>2.08</v>
      </c>
      <c r="BL8">
        <v>1.73</v>
      </c>
      <c r="BM8">
        <v>2.16</v>
      </c>
      <c r="BN8">
        <v>1.76</v>
      </c>
      <c r="BO8">
        <v>2.16</v>
      </c>
      <c r="BP8">
        <v>1.82</v>
      </c>
      <c r="BQ8">
        <v>2.1</v>
      </c>
      <c r="BR8">
        <v>1.78</v>
      </c>
      <c r="BS8">
        <v>2.17</v>
      </c>
      <c r="BT8">
        <v>1.84</v>
      </c>
      <c r="BU8">
        <v>2.4</v>
      </c>
      <c r="BV8">
        <v>3.5</v>
      </c>
      <c r="BW8">
        <v>2.8</v>
      </c>
      <c r="BX8">
        <v>2.5</v>
      </c>
      <c r="BY8">
        <v>3.5</v>
      </c>
      <c r="BZ8">
        <v>2.75</v>
      </c>
      <c r="CA8">
        <v>2.38</v>
      </c>
      <c r="CB8">
        <v>3.4</v>
      </c>
      <c r="CC8">
        <v>2.8</v>
      </c>
      <c r="CD8">
        <v>2.54</v>
      </c>
      <c r="CE8">
        <v>3.51</v>
      </c>
      <c r="CF8">
        <v>2.86</v>
      </c>
      <c r="CG8">
        <v>2.5</v>
      </c>
      <c r="CH8">
        <v>3.5</v>
      </c>
      <c r="CI8">
        <v>2.8</v>
      </c>
      <c r="CJ8">
        <v>2.56</v>
      </c>
      <c r="CK8">
        <v>3.6</v>
      </c>
      <c r="CL8">
        <v>2.77</v>
      </c>
      <c r="CM8">
        <v>2.56</v>
      </c>
      <c r="CN8">
        <v>3.6</v>
      </c>
      <c r="CO8">
        <v>2.91</v>
      </c>
      <c r="CP8">
        <v>2.4700000000000002</v>
      </c>
      <c r="CQ8">
        <v>3.51</v>
      </c>
      <c r="CR8">
        <v>2.83</v>
      </c>
      <c r="CS8">
        <v>2.54</v>
      </c>
      <c r="CT8">
        <v>3.65</v>
      </c>
      <c r="CU8">
        <v>2.98</v>
      </c>
      <c r="CV8">
        <v>1.73</v>
      </c>
      <c r="CW8">
        <v>2.1</v>
      </c>
      <c r="CX8">
        <v>1.72</v>
      </c>
      <c r="CY8">
        <v>2.21</v>
      </c>
      <c r="CZ8">
        <v>1.73</v>
      </c>
      <c r="DA8">
        <v>2.3199999999999998</v>
      </c>
      <c r="DB8">
        <v>1.68</v>
      </c>
      <c r="DC8">
        <v>2.2200000000000002</v>
      </c>
      <c r="DD8">
        <v>1.74</v>
      </c>
      <c r="DE8">
        <v>2.3199999999999998</v>
      </c>
      <c r="DF8">
        <v>0</v>
      </c>
      <c r="DG8">
        <v>1.83</v>
      </c>
      <c r="DH8">
        <v>2.1</v>
      </c>
      <c r="DI8">
        <v>1.85</v>
      </c>
      <c r="DJ8">
        <v>2.09</v>
      </c>
      <c r="DK8">
        <v>1.86</v>
      </c>
      <c r="DL8">
        <v>2.14</v>
      </c>
      <c r="DM8">
        <v>1.82</v>
      </c>
      <c r="DN8">
        <v>2.08</v>
      </c>
      <c r="DO8">
        <v>1.84</v>
      </c>
      <c r="DP8">
        <v>2.1800000000000002</v>
      </c>
    </row>
    <row r="9" spans="1:120" x14ac:dyDescent="0.3">
      <c r="A9" t="s">
        <v>120</v>
      </c>
      <c r="B9" t="s">
        <v>147</v>
      </c>
      <c r="C9" s="1">
        <v>0.58333333333333337</v>
      </c>
      <c r="D9" t="s">
        <v>148</v>
      </c>
      <c r="E9" t="s">
        <v>149</v>
      </c>
      <c r="F9">
        <v>2</v>
      </c>
      <c r="G9">
        <v>1</v>
      </c>
      <c r="H9" t="s">
        <v>124</v>
      </c>
      <c r="I9">
        <v>1</v>
      </c>
      <c r="J9">
        <v>0</v>
      </c>
      <c r="K9" t="s">
        <v>124</v>
      </c>
      <c r="L9" t="s">
        <v>150</v>
      </c>
      <c r="M9">
        <v>9</v>
      </c>
      <c r="N9">
        <v>14</v>
      </c>
      <c r="O9">
        <v>5</v>
      </c>
      <c r="P9">
        <v>6</v>
      </c>
      <c r="Q9">
        <v>6</v>
      </c>
      <c r="R9">
        <v>15</v>
      </c>
      <c r="S9">
        <v>4</v>
      </c>
      <c r="T9">
        <v>7</v>
      </c>
      <c r="U9">
        <v>1</v>
      </c>
      <c r="V9">
        <v>5</v>
      </c>
      <c r="W9">
        <v>0</v>
      </c>
      <c r="X9">
        <v>0</v>
      </c>
      <c r="Y9">
        <v>2.4</v>
      </c>
      <c r="Z9">
        <v>3.4</v>
      </c>
      <c r="AA9">
        <v>2.9</v>
      </c>
      <c r="AB9">
        <v>2.4</v>
      </c>
      <c r="AC9">
        <v>3.4</v>
      </c>
      <c r="AD9">
        <v>2.87</v>
      </c>
      <c r="AE9">
        <v>2.4500000000000002</v>
      </c>
      <c r="AF9">
        <v>3.4</v>
      </c>
      <c r="AG9">
        <v>2.88</v>
      </c>
      <c r="AH9">
        <v>2.5</v>
      </c>
      <c r="AI9">
        <v>3.4</v>
      </c>
      <c r="AJ9">
        <v>2.95</v>
      </c>
      <c r="AK9">
        <v>2.4500000000000002</v>
      </c>
      <c r="AL9">
        <v>3.5</v>
      </c>
      <c r="AM9">
        <v>2.88</v>
      </c>
      <c r="AN9">
        <v>2.4700000000000002</v>
      </c>
      <c r="AO9">
        <v>3.66</v>
      </c>
      <c r="AP9">
        <v>2.88</v>
      </c>
      <c r="AQ9">
        <v>2.52</v>
      </c>
      <c r="AR9">
        <v>3.66</v>
      </c>
      <c r="AS9">
        <v>2.99</v>
      </c>
      <c r="AT9">
        <v>2.46</v>
      </c>
      <c r="AU9">
        <v>3.44</v>
      </c>
      <c r="AV9">
        <v>2.9</v>
      </c>
      <c r="AW9">
        <v>2.54</v>
      </c>
      <c r="AX9">
        <v>3.55</v>
      </c>
      <c r="AY9">
        <v>3</v>
      </c>
      <c r="AZ9">
        <v>1.8</v>
      </c>
      <c r="BA9">
        <v>2</v>
      </c>
      <c r="BB9">
        <v>1.83</v>
      </c>
      <c r="BC9">
        <v>2.0499999999999998</v>
      </c>
      <c r="BD9">
        <v>1.85</v>
      </c>
      <c r="BE9">
        <v>2.08</v>
      </c>
      <c r="BF9">
        <v>1.81</v>
      </c>
      <c r="BG9">
        <v>2.0299999999999998</v>
      </c>
      <c r="BH9">
        <v>1.84</v>
      </c>
      <c r="BI9">
        <v>2.14</v>
      </c>
      <c r="BJ9">
        <v>-0.25</v>
      </c>
      <c r="BK9">
        <v>2.11</v>
      </c>
      <c r="BL9">
        <v>1.82</v>
      </c>
      <c r="BM9">
        <v>2.15</v>
      </c>
      <c r="BN9">
        <v>1.78</v>
      </c>
      <c r="BO9">
        <v>2.15</v>
      </c>
      <c r="BP9">
        <v>1.82</v>
      </c>
      <c r="BQ9">
        <v>2.1</v>
      </c>
      <c r="BR9">
        <v>1.78</v>
      </c>
      <c r="BS9">
        <v>2.1800000000000002</v>
      </c>
      <c r="BT9">
        <v>1.83</v>
      </c>
      <c r="BU9">
        <v>2.88</v>
      </c>
      <c r="BV9">
        <v>3.2</v>
      </c>
      <c r="BW9">
        <v>2.5499999999999998</v>
      </c>
      <c r="BX9">
        <v>2.8</v>
      </c>
      <c r="BY9">
        <v>3.2</v>
      </c>
      <c r="BZ9">
        <v>2.6</v>
      </c>
      <c r="CA9">
        <v>2.8</v>
      </c>
      <c r="CB9">
        <v>3.25</v>
      </c>
      <c r="CC9">
        <v>2.63</v>
      </c>
      <c r="CD9">
        <v>2.92</v>
      </c>
      <c r="CE9">
        <v>3.24</v>
      </c>
      <c r="CF9">
        <v>2.66</v>
      </c>
      <c r="CG9">
        <v>3</v>
      </c>
      <c r="CH9">
        <v>3.2</v>
      </c>
      <c r="CI9">
        <v>2.5</v>
      </c>
      <c r="CJ9">
        <v>2.98</v>
      </c>
      <c r="CK9">
        <v>3.3</v>
      </c>
      <c r="CL9">
        <v>2.56</v>
      </c>
      <c r="CM9">
        <v>3</v>
      </c>
      <c r="CN9">
        <v>3.4</v>
      </c>
      <c r="CO9">
        <v>2.72</v>
      </c>
      <c r="CP9">
        <v>2.85</v>
      </c>
      <c r="CQ9">
        <v>3.28</v>
      </c>
      <c r="CR9">
        <v>2.62</v>
      </c>
      <c r="CS9">
        <v>2.94</v>
      </c>
      <c r="CT9">
        <v>3.35</v>
      </c>
      <c r="CU9">
        <v>2.74</v>
      </c>
      <c r="CV9">
        <v>2.0699999999999998</v>
      </c>
      <c r="CW9">
        <v>1.83</v>
      </c>
      <c r="CX9">
        <v>2.09</v>
      </c>
      <c r="CY9">
        <v>1.83</v>
      </c>
      <c r="CZ9">
        <v>2.09</v>
      </c>
      <c r="DA9">
        <v>1.91</v>
      </c>
      <c r="DB9">
        <v>2</v>
      </c>
      <c r="DC9">
        <v>1.85</v>
      </c>
      <c r="DD9">
        <v>2.1</v>
      </c>
      <c r="DE9">
        <v>1.89</v>
      </c>
      <c r="DF9">
        <v>0</v>
      </c>
      <c r="DG9">
        <v>2.0699999999999998</v>
      </c>
      <c r="DH9">
        <v>1.86</v>
      </c>
      <c r="DI9">
        <v>2.06</v>
      </c>
      <c r="DJ9">
        <v>1.88</v>
      </c>
      <c r="DK9">
        <v>2.11</v>
      </c>
      <c r="DL9">
        <v>1.88</v>
      </c>
      <c r="DM9">
        <v>2.0499999999999998</v>
      </c>
      <c r="DN9">
        <v>1.85</v>
      </c>
      <c r="DO9">
        <v>2.0699999999999998</v>
      </c>
      <c r="DP9">
        <v>1.92</v>
      </c>
    </row>
    <row r="10" spans="1:120" x14ac:dyDescent="0.3">
      <c r="A10" t="s">
        <v>120</v>
      </c>
      <c r="B10" t="s">
        <v>147</v>
      </c>
      <c r="C10" s="1">
        <v>0.6875</v>
      </c>
      <c r="D10" t="s">
        <v>151</v>
      </c>
      <c r="E10" t="s">
        <v>152</v>
      </c>
      <c r="F10">
        <v>0</v>
      </c>
      <c r="G10">
        <v>2</v>
      </c>
      <c r="H10" t="s">
        <v>130</v>
      </c>
      <c r="I10">
        <v>0</v>
      </c>
      <c r="J10">
        <v>1</v>
      </c>
      <c r="K10" t="s">
        <v>130</v>
      </c>
      <c r="L10" t="s">
        <v>153</v>
      </c>
      <c r="M10">
        <v>10</v>
      </c>
      <c r="N10">
        <v>11</v>
      </c>
      <c r="O10">
        <v>3</v>
      </c>
      <c r="P10">
        <v>5</v>
      </c>
      <c r="Q10">
        <v>12</v>
      </c>
      <c r="R10">
        <v>9</v>
      </c>
      <c r="S10">
        <v>4</v>
      </c>
      <c r="T10">
        <v>3</v>
      </c>
      <c r="U10">
        <v>1</v>
      </c>
      <c r="V10">
        <v>1</v>
      </c>
      <c r="W10">
        <v>0</v>
      </c>
      <c r="X10">
        <v>0</v>
      </c>
      <c r="Y10">
        <v>4.0999999999999996</v>
      </c>
      <c r="Z10">
        <v>3.9</v>
      </c>
      <c r="AA10">
        <v>1.8</v>
      </c>
      <c r="AB10">
        <v>3.9</v>
      </c>
      <c r="AC10">
        <v>4.0999999999999996</v>
      </c>
      <c r="AD10">
        <v>1.82</v>
      </c>
      <c r="AE10">
        <v>4.0999999999999996</v>
      </c>
      <c r="AF10">
        <v>3.9</v>
      </c>
      <c r="AG10">
        <v>1.8</v>
      </c>
      <c r="AH10">
        <v>4.1900000000000004</v>
      </c>
      <c r="AI10">
        <v>3.93</v>
      </c>
      <c r="AJ10">
        <v>1.84</v>
      </c>
      <c r="AK10">
        <v>4</v>
      </c>
      <c r="AL10">
        <v>4</v>
      </c>
      <c r="AM10">
        <v>1.83</v>
      </c>
      <c r="AN10">
        <v>4.0199999999999996</v>
      </c>
      <c r="AO10">
        <v>4.22</v>
      </c>
      <c r="AP10">
        <v>1.85</v>
      </c>
      <c r="AQ10">
        <v>4.3</v>
      </c>
      <c r="AR10">
        <v>4.22</v>
      </c>
      <c r="AS10">
        <v>1.88</v>
      </c>
      <c r="AT10">
        <v>4.05</v>
      </c>
      <c r="AU10">
        <v>4</v>
      </c>
      <c r="AV10">
        <v>1.83</v>
      </c>
      <c r="AW10">
        <v>4.3</v>
      </c>
      <c r="AX10">
        <v>4.0999999999999996</v>
      </c>
      <c r="AY10">
        <v>1.87</v>
      </c>
      <c r="AZ10">
        <v>1.5</v>
      </c>
      <c r="BA10">
        <v>2.63</v>
      </c>
      <c r="BB10">
        <v>1.52</v>
      </c>
      <c r="BC10">
        <v>2.62</v>
      </c>
      <c r="BD10">
        <v>1.53</v>
      </c>
      <c r="BE10">
        <v>2.69</v>
      </c>
      <c r="BF10">
        <v>1.5</v>
      </c>
      <c r="BG10">
        <v>2.59</v>
      </c>
      <c r="BH10">
        <v>1.56</v>
      </c>
      <c r="BI10">
        <v>2.68</v>
      </c>
      <c r="BJ10">
        <v>0.5</v>
      </c>
      <c r="BK10">
        <v>2.0699999999999998</v>
      </c>
      <c r="BL10">
        <v>1.86</v>
      </c>
      <c r="BM10">
        <v>2.06</v>
      </c>
      <c r="BN10">
        <v>1.85</v>
      </c>
      <c r="BO10">
        <v>2.08</v>
      </c>
      <c r="BP10">
        <v>1.86</v>
      </c>
      <c r="BQ10">
        <v>2.0299999999999998</v>
      </c>
      <c r="BR10">
        <v>1.83</v>
      </c>
      <c r="BS10">
        <v>2.12</v>
      </c>
      <c r="BT10">
        <v>1.87</v>
      </c>
      <c r="BU10">
        <v>3.6</v>
      </c>
      <c r="BV10">
        <v>3.9</v>
      </c>
      <c r="BW10">
        <v>1.95</v>
      </c>
      <c r="BX10">
        <v>3.6</v>
      </c>
      <c r="BY10">
        <v>3.75</v>
      </c>
      <c r="BZ10">
        <v>1.98</v>
      </c>
      <c r="CA10">
        <v>3.6</v>
      </c>
      <c r="CB10">
        <v>3.8</v>
      </c>
      <c r="CC10">
        <v>2</v>
      </c>
      <c r="CD10">
        <v>3.86</v>
      </c>
      <c r="CE10">
        <v>3.91</v>
      </c>
      <c r="CF10">
        <v>1.97</v>
      </c>
      <c r="CG10">
        <v>3.5</v>
      </c>
      <c r="CH10">
        <v>3.9</v>
      </c>
      <c r="CI10">
        <v>2</v>
      </c>
      <c r="CJ10">
        <v>3.89</v>
      </c>
      <c r="CK10">
        <v>3.96</v>
      </c>
      <c r="CL10">
        <v>1.92</v>
      </c>
      <c r="CM10">
        <v>3.89</v>
      </c>
      <c r="CN10">
        <v>3.96</v>
      </c>
      <c r="CO10">
        <v>2.0499999999999998</v>
      </c>
      <c r="CP10">
        <v>3.64</v>
      </c>
      <c r="CQ10">
        <v>3.83</v>
      </c>
      <c r="CR10">
        <v>1.98</v>
      </c>
      <c r="CS10">
        <v>3.75</v>
      </c>
      <c r="CT10">
        <v>3.9</v>
      </c>
      <c r="CU10">
        <v>2.06</v>
      </c>
      <c r="CV10">
        <v>1.57</v>
      </c>
      <c r="CW10">
        <v>2.38</v>
      </c>
      <c r="CX10">
        <v>1.58</v>
      </c>
      <c r="CY10">
        <v>2.5099999999999998</v>
      </c>
      <c r="CZ10">
        <v>1.61</v>
      </c>
      <c r="DA10">
        <v>2.52</v>
      </c>
      <c r="DB10">
        <v>1.56</v>
      </c>
      <c r="DC10">
        <v>2.4500000000000002</v>
      </c>
      <c r="DD10">
        <v>1.62</v>
      </c>
      <c r="DE10">
        <v>2.6</v>
      </c>
      <c r="DF10">
        <v>0.5</v>
      </c>
      <c r="DG10">
        <v>1.94</v>
      </c>
      <c r="DH10">
        <v>1.99</v>
      </c>
      <c r="DI10">
        <v>1.96</v>
      </c>
      <c r="DJ10">
        <v>1.97</v>
      </c>
      <c r="DK10">
        <v>1.96</v>
      </c>
      <c r="DL10">
        <v>2</v>
      </c>
      <c r="DM10">
        <v>1.9</v>
      </c>
      <c r="DN10">
        <v>1.96</v>
      </c>
      <c r="DO10">
        <v>1.93</v>
      </c>
      <c r="DP10">
        <v>2.0699999999999998</v>
      </c>
    </row>
    <row r="11" spans="1:120" x14ac:dyDescent="0.3">
      <c r="A11" t="s">
        <v>120</v>
      </c>
      <c r="B11" t="s">
        <v>154</v>
      </c>
      <c r="C11" s="1">
        <v>0.83333333333333337</v>
      </c>
      <c r="D11" t="s">
        <v>155</v>
      </c>
      <c r="E11" t="s">
        <v>156</v>
      </c>
      <c r="F11">
        <v>1</v>
      </c>
      <c r="G11">
        <v>1</v>
      </c>
      <c r="H11" t="s">
        <v>125</v>
      </c>
      <c r="I11">
        <v>0</v>
      </c>
      <c r="J11">
        <v>1</v>
      </c>
      <c r="K11" t="s">
        <v>130</v>
      </c>
      <c r="L11" t="s">
        <v>157</v>
      </c>
      <c r="M11">
        <v>7</v>
      </c>
      <c r="N11">
        <v>15</v>
      </c>
      <c r="O11">
        <v>3</v>
      </c>
      <c r="P11">
        <v>7</v>
      </c>
      <c r="Q11">
        <v>11</v>
      </c>
      <c r="R11">
        <v>12</v>
      </c>
      <c r="S11">
        <v>2</v>
      </c>
      <c r="T11">
        <v>13</v>
      </c>
      <c r="U11">
        <v>1</v>
      </c>
      <c r="V11">
        <v>1</v>
      </c>
      <c r="W11">
        <v>0</v>
      </c>
      <c r="X11">
        <v>0</v>
      </c>
      <c r="Y11">
        <v>5</v>
      </c>
      <c r="Z11">
        <v>4.33</v>
      </c>
      <c r="AA11">
        <v>1.62</v>
      </c>
      <c r="AB11">
        <v>5</v>
      </c>
      <c r="AC11">
        <v>4.33</v>
      </c>
      <c r="AD11">
        <v>1.63</v>
      </c>
      <c r="AE11">
        <v>5</v>
      </c>
      <c r="AF11">
        <v>4.33</v>
      </c>
      <c r="AG11">
        <v>1.57</v>
      </c>
      <c r="AH11">
        <v>5.09</v>
      </c>
      <c r="AI11">
        <v>4.3899999999999997</v>
      </c>
      <c r="AJ11">
        <v>1.63</v>
      </c>
      <c r="AK11">
        <v>5</v>
      </c>
      <c r="AL11">
        <v>4.33</v>
      </c>
      <c r="AM11">
        <v>1.65</v>
      </c>
      <c r="AN11">
        <v>4.9800000000000004</v>
      </c>
      <c r="AO11">
        <v>4.5199999999999996</v>
      </c>
      <c r="AP11">
        <v>1.66</v>
      </c>
      <c r="AQ11">
        <v>5.3</v>
      </c>
      <c r="AR11">
        <v>4.5199999999999996</v>
      </c>
      <c r="AS11">
        <v>1.67</v>
      </c>
      <c r="AT11">
        <v>5.01</v>
      </c>
      <c r="AU11">
        <v>4.37</v>
      </c>
      <c r="AV11">
        <v>1.63</v>
      </c>
      <c r="AW11">
        <v>5.4</v>
      </c>
      <c r="AX11">
        <v>4.5999999999999996</v>
      </c>
      <c r="AY11">
        <v>1.65</v>
      </c>
      <c r="AZ11">
        <v>1.53</v>
      </c>
      <c r="BA11">
        <v>2.5</v>
      </c>
      <c r="BB11">
        <v>1.53</v>
      </c>
      <c r="BC11">
        <v>2.61</v>
      </c>
      <c r="BD11">
        <v>1.55</v>
      </c>
      <c r="BE11">
        <v>2.63</v>
      </c>
      <c r="BF11">
        <v>1.52</v>
      </c>
      <c r="BG11">
        <v>2.54</v>
      </c>
      <c r="BH11">
        <v>1.56</v>
      </c>
      <c r="BI11">
        <v>2.7</v>
      </c>
      <c r="BJ11">
        <v>1</v>
      </c>
      <c r="BK11">
        <v>1.86</v>
      </c>
      <c r="BL11">
        <v>2.0699999999999998</v>
      </c>
      <c r="BM11">
        <v>1.86</v>
      </c>
      <c r="BN11">
        <v>2.0499999999999998</v>
      </c>
      <c r="BO11">
        <v>1.86</v>
      </c>
      <c r="BP11">
        <v>2.09</v>
      </c>
      <c r="BQ11">
        <v>1.83</v>
      </c>
      <c r="BR11">
        <v>2.0299999999999998</v>
      </c>
      <c r="BS11">
        <v>1.91</v>
      </c>
      <c r="BT11">
        <v>2.06</v>
      </c>
      <c r="BU11">
        <v>4.5</v>
      </c>
      <c r="BV11">
        <v>4.2</v>
      </c>
      <c r="BW11">
        <v>1.7</v>
      </c>
      <c r="BX11">
        <v>4.33</v>
      </c>
      <c r="BY11">
        <v>4.2</v>
      </c>
      <c r="BZ11">
        <v>1.72</v>
      </c>
      <c r="CA11">
        <v>4.33</v>
      </c>
      <c r="CB11">
        <v>4.0999999999999996</v>
      </c>
      <c r="CC11">
        <v>1.7</v>
      </c>
      <c r="CD11">
        <v>4.6399999999999997</v>
      </c>
      <c r="CE11">
        <v>4.33</v>
      </c>
      <c r="CF11">
        <v>1.71</v>
      </c>
      <c r="CG11">
        <v>4.5999999999999996</v>
      </c>
      <c r="CH11">
        <v>4.2</v>
      </c>
      <c r="CI11">
        <v>1.7</v>
      </c>
      <c r="CJ11">
        <v>4.79</v>
      </c>
      <c r="CK11">
        <v>4.2699999999999996</v>
      </c>
      <c r="CL11">
        <v>1.7</v>
      </c>
      <c r="CM11">
        <v>4.9000000000000004</v>
      </c>
      <c r="CN11">
        <v>4.4000000000000004</v>
      </c>
      <c r="CO11">
        <v>1.74</v>
      </c>
      <c r="CP11">
        <v>4.57</v>
      </c>
      <c r="CQ11">
        <v>4.2300000000000004</v>
      </c>
      <c r="CR11">
        <v>1.71</v>
      </c>
      <c r="CS11">
        <v>4.7</v>
      </c>
      <c r="CT11">
        <v>4.4000000000000004</v>
      </c>
      <c r="CU11">
        <v>1.76</v>
      </c>
      <c r="CV11">
        <v>1.57</v>
      </c>
      <c r="CW11">
        <v>2.38</v>
      </c>
      <c r="CX11">
        <v>1.54</v>
      </c>
      <c r="CY11">
        <v>2.61</v>
      </c>
      <c r="CZ11">
        <v>1.57</v>
      </c>
      <c r="DA11">
        <v>2.62</v>
      </c>
      <c r="DB11">
        <v>1.54</v>
      </c>
      <c r="DC11">
        <v>2.52</v>
      </c>
      <c r="DD11">
        <v>1.58</v>
      </c>
      <c r="DE11">
        <v>2.7</v>
      </c>
      <c r="DF11">
        <v>0.75</v>
      </c>
      <c r="DG11">
        <v>2.0299999999999998</v>
      </c>
      <c r="DH11">
        <v>1.9</v>
      </c>
      <c r="DI11">
        <v>2.02</v>
      </c>
      <c r="DJ11">
        <v>1.91</v>
      </c>
      <c r="DK11">
        <v>2.06</v>
      </c>
      <c r="DL11">
        <v>1.92</v>
      </c>
      <c r="DM11">
        <v>1.99</v>
      </c>
      <c r="DN11">
        <v>1.87</v>
      </c>
      <c r="DO11">
        <v>2.0299999999999998</v>
      </c>
      <c r="DP11">
        <v>1.96</v>
      </c>
    </row>
    <row r="12" spans="1:120" x14ac:dyDescent="0.3">
      <c r="A12" t="s">
        <v>120</v>
      </c>
      <c r="B12" t="s">
        <v>158</v>
      </c>
      <c r="C12" s="1">
        <v>0.52083333333333337</v>
      </c>
      <c r="D12" t="s">
        <v>136</v>
      </c>
      <c r="E12" t="s">
        <v>122</v>
      </c>
      <c r="F12">
        <v>2</v>
      </c>
      <c r="G12">
        <v>1</v>
      </c>
      <c r="H12" t="s">
        <v>124</v>
      </c>
      <c r="I12">
        <v>1</v>
      </c>
      <c r="J12">
        <v>0</v>
      </c>
      <c r="K12" t="s">
        <v>124</v>
      </c>
      <c r="L12" t="s">
        <v>140</v>
      </c>
      <c r="M12">
        <v>14</v>
      </c>
      <c r="N12">
        <v>11</v>
      </c>
      <c r="O12">
        <v>5</v>
      </c>
      <c r="P12">
        <v>4</v>
      </c>
      <c r="Q12">
        <v>9</v>
      </c>
      <c r="R12">
        <v>13</v>
      </c>
      <c r="S12">
        <v>4</v>
      </c>
      <c r="T12">
        <v>4</v>
      </c>
      <c r="U12">
        <v>1</v>
      </c>
      <c r="V12">
        <v>2</v>
      </c>
      <c r="W12">
        <v>0</v>
      </c>
      <c r="X12">
        <v>0</v>
      </c>
      <c r="Y12">
        <v>2.5</v>
      </c>
      <c r="Z12">
        <v>3.7</v>
      </c>
      <c r="AA12">
        <v>2.63</v>
      </c>
      <c r="AB12">
        <v>2.5</v>
      </c>
      <c r="AC12">
        <v>3.75</v>
      </c>
      <c r="AD12">
        <v>2.6</v>
      </c>
      <c r="AE12">
        <v>2.5</v>
      </c>
      <c r="AF12">
        <v>3.75</v>
      </c>
      <c r="AG12">
        <v>2.7</v>
      </c>
      <c r="AH12">
        <v>2.5099999999999998</v>
      </c>
      <c r="AI12">
        <v>3.66</v>
      </c>
      <c r="AJ12">
        <v>2.76</v>
      </c>
      <c r="AK12">
        <v>2.5</v>
      </c>
      <c r="AL12">
        <v>3.7</v>
      </c>
      <c r="AM12">
        <v>2.7</v>
      </c>
      <c r="AN12">
        <v>2.54</v>
      </c>
      <c r="AO12">
        <v>3.87</v>
      </c>
      <c r="AP12">
        <v>2.68</v>
      </c>
      <c r="AQ12">
        <v>2.54</v>
      </c>
      <c r="AR12">
        <v>3.87</v>
      </c>
      <c r="AS12">
        <v>2.79</v>
      </c>
      <c r="AT12">
        <v>2.5</v>
      </c>
      <c r="AU12">
        <v>3.72</v>
      </c>
      <c r="AV12">
        <v>2.69</v>
      </c>
      <c r="AW12">
        <v>2.58</v>
      </c>
      <c r="AX12">
        <v>3.9</v>
      </c>
      <c r="AY12">
        <v>2.8</v>
      </c>
      <c r="AZ12">
        <v>1.57</v>
      </c>
      <c r="BA12">
        <v>2.38</v>
      </c>
      <c r="BB12">
        <v>1.6</v>
      </c>
      <c r="BC12">
        <v>2.4500000000000002</v>
      </c>
      <c r="BD12">
        <v>1.63</v>
      </c>
      <c r="BE12">
        <v>2.5</v>
      </c>
      <c r="BF12">
        <v>1.58</v>
      </c>
      <c r="BG12">
        <v>2.42</v>
      </c>
      <c r="BH12">
        <v>1.62</v>
      </c>
      <c r="BI12">
        <v>2.5</v>
      </c>
      <c r="BJ12">
        <v>0</v>
      </c>
      <c r="BK12">
        <v>1.86</v>
      </c>
      <c r="BL12">
        <v>2.04</v>
      </c>
      <c r="BM12">
        <v>1.86</v>
      </c>
      <c r="BN12">
        <v>2.0499999999999998</v>
      </c>
      <c r="BO12">
        <v>1.91</v>
      </c>
      <c r="BP12">
        <v>2.06</v>
      </c>
      <c r="BQ12">
        <v>1.88</v>
      </c>
      <c r="BR12">
        <v>2.0099999999999998</v>
      </c>
      <c r="BS12">
        <v>1.91</v>
      </c>
      <c r="BT12">
        <v>2.08</v>
      </c>
      <c r="BU12">
        <v>2.2999999999999998</v>
      </c>
      <c r="BV12">
        <v>3.8</v>
      </c>
      <c r="BW12">
        <v>2.88</v>
      </c>
      <c r="BX12">
        <v>2.2999999999999998</v>
      </c>
      <c r="BY12">
        <v>3.7</v>
      </c>
      <c r="BZ12">
        <v>2.85</v>
      </c>
      <c r="CA12">
        <v>2.2999999999999998</v>
      </c>
      <c r="CB12">
        <v>3.6</v>
      </c>
      <c r="CC12">
        <v>2.8</v>
      </c>
      <c r="CD12">
        <v>2.42</v>
      </c>
      <c r="CE12">
        <v>3.76</v>
      </c>
      <c r="CF12">
        <v>2.86</v>
      </c>
      <c r="CG12">
        <v>2.38</v>
      </c>
      <c r="CH12">
        <v>3.6</v>
      </c>
      <c r="CI12">
        <v>2.88</v>
      </c>
      <c r="CJ12">
        <v>2.57</v>
      </c>
      <c r="CK12">
        <v>3.85</v>
      </c>
      <c r="CL12">
        <v>2.63</v>
      </c>
      <c r="CM12">
        <v>2.57</v>
      </c>
      <c r="CN12">
        <v>3.9</v>
      </c>
      <c r="CO12">
        <v>2.96</v>
      </c>
      <c r="CP12">
        <v>2.41</v>
      </c>
      <c r="CQ12">
        <v>3.72</v>
      </c>
      <c r="CR12">
        <v>2.81</v>
      </c>
      <c r="CS12">
        <v>2.48</v>
      </c>
      <c r="CT12">
        <v>3.85</v>
      </c>
      <c r="CU12">
        <v>2.94</v>
      </c>
      <c r="CV12">
        <v>1.53</v>
      </c>
      <c r="CW12">
        <v>2.5</v>
      </c>
      <c r="CX12">
        <v>1.54</v>
      </c>
      <c r="CY12">
        <v>2.6</v>
      </c>
      <c r="CZ12">
        <v>1.6</v>
      </c>
      <c r="DA12">
        <v>2.62</v>
      </c>
      <c r="DB12">
        <v>1.54</v>
      </c>
      <c r="DC12">
        <v>2.52</v>
      </c>
      <c r="DD12">
        <v>1.58</v>
      </c>
      <c r="DE12">
        <v>2.7</v>
      </c>
      <c r="DF12">
        <v>-0.25</v>
      </c>
      <c r="DG12">
        <v>2.0699999999999998</v>
      </c>
      <c r="DH12">
        <v>1.86</v>
      </c>
      <c r="DI12">
        <v>2.12</v>
      </c>
      <c r="DJ12">
        <v>1.83</v>
      </c>
      <c r="DK12">
        <v>2.2000000000000002</v>
      </c>
      <c r="DL12">
        <v>1.86</v>
      </c>
      <c r="DM12">
        <v>2.09</v>
      </c>
      <c r="DN12">
        <v>1.79</v>
      </c>
      <c r="DO12">
        <v>2.15</v>
      </c>
      <c r="DP12">
        <v>1.85</v>
      </c>
    </row>
    <row r="13" spans="1:120" x14ac:dyDescent="0.3">
      <c r="A13" t="s">
        <v>120</v>
      </c>
      <c r="B13" t="s">
        <v>158</v>
      </c>
      <c r="C13" s="1">
        <v>0.625</v>
      </c>
      <c r="D13" t="s">
        <v>149</v>
      </c>
      <c r="E13" t="s">
        <v>144</v>
      </c>
      <c r="F13">
        <v>0</v>
      </c>
      <c r="G13">
        <v>2</v>
      </c>
      <c r="H13" t="s">
        <v>130</v>
      </c>
      <c r="I13">
        <v>0</v>
      </c>
      <c r="J13">
        <v>0</v>
      </c>
      <c r="K13" t="s">
        <v>125</v>
      </c>
      <c r="L13" t="s">
        <v>126</v>
      </c>
      <c r="M13">
        <v>14</v>
      </c>
      <c r="N13">
        <v>18</v>
      </c>
      <c r="O13">
        <v>2</v>
      </c>
      <c r="P13">
        <v>3</v>
      </c>
      <c r="Q13">
        <v>9</v>
      </c>
      <c r="R13">
        <v>17</v>
      </c>
      <c r="S13">
        <v>3</v>
      </c>
      <c r="T13">
        <v>3</v>
      </c>
      <c r="U13">
        <v>1</v>
      </c>
      <c r="V13">
        <v>1</v>
      </c>
      <c r="W13">
        <v>0</v>
      </c>
      <c r="X13">
        <v>0</v>
      </c>
      <c r="Y13">
        <v>2.15</v>
      </c>
      <c r="Z13">
        <v>3.6</v>
      </c>
      <c r="AA13">
        <v>3.2</v>
      </c>
      <c r="AB13">
        <v>2.15</v>
      </c>
      <c r="AC13">
        <v>3.5</v>
      </c>
      <c r="AD13">
        <v>3.2</v>
      </c>
      <c r="AE13">
        <v>2.15</v>
      </c>
      <c r="AF13">
        <v>3.5</v>
      </c>
      <c r="AG13">
        <v>3.3</v>
      </c>
      <c r="AH13">
        <v>2.17</v>
      </c>
      <c r="AI13">
        <v>3.68</v>
      </c>
      <c r="AJ13">
        <v>3.33</v>
      </c>
      <c r="AK13">
        <v>2.2000000000000002</v>
      </c>
      <c r="AL13">
        <v>3.5</v>
      </c>
      <c r="AM13">
        <v>3.3</v>
      </c>
      <c r="AN13">
        <v>2.19</v>
      </c>
      <c r="AO13">
        <v>3.76</v>
      </c>
      <c r="AP13">
        <v>3.31</v>
      </c>
      <c r="AQ13">
        <v>2.21</v>
      </c>
      <c r="AR13">
        <v>3.76</v>
      </c>
      <c r="AS13">
        <v>3.36</v>
      </c>
      <c r="AT13">
        <v>2.17</v>
      </c>
      <c r="AU13">
        <v>3.63</v>
      </c>
      <c r="AV13">
        <v>3.25</v>
      </c>
      <c r="AW13">
        <v>2.2400000000000002</v>
      </c>
      <c r="AX13">
        <v>3.7</v>
      </c>
      <c r="AY13">
        <v>3.45</v>
      </c>
      <c r="AZ13">
        <v>1.73</v>
      </c>
      <c r="BA13">
        <v>2.1</v>
      </c>
      <c r="BB13">
        <v>1.76</v>
      </c>
      <c r="BC13">
        <v>2.15</v>
      </c>
      <c r="BD13">
        <v>1.81</v>
      </c>
      <c r="BE13">
        <v>2.19</v>
      </c>
      <c r="BF13">
        <v>1.76</v>
      </c>
      <c r="BG13">
        <v>2.1</v>
      </c>
      <c r="BH13">
        <v>1.82</v>
      </c>
      <c r="BI13">
        <v>2.1800000000000002</v>
      </c>
      <c r="BJ13">
        <v>-0.25</v>
      </c>
      <c r="BK13">
        <v>1.91</v>
      </c>
      <c r="BL13">
        <v>1.99</v>
      </c>
      <c r="BM13">
        <v>1.88</v>
      </c>
      <c r="BN13">
        <v>2.02</v>
      </c>
      <c r="BO13">
        <v>1.94</v>
      </c>
      <c r="BP13">
        <v>2.02</v>
      </c>
      <c r="BQ13">
        <v>1.88</v>
      </c>
      <c r="BR13">
        <v>1.98</v>
      </c>
      <c r="BS13">
        <v>1.94</v>
      </c>
      <c r="BT13">
        <v>2.0499999999999998</v>
      </c>
      <c r="BU13">
        <v>1.95</v>
      </c>
      <c r="BV13">
        <v>3.9</v>
      </c>
      <c r="BW13">
        <v>3.7</v>
      </c>
      <c r="BX13">
        <v>1.93</v>
      </c>
      <c r="BY13">
        <v>3.7</v>
      </c>
      <c r="BZ13">
        <v>3.75</v>
      </c>
      <c r="CA13">
        <v>1.91</v>
      </c>
      <c r="CB13">
        <v>3.8</v>
      </c>
      <c r="CC13">
        <v>3.9</v>
      </c>
      <c r="CD13">
        <v>1.97</v>
      </c>
      <c r="CE13">
        <v>3.84</v>
      </c>
      <c r="CF13">
        <v>3.84</v>
      </c>
      <c r="CG13">
        <v>1.95</v>
      </c>
      <c r="CH13">
        <v>3.7</v>
      </c>
      <c r="CI13">
        <v>3.8</v>
      </c>
      <c r="CJ13">
        <v>1.94</v>
      </c>
      <c r="CK13">
        <v>3.96</v>
      </c>
      <c r="CL13">
        <v>3.81</v>
      </c>
      <c r="CM13">
        <v>2.15</v>
      </c>
      <c r="CN13">
        <v>3.96</v>
      </c>
      <c r="CO13">
        <v>3.93</v>
      </c>
      <c r="CP13">
        <v>1.98</v>
      </c>
      <c r="CQ13">
        <v>3.78</v>
      </c>
      <c r="CR13">
        <v>3.72</v>
      </c>
      <c r="CS13">
        <v>2</v>
      </c>
      <c r="CT13">
        <v>3.95</v>
      </c>
      <c r="CU13">
        <v>4</v>
      </c>
      <c r="CV13">
        <v>1.62</v>
      </c>
      <c r="CW13">
        <v>2.2999999999999998</v>
      </c>
      <c r="CX13">
        <v>1.67</v>
      </c>
      <c r="CY13">
        <v>2.3199999999999998</v>
      </c>
      <c r="CZ13">
        <v>1.76</v>
      </c>
      <c r="DA13">
        <v>2.35</v>
      </c>
      <c r="DB13">
        <v>1.67</v>
      </c>
      <c r="DC13">
        <v>2.25</v>
      </c>
      <c r="DD13">
        <v>1.71</v>
      </c>
      <c r="DE13">
        <v>2.38</v>
      </c>
      <c r="DF13">
        <v>-0.5</v>
      </c>
      <c r="DG13">
        <v>1.98</v>
      </c>
      <c r="DH13">
        <v>1.95</v>
      </c>
      <c r="DI13">
        <v>1.98</v>
      </c>
      <c r="DJ13">
        <v>1.94</v>
      </c>
      <c r="DK13">
        <v>2.13</v>
      </c>
      <c r="DL13">
        <v>1.98</v>
      </c>
      <c r="DM13">
        <v>1.99</v>
      </c>
      <c r="DN13">
        <v>1.88</v>
      </c>
      <c r="DO13">
        <v>2</v>
      </c>
      <c r="DP13">
        <v>1.99</v>
      </c>
    </row>
    <row r="14" spans="1:120" x14ac:dyDescent="0.3">
      <c r="A14" t="s">
        <v>120</v>
      </c>
      <c r="B14" t="s">
        <v>158</v>
      </c>
      <c r="C14" s="1">
        <v>0.625</v>
      </c>
      <c r="D14" t="s">
        <v>123</v>
      </c>
      <c r="E14" t="s">
        <v>155</v>
      </c>
      <c r="F14">
        <v>2</v>
      </c>
      <c r="G14">
        <v>1</v>
      </c>
      <c r="H14" t="s">
        <v>124</v>
      </c>
      <c r="I14">
        <v>1</v>
      </c>
      <c r="J14">
        <v>1</v>
      </c>
      <c r="K14" t="s">
        <v>125</v>
      </c>
      <c r="L14" t="s">
        <v>159</v>
      </c>
      <c r="M14">
        <v>18</v>
      </c>
      <c r="N14">
        <v>10</v>
      </c>
      <c r="O14">
        <v>6</v>
      </c>
      <c r="P14">
        <v>4</v>
      </c>
      <c r="Q14">
        <v>14</v>
      </c>
      <c r="R14">
        <v>13</v>
      </c>
      <c r="S14">
        <v>7</v>
      </c>
      <c r="T14">
        <v>5</v>
      </c>
      <c r="U14">
        <v>2</v>
      </c>
      <c r="V14">
        <v>2</v>
      </c>
      <c r="W14">
        <v>0</v>
      </c>
      <c r="X14">
        <v>0</v>
      </c>
      <c r="Y14">
        <v>1.8</v>
      </c>
      <c r="Z14">
        <v>3.75</v>
      </c>
      <c r="AA14">
        <v>4.2</v>
      </c>
      <c r="AB14">
        <v>1.8</v>
      </c>
      <c r="AC14">
        <v>3.75</v>
      </c>
      <c r="AD14">
        <v>4.33</v>
      </c>
      <c r="AE14">
        <v>1.83</v>
      </c>
      <c r="AF14">
        <v>3.7</v>
      </c>
      <c r="AG14">
        <v>4.5</v>
      </c>
      <c r="AH14">
        <v>1.84</v>
      </c>
      <c r="AI14">
        <v>3.67</v>
      </c>
      <c r="AJ14">
        <v>4.5599999999999996</v>
      </c>
      <c r="AK14">
        <v>1.83</v>
      </c>
      <c r="AL14">
        <v>3.7</v>
      </c>
      <c r="AM14">
        <v>4.33</v>
      </c>
      <c r="AN14">
        <v>1.86</v>
      </c>
      <c r="AO14">
        <v>3.89</v>
      </c>
      <c r="AP14">
        <v>4.32</v>
      </c>
      <c r="AQ14">
        <v>1.9</v>
      </c>
      <c r="AR14">
        <v>3.89</v>
      </c>
      <c r="AS14">
        <v>4.7</v>
      </c>
      <c r="AT14">
        <v>1.83</v>
      </c>
      <c r="AU14">
        <v>3.73</v>
      </c>
      <c r="AV14">
        <v>4.38</v>
      </c>
      <c r="AW14">
        <v>1.89</v>
      </c>
      <c r="AX14">
        <v>3.85</v>
      </c>
      <c r="AY14">
        <v>4.5999999999999996</v>
      </c>
      <c r="AZ14">
        <v>1.89</v>
      </c>
      <c r="BA14">
        <v>2.0099999999999998</v>
      </c>
      <c r="BB14">
        <v>1.9</v>
      </c>
      <c r="BC14">
        <v>1.99</v>
      </c>
      <c r="BD14">
        <v>1.91</v>
      </c>
      <c r="BE14">
        <v>2.06</v>
      </c>
      <c r="BF14">
        <v>1.87</v>
      </c>
      <c r="BG14">
        <v>1.97</v>
      </c>
      <c r="BH14">
        <v>1.96</v>
      </c>
      <c r="BI14">
        <v>2</v>
      </c>
      <c r="BJ14">
        <v>-0.75</v>
      </c>
      <c r="BK14">
        <v>2.0299999999999998</v>
      </c>
      <c r="BL14">
        <v>1.78</v>
      </c>
      <c r="BM14">
        <v>2.1</v>
      </c>
      <c r="BN14">
        <v>1.81</v>
      </c>
      <c r="BO14">
        <v>2.12</v>
      </c>
      <c r="BP14">
        <v>1.84</v>
      </c>
      <c r="BQ14">
        <v>2.06</v>
      </c>
      <c r="BR14">
        <v>1.8</v>
      </c>
      <c r="BS14">
        <v>2.14</v>
      </c>
      <c r="BT14">
        <v>1.85</v>
      </c>
      <c r="BU14">
        <v>1.85</v>
      </c>
      <c r="BV14">
        <v>3.75</v>
      </c>
      <c r="BW14">
        <v>4.0999999999999996</v>
      </c>
      <c r="BX14">
        <v>1.9</v>
      </c>
      <c r="BY14">
        <v>3.6</v>
      </c>
      <c r="BZ14">
        <v>4</v>
      </c>
      <c r="CA14">
        <v>1.9</v>
      </c>
      <c r="CB14">
        <v>3.6</v>
      </c>
      <c r="CC14">
        <v>4.2</v>
      </c>
      <c r="CD14">
        <v>1.88</v>
      </c>
      <c r="CE14">
        <v>3.81</v>
      </c>
      <c r="CF14">
        <v>4.26</v>
      </c>
      <c r="CG14">
        <v>1.91</v>
      </c>
      <c r="CH14">
        <v>3.6</v>
      </c>
      <c r="CI14">
        <v>4.2</v>
      </c>
      <c r="CJ14">
        <v>1.89</v>
      </c>
      <c r="CK14">
        <v>3.82</v>
      </c>
      <c r="CL14">
        <v>4.18</v>
      </c>
      <c r="CM14">
        <v>1.91</v>
      </c>
      <c r="CN14">
        <v>3.9</v>
      </c>
      <c r="CO14">
        <v>4.7</v>
      </c>
      <c r="CP14">
        <v>1.88</v>
      </c>
      <c r="CQ14">
        <v>3.71</v>
      </c>
      <c r="CR14">
        <v>4.21</v>
      </c>
      <c r="CS14">
        <v>1.93</v>
      </c>
      <c r="CT14">
        <v>3.8</v>
      </c>
      <c r="CU14">
        <v>4.5</v>
      </c>
      <c r="CV14">
        <v>1.86</v>
      </c>
      <c r="CW14">
        <v>2.04</v>
      </c>
      <c r="CX14">
        <v>1.87</v>
      </c>
      <c r="CY14">
        <v>2.04</v>
      </c>
      <c r="CZ14">
        <v>1.95</v>
      </c>
      <c r="DA14">
        <v>2.1</v>
      </c>
      <c r="DB14">
        <v>1.87</v>
      </c>
      <c r="DC14">
        <v>1.98</v>
      </c>
      <c r="DD14">
        <v>1.92</v>
      </c>
      <c r="DE14">
        <v>2.08</v>
      </c>
      <c r="DF14">
        <v>-0.5</v>
      </c>
      <c r="DG14">
        <v>1.88</v>
      </c>
      <c r="DH14">
        <v>2.0499999999999998</v>
      </c>
      <c r="DI14">
        <v>1.88</v>
      </c>
      <c r="DJ14">
        <v>2.04</v>
      </c>
      <c r="DK14">
        <v>1.91</v>
      </c>
      <c r="DL14">
        <v>2.06</v>
      </c>
      <c r="DM14">
        <v>1.87</v>
      </c>
      <c r="DN14">
        <v>2</v>
      </c>
      <c r="DO14">
        <v>1.93</v>
      </c>
      <c r="DP14">
        <v>2.06</v>
      </c>
    </row>
    <row r="15" spans="1:120" x14ac:dyDescent="0.3">
      <c r="A15" t="s">
        <v>120</v>
      </c>
      <c r="B15" t="s">
        <v>158</v>
      </c>
      <c r="C15" s="1">
        <v>0.625</v>
      </c>
      <c r="D15" t="s">
        <v>152</v>
      </c>
      <c r="E15" t="s">
        <v>128</v>
      </c>
      <c r="F15">
        <v>4</v>
      </c>
      <c r="G15">
        <v>1</v>
      </c>
      <c r="H15" t="s">
        <v>124</v>
      </c>
      <c r="I15">
        <v>3</v>
      </c>
      <c r="J15">
        <v>1</v>
      </c>
      <c r="K15" t="s">
        <v>124</v>
      </c>
      <c r="L15" t="s">
        <v>160</v>
      </c>
      <c r="M15">
        <v>14</v>
      </c>
      <c r="N15">
        <v>1</v>
      </c>
      <c r="O15">
        <v>5</v>
      </c>
      <c r="P15">
        <v>1</v>
      </c>
      <c r="Q15">
        <v>4</v>
      </c>
      <c r="R15">
        <v>15</v>
      </c>
      <c r="S15">
        <v>10</v>
      </c>
      <c r="T15">
        <v>1</v>
      </c>
      <c r="U15">
        <v>2</v>
      </c>
      <c r="V15">
        <v>3</v>
      </c>
      <c r="W15">
        <v>0</v>
      </c>
      <c r="X15">
        <v>0</v>
      </c>
      <c r="Y15">
        <v>1.08</v>
      </c>
      <c r="Z15">
        <v>12</v>
      </c>
      <c r="AA15">
        <v>21</v>
      </c>
      <c r="AB15">
        <v>1.1000000000000001</v>
      </c>
      <c r="AC15">
        <v>12.5</v>
      </c>
      <c r="AD15">
        <v>23</v>
      </c>
      <c r="AE15">
        <v>1.08</v>
      </c>
      <c r="AF15">
        <v>13</v>
      </c>
      <c r="AG15">
        <v>31</v>
      </c>
      <c r="AH15">
        <v>1.08</v>
      </c>
      <c r="AI15">
        <v>13.21</v>
      </c>
      <c r="AJ15">
        <v>25.71</v>
      </c>
      <c r="AK15">
        <v>1.1000000000000001</v>
      </c>
      <c r="AL15">
        <v>11</v>
      </c>
      <c r="AM15">
        <v>26</v>
      </c>
      <c r="AN15">
        <v>1.1000000000000001</v>
      </c>
      <c r="AO15">
        <v>12.2</v>
      </c>
      <c r="AP15">
        <v>27</v>
      </c>
      <c r="AQ15">
        <v>1.1000000000000001</v>
      </c>
      <c r="AR15">
        <v>14</v>
      </c>
      <c r="AS15">
        <v>34</v>
      </c>
      <c r="AT15">
        <v>1.0900000000000001</v>
      </c>
      <c r="AU15">
        <v>12.17</v>
      </c>
      <c r="AV15">
        <v>26.97</v>
      </c>
      <c r="AW15">
        <v>1.1000000000000001</v>
      </c>
      <c r="AX15">
        <v>15</v>
      </c>
      <c r="AY15">
        <v>34</v>
      </c>
      <c r="AZ15">
        <v>1.3</v>
      </c>
      <c r="BA15">
        <v>3.5</v>
      </c>
      <c r="BB15">
        <v>1.29</v>
      </c>
      <c r="BC15">
        <v>3.36</v>
      </c>
      <c r="BD15">
        <v>1.3</v>
      </c>
      <c r="BE15">
        <v>3.8</v>
      </c>
      <c r="BF15">
        <v>1.29</v>
      </c>
      <c r="BG15">
        <v>3.54</v>
      </c>
      <c r="BJ15">
        <v>-2.75</v>
      </c>
      <c r="BK15">
        <v>2.04</v>
      </c>
      <c r="BL15">
        <v>1.86</v>
      </c>
      <c r="BM15">
        <v>2.0499999999999998</v>
      </c>
      <c r="BN15">
        <v>1.85</v>
      </c>
      <c r="BO15">
        <v>2.0699999999999998</v>
      </c>
      <c r="BP15">
        <v>1.91</v>
      </c>
      <c r="BQ15">
        <v>2.0099999999999998</v>
      </c>
      <c r="BR15">
        <v>1.85</v>
      </c>
      <c r="BS15">
        <v>2.0699999999999998</v>
      </c>
      <c r="BT15">
        <v>1.87</v>
      </c>
      <c r="BU15">
        <v>1.1000000000000001</v>
      </c>
      <c r="BV15">
        <v>10</v>
      </c>
      <c r="BW15">
        <v>23</v>
      </c>
      <c r="BX15">
        <v>1.1100000000000001</v>
      </c>
      <c r="BY15">
        <v>11.5</v>
      </c>
      <c r="BZ15">
        <v>21</v>
      </c>
      <c r="CA15">
        <v>1.1000000000000001</v>
      </c>
      <c r="CB15">
        <v>11</v>
      </c>
      <c r="CC15">
        <v>26</v>
      </c>
      <c r="CD15">
        <v>1.1000000000000001</v>
      </c>
      <c r="CE15">
        <v>11</v>
      </c>
      <c r="CF15">
        <v>31</v>
      </c>
      <c r="CG15">
        <v>1.1000000000000001</v>
      </c>
      <c r="CH15">
        <v>10</v>
      </c>
      <c r="CI15">
        <v>29</v>
      </c>
      <c r="CJ15">
        <v>1.0900000000000001</v>
      </c>
      <c r="CK15">
        <v>11</v>
      </c>
      <c r="CL15">
        <v>26</v>
      </c>
      <c r="CM15">
        <v>1.1200000000000001</v>
      </c>
      <c r="CN15">
        <v>15</v>
      </c>
      <c r="CO15">
        <v>32</v>
      </c>
      <c r="CP15">
        <v>1.0900000000000001</v>
      </c>
      <c r="CQ15">
        <v>11.44</v>
      </c>
      <c r="CR15">
        <v>27.5</v>
      </c>
      <c r="CS15">
        <v>1.1200000000000001</v>
      </c>
      <c r="CT15">
        <v>12.5</v>
      </c>
      <c r="CU15">
        <v>32</v>
      </c>
      <c r="CV15">
        <v>1.3</v>
      </c>
      <c r="CW15">
        <v>3.5</v>
      </c>
      <c r="CX15">
        <v>1.29</v>
      </c>
      <c r="CY15">
        <v>3.36</v>
      </c>
      <c r="CZ15">
        <v>1.32</v>
      </c>
      <c r="DA15">
        <v>3.75</v>
      </c>
      <c r="DB15">
        <v>1.29</v>
      </c>
      <c r="DC15">
        <v>3.62</v>
      </c>
      <c r="DD15">
        <v>1.33</v>
      </c>
      <c r="DE15">
        <v>4</v>
      </c>
      <c r="DF15">
        <v>-2.5</v>
      </c>
      <c r="DG15">
        <v>1.9</v>
      </c>
      <c r="DH15">
        <v>2.0299999999999998</v>
      </c>
      <c r="DI15">
        <v>1.82</v>
      </c>
      <c r="DJ15">
        <v>2.0699999999999998</v>
      </c>
      <c r="DK15">
        <v>1.93</v>
      </c>
      <c r="DL15">
        <v>2.13</v>
      </c>
      <c r="DM15">
        <v>1.84</v>
      </c>
      <c r="DN15">
        <v>2.04</v>
      </c>
      <c r="DO15">
        <v>1.89</v>
      </c>
      <c r="DP15">
        <v>2.09</v>
      </c>
    </row>
    <row r="16" spans="1:120" x14ac:dyDescent="0.3">
      <c r="A16" t="s">
        <v>120</v>
      </c>
      <c r="B16" t="s">
        <v>158</v>
      </c>
      <c r="C16" s="1">
        <v>0.625</v>
      </c>
      <c r="D16" t="s">
        <v>139</v>
      </c>
      <c r="E16" t="s">
        <v>141</v>
      </c>
      <c r="F16">
        <v>0</v>
      </c>
      <c r="G16">
        <v>1</v>
      </c>
      <c r="H16" t="s">
        <v>130</v>
      </c>
      <c r="I16">
        <v>0</v>
      </c>
      <c r="J16">
        <v>0</v>
      </c>
      <c r="K16" t="s">
        <v>125</v>
      </c>
      <c r="L16" t="s">
        <v>150</v>
      </c>
      <c r="M16">
        <v>5</v>
      </c>
      <c r="N16">
        <v>23</v>
      </c>
      <c r="O16">
        <v>1</v>
      </c>
      <c r="P16">
        <v>8</v>
      </c>
      <c r="Q16">
        <v>14</v>
      </c>
      <c r="R16">
        <v>14</v>
      </c>
      <c r="S16">
        <v>4</v>
      </c>
      <c r="T16">
        <v>10</v>
      </c>
      <c r="U16">
        <v>3</v>
      </c>
      <c r="V16">
        <v>3</v>
      </c>
      <c r="W16">
        <v>0</v>
      </c>
      <c r="X16">
        <v>0</v>
      </c>
      <c r="Y16">
        <v>2.5499999999999998</v>
      </c>
      <c r="Z16">
        <v>3.3</v>
      </c>
      <c r="AA16">
        <v>2.8</v>
      </c>
      <c r="AB16">
        <v>2.5</v>
      </c>
      <c r="AC16">
        <v>3.4</v>
      </c>
      <c r="AD16">
        <v>2.8</v>
      </c>
      <c r="AE16">
        <v>2.5499999999999998</v>
      </c>
      <c r="AF16">
        <v>3.4</v>
      </c>
      <c r="AG16">
        <v>2.8</v>
      </c>
      <c r="AH16">
        <v>2.59</v>
      </c>
      <c r="AI16">
        <v>3.28</v>
      </c>
      <c r="AJ16">
        <v>2.92</v>
      </c>
      <c r="AK16">
        <v>2.5</v>
      </c>
      <c r="AL16">
        <v>3.4</v>
      </c>
      <c r="AM16">
        <v>2.88</v>
      </c>
      <c r="AN16">
        <v>2.59</v>
      </c>
      <c r="AO16">
        <v>3.42</v>
      </c>
      <c r="AP16">
        <v>2.88</v>
      </c>
      <c r="AQ16">
        <v>2.66</v>
      </c>
      <c r="AR16">
        <v>3.42</v>
      </c>
      <c r="AS16">
        <v>2.92</v>
      </c>
      <c r="AT16">
        <v>2.57</v>
      </c>
      <c r="AU16">
        <v>3.32</v>
      </c>
      <c r="AV16">
        <v>2.84</v>
      </c>
      <c r="AW16">
        <v>2.62</v>
      </c>
      <c r="AX16">
        <v>3.5</v>
      </c>
      <c r="AY16">
        <v>2.96</v>
      </c>
      <c r="AZ16">
        <v>2.0099999999999998</v>
      </c>
      <c r="BA16">
        <v>1.89</v>
      </c>
      <c r="BB16">
        <v>2.0099999999999998</v>
      </c>
      <c r="BC16">
        <v>1.88</v>
      </c>
      <c r="BD16">
        <v>2.02</v>
      </c>
      <c r="BE16">
        <v>1.93</v>
      </c>
      <c r="BF16">
        <v>1.97</v>
      </c>
      <c r="BG16">
        <v>1.87</v>
      </c>
      <c r="BH16">
        <v>2.06</v>
      </c>
      <c r="BI16">
        <v>1.89</v>
      </c>
      <c r="BJ16">
        <v>0</v>
      </c>
      <c r="BK16">
        <v>1.83</v>
      </c>
      <c r="BL16">
        <v>2.0699999999999998</v>
      </c>
      <c r="BM16">
        <v>1.84</v>
      </c>
      <c r="BN16">
        <v>2.08</v>
      </c>
      <c r="BO16">
        <v>1.85</v>
      </c>
      <c r="BP16">
        <v>2.09</v>
      </c>
      <c r="BQ16">
        <v>1.83</v>
      </c>
      <c r="BR16">
        <v>2.0499999999999998</v>
      </c>
      <c r="BS16">
        <v>1.9</v>
      </c>
      <c r="BT16">
        <v>2.0699999999999998</v>
      </c>
      <c r="BU16">
        <v>2.2999999999999998</v>
      </c>
      <c r="BV16">
        <v>3.5</v>
      </c>
      <c r="BW16">
        <v>3</v>
      </c>
      <c r="BX16">
        <v>2.2999999999999998</v>
      </c>
      <c r="BY16">
        <v>3.5</v>
      </c>
      <c r="BZ16">
        <v>3.1</v>
      </c>
      <c r="CA16">
        <v>2.2999999999999998</v>
      </c>
      <c r="CB16">
        <v>3.4</v>
      </c>
      <c r="CC16">
        <v>3.1</v>
      </c>
      <c r="CD16">
        <v>2.33</v>
      </c>
      <c r="CE16">
        <v>3.54</v>
      </c>
      <c r="CF16">
        <v>3.11</v>
      </c>
      <c r="CG16">
        <v>2.2999999999999998</v>
      </c>
      <c r="CH16">
        <v>3.4</v>
      </c>
      <c r="CI16">
        <v>3.2</v>
      </c>
      <c r="CJ16">
        <v>2.42</v>
      </c>
      <c r="CK16">
        <v>3.58</v>
      </c>
      <c r="CL16">
        <v>2.97</v>
      </c>
      <c r="CM16">
        <v>2.58</v>
      </c>
      <c r="CN16">
        <v>3.59</v>
      </c>
      <c r="CO16">
        <v>3.2</v>
      </c>
      <c r="CP16">
        <v>2.36</v>
      </c>
      <c r="CQ16">
        <v>3.48</v>
      </c>
      <c r="CR16">
        <v>3.04</v>
      </c>
      <c r="CS16">
        <v>2.42</v>
      </c>
      <c r="CT16">
        <v>3.6</v>
      </c>
      <c r="CU16">
        <v>3.2</v>
      </c>
      <c r="CV16">
        <v>1.8</v>
      </c>
      <c r="CW16">
        <v>2</v>
      </c>
      <c r="CX16">
        <v>1.85</v>
      </c>
      <c r="CY16">
        <v>2.0699999999999998</v>
      </c>
      <c r="CZ16">
        <v>1.97</v>
      </c>
      <c r="DA16">
        <v>2.1800000000000002</v>
      </c>
      <c r="DB16">
        <v>1.83</v>
      </c>
      <c r="DC16">
        <v>2.0299999999999998</v>
      </c>
      <c r="DD16">
        <v>1.85</v>
      </c>
      <c r="DE16">
        <v>2.16</v>
      </c>
      <c r="DF16">
        <v>-0.25</v>
      </c>
      <c r="DG16">
        <v>2.0299999999999998</v>
      </c>
      <c r="DH16">
        <v>1.9</v>
      </c>
      <c r="DI16">
        <v>2.0299999999999998</v>
      </c>
      <c r="DJ16">
        <v>1.88</v>
      </c>
      <c r="DK16">
        <v>2.19</v>
      </c>
      <c r="DL16">
        <v>1.91</v>
      </c>
      <c r="DM16">
        <v>2.0299999999999998</v>
      </c>
      <c r="DN16">
        <v>1.84</v>
      </c>
      <c r="DO16">
        <v>2.08</v>
      </c>
      <c r="DP16">
        <v>1.91</v>
      </c>
    </row>
    <row r="17" spans="1:120" x14ac:dyDescent="0.3">
      <c r="A17" t="s">
        <v>120</v>
      </c>
      <c r="B17" t="s">
        <v>158</v>
      </c>
      <c r="C17" s="1">
        <v>0.625</v>
      </c>
      <c r="D17" t="s">
        <v>156</v>
      </c>
      <c r="E17" t="s">
        <v>135</v>
      </c>
      <c r="F17">
        <v>4</v>
      </c>
      <c r="G17">
        <v>0</v>
      </c>
      <c r="H17" t="s">
        <v>124</v>
      </c>
      <c r="I17">
        <v>2</v>
      </c>
      <c r="J17">
        <v>0</v>
      </c>
      <c r="K17" t="s">
        <v>124</v>
      </c>
      <c r="L17" t="s">
        <v>153</v>
      </c>
      <c r="M17">
        <v>13</v>
      </c>
      <c r="N17">
        <v>10</v>
      </c>
      <c r="O17">
        <v>7</v>
      </c>
      <c r="P17">
        <v>1</v>
      </c>
      <c r="Q17">
        <v>11</v>
      </c>
      <c r="R17">
        <v>15</v>
      </c>
      <c r="S17">
        <v>12</v>
      </c>
      <c r="T17">
        <v>5</v>
      </c>
      <c r="U17">
        <v>0</v>
      </c>
      <c r="V17">
        <v>0</v>
      </c>
      <c r="W17">
        <v>0</v>
      </c>
      <c r="X17">
        <v>0</v>
      </c>
      <c r="Y17">
        <v>1.44</v>
      </c>
      <c r="Z17">
        <v>4.75</v>
      </c>
      <c r="AA17">
        <v>6.5</v>
      </c>
      <c r="AB17">
        <v>1.43</v>
      </c>
      <c r="AC17">
        <v>5</v>
      </c>
      <c r="AD17">
        <v>6.75</v>
      </c>
      <c r="AE17">
        <v>1.4</v>
      </c>
      <c r="AF17">
        <v>5</v>
      </c>
      <c r="AG17">
        <v>7</v>
      </c>
      <c r="AH17">
        <v>1.45</v>
      </c>
      <c r="AI17">
        <v>4.87</v>
      </c>
      <c r="AJ17">
        <v>7.03</v>
      </c>
      <c r="AK17">
        <v>1.44</v>
      </c>
      <c r="AL17">
        <v>4.8</v>
      </c>
      <c r="AM17">
        <v>7</v>
      </c>
      <c r="AN17">
        <v>1.47</v>
      </c>
      <c r="AO17">
        <v>5.08</v>
      </c>
      <c r="AP17">
        <v>6.81</v>
      </c>
      <c r="AQ17">
        <v>1.49</v>
      </c>
      <c r="AR17">
        <v>5.0999999999999996</v>
      </c>
      <c r="AS17">
        <v>7.3</v>
      </c>
      <c r="AT17">
        <v>1.44</v>
      </c>
      <c r="AU17">
        <v>4.95</v>
      </c>
      <c r="AV17">
        <v>6.75</v>
      </c>
      <c r="AW17">
        <v>1.45</v>
      </c>
      <c r="AX17">
        <v>5.3</v>
      </c>
      <c r="AY17">
        <v>7.8</v>
      </c>
      <c r="AZ17">
        <v>1.5</v>
      </c>
      <c r="BA17">
        <v>2.63</v>
      </c>
      <c r="BB17">
        <v>1.54</v>
      </c>
      <c r="BC17">
        <v>2.59</v>
      </c>
      <c r="BD17">
        <v>1.54</v>
      </c>
      <c r="BE17">
        <v>2.63</v>
      </c>
      <c r="BF17">
        <v>1.51</v>
      </c>
      <c r="BG17">
        <v>2.5499999999999998</v>
      </c>
      <c r="BH17">
        <v>1.56</v>
      </c>
      <c r="BI17">
        <v>2.72</v>
      </c>
      <c r="BJ17">
        <v>-1.25</v>
      </c>
      <c r="BK17">
        <v>1.95</v>
      </c>
      <c r="BL17">
        <v>1.95</v>
      </c>
      <c r="BM17">
        <v>1.98</v>
      </c>
      <c r="BN17">
        <v>1.93</v>
      </c>
      <c r="BO17">
        <v>1.98</v>
      </c>
      <c r="BP17">
        <v>1.98</v>
      </c>
      <c r="BQ17">
        <v>1.94</v>
      </c>
      <c r="BR17">
        <v>1.91</v>
      </c>
      <c r="BS17">
        <v>1.95</v>
      </c>
      <c r="BT17">
        <v>1.99</v>
      </c>
      <c r="BU17">
        <v>1.36</v>
      </c>
      <c r="BV17">
        <v>5.25</v>
      </c>
      <c r="BW17">
        <v>7.5</v>
      </c>
      <c r="BX17">
        <v>1.37</v>
      </c>
      <c r="BY17">
        <v>5.25</v>
      </c>
      <c r="BZ17">
        <v>7.75</v>
      </c>
      <c r="CA17">
        <v>1.33</v>
      </c>
      <c r="CB17">
        <v>5.5</v>
      </c>
      <c r="CC17">
        <v>8</v>
      </c>
      <c r="CD17">
        <v>1.37</v>
      </c>
      <c r="CE17">
        <v>5.66</v>
      </c>
      <c r="CF17">
        <v>8</v>
      </c>
      <c r="CG17">
        <v>1.35</v>
      </c>
      <c r="CH17">
        <v>5.5</v>
      </c>
      <c r="CI17">
        <v>8.5</v>
      </c>
      <c r="CJ17">
        <v>1.39</v>
      </c>
      <c r="CK17">
        <v>5.38</v>
      </c>
      <c r="CL17">
        <v>7.97</v>
      </c>
      <c r="CM17">
        <v>1.41</v>
      </c>
      <c r="CN17">
        <v>5.73</v>
      </c>
      <c r="CO17">
        <v>8.5</v>
      </c>
      <c r="CP17">
        <v>1.37</v>
      </c>
      <c r="CQ17">
        <v>5.39</v>
      </c>
      <c r="CR17">
        <v>7.91</v>
      </c>
      <c r="CS17">
        <v>1.37</v>
      </c>
      <c r="CT17">
        <v>6</v>
      </c>
      <c r="CU17">
        <v>9.1999999999999993</v>
      </c>
      <c r="CV17">
        <v>1.4</v>
      </c>
      <c r="CW17">
        <v>3</v>
      </c>
      <c r="CX17">
        <v>1.43</v>
      </c>
      <c r="CY17">
        <v>2.95</v>
      </c>
      <c r="CZ17">
        <v>1.5</v>
      </c>
      <c r="DA17">
        <v>3.12</v>
      </c>
      <c r="DB17">
        <v>1.42</v>
      </c>
      <c r="DC17">
        <v>2.89</v>
      </c>
      <c r="DD17">
        <v>1.48</v>
      </c>
      <c r="DE17">
        <v>3.05</v>
      </c>
      <c r="DF17">
        <v>-1.5</v>
      </c>
      <c r="DG17">
        <v>1.99</v>
      </c>
      <c r="DH17">
        <v>1.94</v>
      </c>
      <c r="DI17">
        <v>2.0099999999999998</v>
      </c>
      <c r="DJ17">
        <v>1.92</v>
      </c>
      <c r="DK17">
        <v>2.11</v>
      </c>
      <c r="DL17">
        <v>1.97</v>
      </c>
      <c r="DM17">
        <v>2</v>
      </c>
      <c r="DN17">
        <v>1.88</v>
      </c>
      <c r="DO17">
        <v>2</v>
      </c>
      <c r="DP17">
        <v>1.96</v>
      </c>
    </row>
    <row r="18" spans="1:120" x14ac:dyDescent="0.3">
      <c r="A18" t="s">
        <v>120</v>
      </c>
      <c r="B18" t="s">
        <v>158</v>
      </c>
      <c r="C18" s="1">
        <v>0.72916666666666663</v>
      </c>
      <c r="D18" t="s">
        <v>145</v>
      </c>
      <c r="E18" t="s">
        <v>132</v>
      </c>
      <c r="F18">
        <v>0</v>
      </c>
      <c r="G18">
        <v>2</v>
      </c>
      <c r="H18" t="s">
        <v>130</v>
      </c>
      <c r="I18">
        <v>0</v>
      </c>
      <c r="J18">
        <v>0</v>
      </c>
      <c r="K18" t="s">
        <v>125</v>
      </c>
      <c r="L18" t="s">
        <v>143</v>
      </c>
      <c r="M18">
        <v>11</v>
      </c>
      <c r="N18">
        <v>9</v>
      </c>
      <c r="O18">
        <v>3</v>
      </c>
      <c r="P18">
        <v>4</v>
      </c>
      <c r="Q18">
        <v>8</v>
      </c>
      <c r="R18">
        <v>15</v>
      </c>
      <c r="S18">
        <v>4</v>
      </c>
      <c r="T18">
        <v>1</v>
      </c>
      <c r="U18">
        <v>1</v>
      </c>
      <c r="V18">
        <v>3</v>
      </c>
      <c r="W18">
        <v>0</v>
      </c>
      <c r="X18">
        <v>0</v>
      </c>
      <c r="Y18">
        <v>4.33</v>
      </c>
      <c r="Z18">
        <v>3.8</v>
      </c>
      <c r="AA18">
        <v>1.75</v>
      </c>
      <c r="AB18">
        <v>4.2</v>
      </c>
      <c r="AC18">
        <v>3.9</v>
      </c>
      <c r="AD18">
        <v>1.8</v>
      </c>
      <c r="AE18">
        <v>4.5</v>
      </c>
      <c r="AF18">
        <v>3.9</v>
      </c>
      <c r="AG18">
        <v>1.75</v>
      </c>
      <c r="AH18">
        <v>4.55</v>
      </c>
      <c r="AI18">
        <v>3.98</v>
      </c>
      <c r="AJ18">
        <v>1.77</v>
      </c>
      <c r="AK18">
        <v>4.33</v>
      </c>
      <c r="AL18">
        <v>3.9</v>
      </c>
      <c r="AM18">
        <v>1.8</v>
      </c>
      <c r="AN18">
        <v>4.32</v>
      </c>
      <c r="AO18">
        <v>4</v>
      </c>
      <c r="AP18">
        <v>1.84</v>
      </c>
      <c r="AQ18">
        <v>4.7</v>
      </c>
      <c r="AR18">
        <v>4.0999999999999996</v>
      </c>
      <c r="AS18">
        <v>1.84</v>
      </c>
      <c r="AT18">
        <v>4.41</v>
      </c>
      <c r="AU18">
        <v>3.92</v>
      </c>
      <c r="AV18">
        <v>1.78</v>
      </c>
      <c r="AW18">
        <v>4.7</v>
      </c>
      <c r="AX18">
        <v>4.0999999999999996</v>
      </c>
      <c r="AY18">
        <v>1.8</v>
      </c>
      <c r="AZ18">
        <v>1.73</v>
      </c>
      <c r="BA18">
        <v>2.1</v>
      </c>
      <c r="BB18">
        <v>1.75</v>
      </c>
      <c r="BC18">
        <v>2.15</v>
      </c>
      <c r="BD18">
        <v>1.78</v>
      </c>
      <c r="BE18">
        <v>2.23</v>
      </c>
      <c r="BF18">
        <v>1.73</v>
      </c>
      <c r="BG18">
        <v>2.13</v>
      </c>
      <c r="BJ18">
        <v>0.75</v>
      </c>
      <c r="BK18">
        <v>1.9</v>
      </c>
      <c r="BL18">
        <v>2</v>
      </c>
      <c r="BM18">
        <v>1.9</v>
      </c>
      <c r="BN18">
        <v>2</v>
      </c>
      <c r="BO18">
        <v>1.91</v>
      </c>
      <c r="BP18">
        <v>2.02</v>
      </c>
      <c r="BQ18">
        <v>1.86</v>
      </c>
      <c r="BR18">
        <v>1.98</v>
      </c>
      <c r="BS18">
        <v>1.95</v>
      </c>
      <c r="BT18">
        <v>2.02</v>
      </c>
      <c r="BU18">
        <v>4.5</v>
      </c>
      <c r="BV18">
        <v>4</v>
      </c>
      <c r="BW18">
        <v>1.73</v>
      </c>
      <c r="BX18">
        <v>4.5</v>
      </c>
      <c r="BY18">
        <v>3.9</v>
      </c>
      <c r="BZ18">
        <v>1.75</v>
      </c>
      <c r="CA18">
        <v>4.75</v>
      </c>
      <c r="CB18">
        <v>3.9</v>
      </c>
      <c r="CC18">
        <v>1.73</v>
      </c>
      <c r="CD18">
        <v>4.8499999999999996</v>
      </c>
      <c r="CE18">
        <v>4.04</v>
      </c>
      <c r="CF18">
        <v>1.74</v>
      </c>
      <c r="CG18">
        <v>4.8</v>
      </c>
      <c r="CH18">
        <v>4</v>
      </c>
      <c r="CI18">
        <v>1.7</v>
      </c>
      <c r="CJ18">
        <v>4.8</v>
      </c>
      <c r="CK18">
        <v>4.08</v>
      </c>
      <c r="CL18">
        <v>1.73</v>
      </c>
      <c r="CM18">
        <v>4.8499999999999996</v>
      </c>
      <c r="CN18">
        <v>4.16</v>
      </c>
      <c r="CO18">
        <v>1.78</v>
      </c>
      <c r="CP18">
        <v>4.66</v>
      </c>
      <c r="CQ18">
        <v>4.0199999999999996</v>
      </c>
      <c r="CR18">
        <v>1.74</v>
      </c>
      <c r="CS18">
        <v>5</v>
      </c>
      <c r="CT18">
        <v>4.0999999999999996</v>
      </c>
      <c r="CU18">
        <v>1.78</v>
      </c>
      <c r="CV18">
        <v>1.73</v>
      </c>
      <c r="CW18">
        <v>2.1</v>
      </c>
      <c r="CX18">
        <v>1.76</v>
      </c>
      <c r="CY18">
        <v>2.15</v>
      </c>
      <c r="CZ18">
        <v>1.76</v>
      </c>
      <c r="DA18">
        <v>2.27</v>
      </c>
      <c r="DB18">
        <v>1.72</v>
      </c>
      <c r="DC18">
        <v>2.1800000000000002</v>
      </c>
      <c r="DD18">
        <v>1.87</v>
      </c>
      <c r="DE18">
        <v>2.12</v>
      </c>
      <c r="DF18">
        <v>0.75</v>
      </c>
      <c r="DG18">
        <v>1.96</v>
      </c>
      <c r="DH18">
        <v>1.97</v>
      </c>
      <c r="DI18">
        <v>1.98</v>
      </c>
      <c r="DJ18">
        <v>1.94</v>
      </c>
      <c r="DK18">
        <v>2</v>
      </c>
      <c r="DL18">
        <v>1.99</v>
      </c>
      <c r="DM18">
        <v>1.94</v>
      </c>
      <c r="DN18">
        <v>1.92</v>
      </c>
      <c r="DO18">
        <v>1.97</v>
      </c>
      <c r="DP18">
        <v>2</v>
      </c>
    </row>
    <row r="19" spans="1:120" x14ac:dyDescent="0.3">
      <c r="A19" t="s">
        <v>120</v>
      </c>
      <c r="B19" t="s">
        <v>161</v>
      </c>
      <c r="C19" s="1">
        <v>0.58333333333333337</v>
      </c>
      <c r="D19" t="s">
        <v>142</v>
      </c>
      <c r="E19" t="s">
        <v>138</v>
      </c>
      <c r="F19">
        <v>1</v>
      </c>
      <c r="G19">
        <v>1</v>
      </c>
      <c r="H19" t="s">
        <v>125</v>
      </c>
      <c r="I19">
        <v>1</v>
      </c>
      <c r="J19">
        <v>0</v>
      </c>
      <c r="K19" t="s">
        <v>124</v>
      </c>
      <c r="L19" t="s">
        <v>162</v>
      </c>
      <c r="M19">
        <v>16</v>
      </c>
      <c r="N19">
        <v>14</v>
      </c>
      <c r="O19">
        <v>4</v>
      </c>
      <c r="P19">
        <v>5</v>
      </c>
      <c r="Q19">
        <v>19</v>
      </c>
      <c r="R19">
        <v>8</v>
      </c>
      <c r="S19">
        <v>8</v>
      </c>
      <c r="T19">
        <v>9</v>
      </c>
      <c r="U19">
        <v>2</v>
      </c>
      <c r="V19">
        <v>2</v>
      </c>
      <c r="W19">
        <v>0</v>
      </c>
      <c r="X19">
        <v>0</v>
      </c>
      <c r="Y19">
        <v>2.9</v>
      </c>
      <c r="Z19">
        <v>3.8</v>
      </c>
      <c r="AA19">
        <v>2.2000000000000002</v>
      </c>
      <c r="AB19">
        <v>3</v>
      </c>
      <c r="AC19">
        <v>3.9</v>
      </c>
      <c r="AD19">
        <v>2.2000000000000002</v>
      </c>
      <c r="AE19">
        <v>3</v>
      </c>
      <c r="AF19">
        <v>3.8</v>
      </c>
      <c r="AG19">
        <v>2.2000000000000002</v>
      </c>
      <c r="AH19">
        <v>3.05</v>
      </c>
      <c r="AI19">
        <v>3.73</v>
      </c>
      <c r="AJ19">
        <v>2.2799999999999998</v>
      </c>
      <c r="AK19">
        <v>3</v>
      </c>
      <c r="AL19">
        <v>3.8</v>
      </c>
      <c r="AM19">
        <v>2.25</v>
      </c>
      <c r="AN19">
        <v>3.05</v>
      </c>
      <c r="AO19">
        <v>3.95</v>
      </c>
      <c r="AP19">
        <v>2.25</v>
      </c>
      <c r="AQ19">
        <v>3.06</v>
      </c>
      <c r="AR19">
        <v>3.95</v>
      </c>
      <c r="AS19">
        <v>2.3199999999999998</v>
      </c>
      <c r="AT19">
        <v>2.99</v>
      </c>
      <c r="AU19">
        <v>3.8</v>
      </c>
      <c r="AV19">
        <v>2.25</v>
      </c>
      <c r="AW19">
        <v>3.15</v>
      </c>
      <c r="AX19">
        <v>3.95</v>
      </c>
      <c r="AY19">
        <v>2.2999999999999998</v>
      </c>
      <c r="AZ19">
        <v>1.57</v>
      </c>
      <c r="BA19">
        <v>2.38</v>
      </c>
      <c r="BB19">
        <v>1.61</v>
      </c>
      <c r="BC19">
        <v>2.4300000000000002</v>
      </c>
      <c r="BD19">
        <v>1.61</v>
      </c>
      <c r="BE19">
        <v>2.5</v>
      </c>
      <c r="BF19">
        <v>1.56</v>
      </c>
      <c r="BG19">
        <v>2.44</v>
      </c>
      <c r="BH19">
        <v>1.62</v>
      </c>
      <c r="BI19">
        <v>2.56</v>
      </c>
      <c r="BJ19">
        <v>0.25</v>
      </c>
      <c r="BK19">
        <v>1.92</v>
      </c>
      <c r="BL19">
        <v>1.98</v>
      </c>
      <c r="BM19">
        <v>1.91</v>
      </c>
      <c r="BN19">
        <v>2</v>
      </c>
      <c r="BO19">
        <v>1.95</v>
      </c>
      <c r="BP19">
        <v>2</v>
      </c>
      <c r="BQ19">
        <v>1.9</v>
      </c>
      <c r="BR19">
        <v>1.94</v>
      </c>
      <c r="BS19">
        <v>1.96</v>
      </c>
      <c r="BT19">
        <v>2.0099999999999998</v>
      </c>
      <c r="BU19">
        <v>2.5499999999999998</v>
      </c>
      <c r="BV19">
        <v>3.6</v>
      </c>
      <c r="BW19">
        <v>2.6</v>
      </c>
      <c r="BX19">
        <v>2.5</v>
      </c>
      <c r="BY19">
        <v>3.7</v>
      </c>
      <c r="BZ19">
        <v>2.65</v>
      </c>
      <c r="CA19">
        <v>2.5</v>
      </c>
      <c r="CB19">
        <v>3.6</v>
      </c>
      <c r="CC19">
        <v>2.7</v>
      </c>
      <c r="CD19">
        <v>2.63</v>
      </c>
      <c r="CE19">
        <v>3.66</v>
      </c>
      <c r="CF19">
        <v>2.68</v>
      </c>
      <c r="CG19">
        <v>2.6</v>
      </c>
      <c r="CH19">
        <v>3.6</v>
      </c>
      <c r="CI19">
        <v>2.62</v>
      </c>
      <c r="CJ19">
        <v>2.68</v>
      </c>
      <c r="CK19">
        <v>3.7</v>
      </c>
      <c r="CL19">
        <v>2.58</v>
      </c>
      <c r="CM19">
        <v>2.68</v>
      </c>
      <c r="CN19">
        <v>3.75</v>
      </c>
      <c r="CO19">
        <v>2.74</v>
      </c>
      <c r="CP19">
        <v>2.57</v>
      </c>
      <c r="CQ19">
        <v>3.65</v>
      </c>
      <c r="CR19">
        <v>2.64</v>
      </c>
      <c r="CS19">
        <v>2.66</v>
      </c>
      <c r="CT19">
        <v>3.75</v>
      </c>
      <c r="CU19">
        <v>2.78</v>
      </c>
      <c r="CV19">
        <v>1.57</v>
      </c>
      <c r="CW19">
        <v>2.38</v>
      </c>
      <c r="CX19">
        <v>1.58</v>
      </c>
      <c r="CY19">
        <v>2.4900000000000002</v>
      </c>
      <c r="CZ19">
        <v>1.66</v>
      </c>
      <c r="DA19">
        <v>2.5499999999999998</v>
      </c>
      <c r="DB19">
        <v>1.57</v>
      </c>
      <c r="DC19">
        <v>2.44</v>
      </c>
      <c r="DD19">
        <v>1.62</v>
      </c>
      <c r="DE19">
        <v>2.58</v>
      </c>
      <c r="DF19">
        <v>0</v>
      </c>
      <c r="DG19">
        <v>1.93</v>
      </c>
      <c r="DH19">
        <v>2</v>
      </c>
      <c r="DI19">
        <v>1.94</v>
      </c>
      <c r="DJ19">
        <v>1.98</v>
      </c>
      <c r="DK19">
        <v>1.94</v>
      </c>
      <c r="DL19">
        <v>2.04</v>
      </c>
      <c r="DM19">
        <v>1.92</v>
      </c>
      <c r="DN19">
        <v>1.97</v>
      </c>
      <c r="DO19">
        <v>1.96</v>
      </c>
      <c r="DP19">
        <v>2.0299999999999998</v>
      </c>
    </row>
    <row r="20" spans="1:120" x14ac:dyDescent="0.3">
      <c r="A20" t="s">
        <v>120</v>
      </c>
      <c r="B20" t="s">
        <v>161</v>
      </c>
      <c r="C20" s="1">
        <v>0.58333333333333337</v>
      </c>
      <c r="D20" t="s">
        <v>133</v>
      </c>
      <c r="E20" t="s">
        <v>151</v>
      </c>
      <c r="F20">
        <v>2</v>
      </c>
      <c r="G20">
        <v>6</v>
      </c>
      <c r="H20" t="s">
        <v>130</v>
      </c>
      <c r="I20">
        <v>2</v>
      </c>
      <c r="J20">
        <v>2</v>
      </c>
      <c r="K20" t="s">
        <v>125</v>
      </c>
      <c r="L20" t="s">
        <v>163</v>
      </c>
      <c r="M20">
        <v>12</v>
      </c>
      <c r="N20">
        <v>14</v>
      </c>
      <c r="O20">
        <v>4</v>
      </c>
      <c r="P20">
        <v>8</v>
      </c>
      <c r="Q20">
        <v>13</v>
      </c>
      <c r="R20">
        <v>13</v>
      </c>
      <c r="S20">
        <v>5</v>
      </c>
      <c r="T20">
        <v>5</v>
      </c>
      <c r="U20">
        <v>2</v>
      </c>
      <c r="V20">
        <v>3</v>
      </c>
      <c r="W20">
        <v>0</v>
      </c>
      <c r="X20">
        <v>0</v>
      </c>
      <c r="Y20">
        <v>4.33</v>
      </c>
      <c r="Z20">
        <v>4</v>
      </c>
      <c r="AA20">
        <v>1.75</v>
      </c>
      <c r="AB20">
        <v>4.4000000000000004</v>
      </c>
      <c r="AC20">
        <v>4</v>
      </c>
      <c r="AD20">
        <v>1.75</v>
      </c>
      <c r="AE20">
        <v>4.5</v>
      </c>
      <c r="AF20">
        <v>4</v>
      </c>
      <c r="AG20">
        <v>1.75</v>
      </c>
      <c r="AH20">
        <v>4.46</v>
      </c>
      <c r="AI20">
        <v>4.03</v>
      </c>
      <c r="AJ20">
        <v>1.78</v>
      </c>
      <c r="AK20">
        <v>4.4000000000000004</v>
      </c>
      <c r="AL20">
        <v>4</v>
      </c>
      <c r="AM20">
        <v>1.75</v>
      </c>
      <c r="AN20">
        <v>4.2699999999999996</v>
      </c>
      <c r="AO20">
        <v>4.17</v>
      </c>
      <c r="AP20">
        <v>1.81</v>
      </c>
      <c r="AQ20">
        <v>4.5999999999999996</v>
      </c>
      <c r="AR20">
        <v>4.17</v>
      </c>
      <c r="AS20">
        <v>1.82</v>
      </c>
      <c r="AT20">
        <v>4.37</v>
      </c>
      <c r="AU20">
        <v>4</v>
      </c>
      <c r="AV20">
        <v>1.77</v>
      </c>
      <c r="AW20">
        <v>4.7</v>
      </c>
      <c r="AX20">
        <v>4.2</v>
      </c>
      <c r="AY20">
        <v>1.81</v>
      </c>
      <c r="AZ20">
        <v>1.62</v>
      </c>
      <c r="BA20">
        <v>2.2999999999999998</v>
      </c>
      <c r="BB20">
        <v>1.65</v>
      </c>
      <c r="BC20">
        <v>2.33</v>
      </c>
      <c r="BD20">
        <v>1.68</v>
      </c>
      <c r="BE20">
        <v>2.34</v>
      </c>
      <c r="BF20">
        <v>1.64</v>
      </c>
      <c r="BG20">
        <v>2.29</v>
      </c>
      <c r="BH20">
        <v>1.69</v>
      </c>
      <c r="BI20">
        <v>2.38</v>
      </c>
      <c r="BJ20">
        <v>0.75</v>
      </c>
      <c r="BK20">
        <v>1.89</v>
      </c>
      <c r="BL20">
        <v>2.0099999999999998</v>
      </c>
      <c r="BM20">
        <v>1.9</v>
      </c>
      <c r="BN20">
        <v>2.0099999999999998</v>
      </c>
      <c r="BO20">
        <v>1.91</v>
      </c>
      <c r="BP20">
        <v>2.02</v>
      </c>
      <c r="BQ20">
        <v>1.87</v>
      </c>
      <c r="BR20">
        <v>1.98</v>
      </c>
      <c r="BS20">
        <v>1.94</v>
      </c>
      <c r="BT20">
        <v>2.02</v>
      </c>
      <c r="BU20">
        <v>3.75</v>
      </c>
      <c r="BV20">
        <v>3.8</v>
      </c>
      <c r="BW20">
        <v>1.9</v>
      </c>
      <c r="BX20">
        <v>3.75</v>
      </c>
      <c r="BY20">
        <v>3.8</v>
      </c>
      <c r="BZ20">
        <v>1.9</v>
      </c>
      <c r="CA20">
        <v>3.9</v>
      </c>
      <c r="CB20">
        <v>3.9</v>
      </c>
      <c r="CC20">
        <v>1.91</v>
      </c>
      <c r="CD20">
        <v>3.91</v>
      </c>
      <c r="CE20">
        <v>3.94</v>
      </c>
      <c r="CF20">
        <v>1.93</v>
      </c>
      <c r="CG20">
        <v>3.9</v>
      </c>
      <c r="CH20">
        <v>3.8</v>
      </c>
      <c r="CI20">
        <v>1.91</v>
      </c>
      <c r="CJ20">
        <v>4.0199999999999996</v>
      </c>
      <c r="CK20">
        <v>3.89</v>
      </c>
      <c r="CL20">
        <v>1.9</v>
      </c>
      <c r="CM20">
        <v>4.0999999999999996</v>
      </c>
      <c r="CN20">
        <v>3.99</v>
      </c>
      <c r="CO20">
        <v>1.93</v>
      </c>
      <c r="CP20">
        <v>3.89</v>
      </c>
      <c r="CQ20">
        <v>3.89</v>
      </c>
      <c r="CR20">
        <v>1.91</v>
      </c>
      <c r="CS20">
        <v>4</v>
      </c>
      <c r="CT20">
        <v>4</v>
      </c>
      <c r="CU20">
        <v>1.96</v>
      </c>
      <c r="CV20">
        <v>1.57</v>
      </c>
      <c r="CW20">
        <v>2.38</v>
      </c>
      <c r="CX20">
        <v>1.62</v>
      </c>
      <c r="CY20">
        <v>2.41</v>
      </c>
      <c r="CZ20">
        <v>1.69</v>
      </c>
      <c r="DA20">
        <v>2.4700000000000002</v>
      </c>
      <c r="DB20">
        <v>1.61</v>
      </c>
      <c r="DC20">
        <v>2.36</v>
      </c>
      <c r="DD20">
        <v>1.64</v>
      </c>
      <c r="DE20">
        <v>2.54</v>
      </c>
      <c r="DF20">
        <v>0.5</v>
      </c>
      <c r="DG20">
        <v>1.99</v>
      </c>
      <c r="DH20">
        <v>1.94</v>
      </c>
      <c r="DI20">
        <v>1.99</v>
      </c>
      <c r="DJ20">
        <v>1.93</v>
      </c>
      <c r="DK20">
        <v>2.02</v>
      </c>
      <c r="DL20">
        <v>1.94</v>
      </c>
      <c r="DM20">
        <v>1.97</v>
      </c>
      <c r="DN20">
        <v>1.9</v>
      </c>
      <c r="DO20">
        <v>2.0299999999999998</v>
      </c>
      <c r="DP20">
        <v>1.96</v>
      </c>
    </row>
    <row r="21" spans="1:120" x14ac:dyDescent="0.3">
      <c r="A21" t="s">
        <v>120</v>
      </c>
      <c r="B21" t="s">
        <v>161</v>
      </c>
      <c r="C21" s="1">
        <v>0.6875</v>
      </c>
      <c r="D21" t="s">
        <v>129</v>
      </c>
      <c r="E21" t="s">
        <v>148</v>
      </c>
      <c r="F21">
        <v>2</v>
      </c>
      <c r="G21">
        <v>0</v>
      </c>
      <c r="H21" t="s">
        <v>124</v>
      </c>
      <c r="I21">
        <v>1</v>
      </c>
      <c r="J21">
        <v>0</v>
      </c>
      <c r="K21" t="s">
        <v>124</v>
      </c>
      <c r="L21" t="s">
        <v>164</v>
      </c>
      <c r="M21">
        <v>19</v>
      </c>
      <c r="N21">
        <v>8</v>
      </c>
      <c r="O21">
        <v>8</v>
      </c>
      <c r="P21">
        <v>2</v>
      </c>
      <c r="Q21">
        <v>10</v>
      </c>
      <c r="R21">
        <v>7</v>
      </c>
      <c r="S21">
        <v>9</v>
      </c>
      <c r="T21">
        <v>4</v>
      </c>
      <c r="U21">
        <v>2</v>
      </c>
      <c r="V21">
        <v>3</v>
      </c>
      <c r="W21">
        <v>0</v>
      </c>
      <c r="X21">
        <v>0</v>
      </c>
      <c r="Y21">
        <v>1.27</v>
      </c>
      <c r="Z21">
        <v>5.75</v>
      </c>
      <c r="AA21">
        <v>11</v>
      </c>
      <c r="AB21">
        <v>1.25</v>
      </c>
      <c r="AC21">
        <v>6.75</v>
      </c>
      <c r="AD21">
        <v>10.5</v>
      </c>
      <c r="AE21">
        <v>1.22</v>
      </c>
      <c r="AF21">
        <v>7</v>
      </c>
      <c r="AG21">
        <v>11</v>
      </c>
      <c r="AH21">
        <v>1.25</v>
      </c>
      <c r="AI21">
        <v>7.05</v>
      </c>
      <c r="AJ21">
        <v>10.11</v>
      </c>
      <c r="AK21">
        <v>1.25</v>
      </c>
      <c r="AL21">
        <v>6.5</v>
      </c>
      <c r="AM21">
        <v>11</v>
      </c>
      <c r="AN21">
        <v>1.28</v>
      </c>
      <c r="AO21">
        <v>6.6</v>
      </c>
      <c r="AP21">
        <v>10.6</v>
      </c>
      <c r="AQ21">
        <v>1.28</v>
      </c>
      <c r="AR21">
        <v>7.5</v>
      </c>
      <c r="AS21">
        <v>11.5</v>
      </c>
      <c r="AT21">
        <v>1.25</v>
      </c>
      <c r="AU21">
        <v>6.78</v>
      </c>
      <c r="AV21">
        <v>10.37</v>
      </c>
      <c r="AW21">
        <v>1.26</v>
      </c>
      <c r="AX21">
        <v>7.6</v>
      </c>
      <c r="AY21">
        <v>12.5</v>
      </c>
      <c r="AZ21">
        <v>1.36</v>
      </c>
      <c r="BA21">
        <v>3.2</v>
      </c>
      <c r="BB21">
        <v>1.36</v>
      </c>
      <c r="BC21">
        <v>3.23</v>
      </c>
      <c r="BD21">
        <v>1.4</v>
      </c>
      <c r="BE21">
        <v>3.4</v>
      </c>
      <c r="BF21">
        <v>1.35</v>
      </c>
      <c r="BG21">
        <v>3.2</v>
      </c>
      <c r="BJ21">
        <v>-1.75</v>
      </c>
      <c r="BK21">
        <v>1.89</v>
      </c>
      <c r="BL21">
        <v>2.0099999999999998</v>
      </c>
      <c r="BM21">
        <v>1.89</v>
      </c>
      <c r="BN21">
        <v>1.99</v>
      </c>
      <c r="BO21">
        <v>1.89</v>
      </c>
      <c r="BP21">
        <v>2.0499999999999998</v>
      </c>
      <c r="BQ21">
        <v>1.85</v>
      </c>
      <c r="BR21">
        <v>2</v>
      </c>
      <c r="BS21">
        <v>1.88</v>
      </c>
      <c r="BT21">
        <v>2.0099999999999998</v>
      </c>
      <c r="BU21">
        <v>1.2</v>
      </c>
      <c r="BV21">
        <v>7</v>
      </c>
      <c r="BW21">
        <v>13</v>
      </c>
      <c r="BX21">
        <v>1.24</v>
      </c>
      <c r="BY21">
        <v>7</v>
      </c>
      <c r="BZ21">
        <v>11</v>
      </c>
      <c r="CA21">
        <v>1.18</v>
      </c>
      <c r="CB21">
        <v>7</v>
      </c>
      <c r="CC21">
        <v>12</v>
      </c>
      <c r="CD21">
        <v>1.22</v>
      </c>
      <c r="CE21">
        <v>7.75</v>
      </c>
      <c r="CF21">
        <v>12.5</v>
      </c>
      <c r="CG21">
        <v>1.22</v>
      </c>
      <c r="CH21">
        <v>6.5</v>
      </c>
      <c r="CI21">
        <v>13</v>
      </c>
      <c r="CJ21">
        <v>1.22</v>
      </c>
      <c r="CK21">
        <v>7.28</v>
      </c>
      <c r="CL21">
        <v>13.5</v>
      </c>
      <c r="CM21">
        <v>1.25</v>
      </c>
      <c r="CN21">
        <v>7.75</v>
      </c>
      <c r="CO21">
        <v>13.5</v>
      </c>
      <c r="CP21">
        <v>1.22</v>
      </c>
      <c r="CQ21">
        <v>7.19</v>
      </c>
      <c r="CR21">
        <v>11.82</v>
      </c>
      <c r="CS21">
        <v>1.23</v>
      </c>
      <c r="CT21">
        <v>8</v>
      </c>
      <c r="CU21">
        <v>14.5</v>
      </c>
      <c r="CV21">
        <v>1.3</v>
      </c>
      <c r="CW21">
        <v>3.5</v>
      </c>
      <c r="CX21">
        <v>1.33</v>
      </c>
      <c r="CY21">
        <v>3.46</v>
      </c>
      <c r="CZ21">
        <v>1.34</v>
      </c>
      <c r="DA21">
        <v>3.55</v>
      </c>
      <c r="DB21">
        <v>1.32</v>
      </c>
      <c r="DC21">
        <v>3.42</v>
      </c>
      <c r="DD21">
        <v>1.35</v>
      </c>
      <c r="DE21">
        <v>3.75</v>
      </c>
      <c r="DF21">
        <v>-2</v>
      </c>
      <c r="DG21">
        <v>2.06</v>
      </c>
      <c r="DH21">
        <v>1.87</v>
      </c>
      <c r="DI21">
        <v>2.0699999999999998</v>
      </c>
      <c r="DJ21">
        <v>1.85</v>
      </c>
      <c r="DK21">
        <v>2.0699999999999998</v>
      </c>
      <c r="DL21">
        <v>1.91</v>
      </c>
      <c r="DM21">
        <v>2.0299999999999998</v>
      </c>
      <c r="DN21">
        <v>1.85</v>
      </c>
      <c r="DO21">
        <v>2.08</v>
      </c>
      <c r="DP21">
        <v>1.92</v>
      </c>
    </row>
    <row r="22" spans="1:120" x14ac:dyDescent="0.3">
      <c r="A22" t="s">
        <v>120</v>
      </c>
      <c r="B22" t="s">
        <v>165</v>
      </c>
      <c r="C22" s="1">
        <v>0.52083333333333337</v>
      </c>
      <c r="D22" t="s">
        <v>132</v>
      </c>
      <c r="E22" t="s">
        <v>136</v>
      </c>
      <c r="F22">
        <v>1</v>
      </c>
      <c r="G22">
        <v>1</v>
      </c>
      <c r="H22" t="s">
        <v>125</v>
      </c>
      <c r="I22">
        <v>1</v>
      </c>
      <c r="J22">
        <v>0</v>
      </c>
      <c r="K22" t="s">
        <v>124</v>
      </c>
      <c r="L22" t="s">
        <v>157</v>
      </c>
      <c r="M22">
        <v>11</v>
      </c>
      <c r="N22">
        <v>22</v>
      </c>
      <c r="O22">
        <v>7</v>
      </c>
      <c r="P22">
        <v>4</v>
      </c>
      <c r="Q22">
        <v>12</v>
      </c>
      <c r="R22">
        <v>7</v>
      </c>
      <c r="S22">
        <v>3</v>
      </c>
      <c r="T22">
        <v>7</v>
      </c>
      <c r="U22">
        <v>3</v>
      </c>
      <c r="V22">
        <v>2</v>
      </c>
      <c r="W22">
        <v>1</v>
      </c>
      <c r="X22">
        <v>0</v>
      </c>
      <c r="Y22">
        <v>1.33</v>
      </c>
      <c r="Z22">
        <v>5.5</v>
      </c>
      <c r="AA22">
        <v>8.5</v>
      </c>
      <c r="AB22">
        <v>1.36</v>
      </c>
      <c r="AC22">
        <v>5.5</v>
      </c>
      <c r="AD22">
        <v>8</v>
      </c>
      <c r="AE22">
        <v>1.33</v>
      </c>
      <c r="AF22">
        <v>5.5</v>
      </c>
      <c r="AG22">
        <v>8.5</v>
      </c>
      <c r="AH22">
        <v>1.34</v>
      </c>
      <c r="AI22">
        <v>5.87</v>
      </c>
      <c r="AJ22">
        <v>8.1</v>
      </c>
      <c r="AK22">
        <v>1.33</v>
      </c>
      <c r="AL22">
        <v>5.5</v>
      </c>
      <c r="AM22">
        <v>8.5</v>
      </c>
      <c r="AN22">
        <v>1.37</v>
      </c>
      <c r="AO22">
        <v>5.84</v>
      </c>
      <c r="AP22">
        <v>7.9</v>
      </c>
      <c r="AQ22">
        <v>1.37</v>
      </c>
      <c r="AR22">
        <v>6</v>
      </c>
      <c r="AS22">
        <v>9</v>
      </c>
      <c r="AT22">
        <v>1.35</v>
      </c>
      <c r="AU22">
        <v>5.66</v>
      </c>
      <c r="AV22">
        <v>8.11</v>
      </c>
      <c r="AW22">
        <v>1.36</v>
      </c>
      <c r="AX22">
        <v>6</v>
      </c>
      <c r="AY22">
        <v>9.4</v>
      </c>
      <c r="AZ22">
        <v>1.53</v>
      </c>
      <c r="BA22">
        <v>2.5</v>
      </c>
      <c r="BB22">
        <v>1.54</v>
      </c>
      <c r="BC22">
        <v>2.59</v>
      </c>
      <c r="BD22">
        <v>1.57</v>
      </c>
      <c r="BE22">
        <v>2.59</v>
      </c>
      <c r="BF22">
        <v>1.53</v>
      </c>
      <c r="BG22">
        <v>2.52</v>
      </c>
      <c r="BH22">
        <v>1.58</v>
      </c>
      <c r="BI22">
        <v>2.66</v>
      </c>
      <c r="BJ22">
        <v>-1.5</v>
      </c>
      <c r="BK22">
        <v>2.0099999999999998</v>
      </c>
      <c r="BL22">
        <v>1.89</v>
      </c>
      <c r="BM22">
        <v>2.02</v>
      </c>
      <c r="BN22">
        <v>1.89</v>
      </c>
      <c r="BO22">
        <v>2.0499999999999998</v>
      </c>
      <c r="BP22">
        <v>1.92</v>
      </c>
      <c r="BQ22">
        <v>2</v>
      </c>
      <c r="BR22">
        <v>1.86</v>
      </c>
      <c r="BS22">
        <v>2.0299999999999998</v>
      </c>
      <c r="BT22">
        <v>1.92</v>
      </c>
      <c r="BU22">
        <v>1.36</v>
      </c>
      <c r="BV22">
        <v>5.25</v>
      </c>
      <c r="BW22">
        <v>7.5</v>
      </c>
      <c r="BX22">
        <v>1.37</v>
      </c>
      <c r="BY22">
        <v>5.5</v>
      </c>
      <c r="BZ22">
        <v>7.5</v>
      </c>
      <c r="CA22">
        <v>1.33</v>
      </c>
      <c r="CB22">
        <v>5</v>
      </c>
      <c r="CC22">
        <v>8.5</v>
      </c>
      <c r="CD22">
        <v>1.37</v>
      </c>
      <c r="CE22">
        <v>5.48</v>
      </c>
      <c r="CF22">
        <v>8.43</v>
      </c>
      <c r="CG22">
        <v>1.36</v>
      </c>
      <c r="CH22">
        <v>5</v>
      </c>
      <c r="CI22">
        <v>8.5</v>
      </c>
      <c r="CJ22">
        <v>1.39</v>
      </c>
      <c r="CK22">
        <v>5.38</v>
      </c>
      <c r="CL22">
        <v>7.97</v>
      </c>
      <c r="CM22">
        <v>1.4</v>
      </c>
      <c r="CN22">
        <v>5.6</v>
      </c>
      <c r="CO22">
        <v>8.6</v>
      </c>
      <c r="CP22">
        <v>1.37</v>
      </c>
      <c r="CQ22">
        <v>5.37</v>
      </c>
      <c r="CR22">
        <v>8</v>
      </c>
      <c r="CS22">
        <v>1.4</v>
      </c>
      <c r="CT22">
        <v>5.7</v>
      </c>
      <c r="CU22">
        <v>8.8000000000000007</v>
      </c>
      <c r="CV22">
        <v>1.53</v>
      </c>
      <c r="CW22">
        <v>2.5</v>
      </c>
      <c r="CX22">
        <v>1.56</v>
      </c>
      <c r="CY22">
        <v>2.56</v>
      </c>
      <c r="CZ22">
        <v>1.58</v>
      </c>
      <c r="DA22">
        <v>2.63</v>
      </c>
      <c r="DB22">
        <v>1.54</v>
      </c>
      <c r="DC22">
        <v>2.52</v>
      </c>
      <c r="DD22">
        <v>1.58</v>
      </c>
      <c r="DE22">
        <v>2.72</v>
      </c>
      <c r="DF22">
        <v>-1.5</v>
      </c>
      <c r="DG22">
        <v>2.08</v>
      </c>
      <c r="DH22">
        <v>1.85</v>
      </c>
      <c r="DI22">
        <v>2.09</v>
      </c>
      <c r="DJ22">
        <v>1.85</v>
      </c>
      <c r="DK22">
        <v>2.12</v>
      </c>
      <c r="DL22">
        <v>1.86</v>
      </c>
      <c r="DM22">
        <v>2.0499999999999998</v>
      </c>
      <c r="DN22">
        <v>1.83</v>
      </c>
      <c r="DO22">
        <v>2.14</v>
      </c>
      <c r="DP22">
        <v>1.86</v>
      </c>
    </row>
    <row r="23" spans="1:120" x14ac:dyDescent="0.3">
      <c r="A23" t="s">
        <v>120</v>
      </c>
      <c r="B23" t="s">
        <v>165</v>
      </c>
      <c r="C23" s="1">
        <v>0.625</v>
      </c>
      <c r="D23" t="s">
        <v>148</v>
      </c>
      <c r="E23" t="s">
        <v>139</v>
      </c>
      <c r="F23">
        <v>3</v>
      </c>
      <c r="G23">
        <v>1</v>
      </c>
      <c r="H23" t="s">
        <v>124</v>
      </c>
      <c r="I23">
        <v>1</v>
      </c>
      <c r="J23">
        <v>0</v>
      </c>
      <c r="K23" t="s">
        <v>124</v>
      </c>
      <c r="L23" t="s">
        <v>166</v>
      </c>
      <c r="M23">
        <v>20</v>
      </c>
      <c r="N23">
        <v>18</v>
      </c>
      <c r="O23">
        <v>7</v>
      </c>
      <c r="P23">
        <v>6</v>
      </c>
      <c r="Q23">
        <v>10</v>
      </c>
      <c r="R23">
        <v>7</v>
      </c>
      <c r="S23">
        <v>2</v>
      </c>
      <c r="T23">
        <v>8</v>
      </c>
      <c r="U23">
        <v>2</v>
      </c>
      <c r="V23">
        <v>1</v>
      </c>
      <c r="W23">
        <v>0</v>
      </c>
      <c r="X23">
        <v>0</v>
      </c>
      <c r="Y23">
        <v>1.75</v>
      </c>
      <c r="Z23">
        <v>3.9</v>
      </c>
      <c r="AA23">
        <v>4.33</v>
      </c>
      <c r="AB23">
        <v>1.75</v>
      </c>
      <c r="AC23">
        <v>3.9</v>
      </c>
      <c r="AD23">
        <v>4.4000000000000004</v>
      </c>
      <c r="AE23">
        <v>1.75</v>
      </c>
      <c r="AF23">
        <v>3.9</v>
      </c>
      <c r="AG23">
        <v>4.5999999999999996</v>
      </c>
      <c r="AH23">
        <v>1.79</v>
      </c>
      <c r="AI23">
        <v>3.9</v>
      </c>
      <c r="AJ23">
        <v>4.51</v>
      </c>
      <c r="AK23">
        <v>1.75</v>
      </c>
      <c r="AL23">
        <v>3.9</v>
      </c>
      <c r="AM23">
        <v>4.5999999999999996</v>
      </c>
      <c r="AN23">
        <v>1.79</v>
      </c>
      <c r="AO23">
        <v>4.12</v>
      </c>
      <c r="AP23">
        <v>4.47</v>
      </c>
      <c r="AQ23">
        <v>1.82</v>
      </c>
      <c r="AR23">
        <v>4.12</v>
      </c>
      <c r="AS23">
        <v>4.7</v>
      </c>
      <c r="AT23">
        <v>1.77</v>
      </c>
      <c r="AU23">
        <v>3.97</v>
      </c>
      <c r="AV23">
        <v>4.46</v>
      </c>
      <c r="AW23">
        <v>1.82</v>
      </c>
      <c r="AX23">
        <v>4.0999999999999996</v>
      </c>
      <c r="AY23">
        <v>4.8</v>
      </c>
      <c r="AZ23">
        <v>1.73</v>
      </c>
      <c r="BA23">
        <v>2.1</v>
      </c>
      <c r="BB23">
        <v>1.74</v>
      </c>
      <c r="BC23">
        <v>2.1800000000000002</v>
      </c>
      <c r="BD23">
        <v>1.76</v>
      </c>
      <c r="BE23">
        <v>2.21</v>
      </c>
      <c r="BF23">
        <v>1.73</v>
      </c>
      <c r="BG23">
        <v>2.15</v>
      </c>
      <c r="BH23">
        <v>1.79</v>
      </c>
      <c r="BI23">
        <v>2.2400000000000002</v>
      </c>
      <c r="BJ23">
        <v>-0.75</v>
      </c>
      <c r="BK23">
        <v>2.0099999999999998</v>
      </c>
      <c r="BL23">
        <v>1.89</v>
      </c>
      <c r="BM23">
        <v>2</v>
      </c>
      <c r="BN23">
        <v>1.9</v>
      </c>
      <c r="BO23">
        <v>2.04</v>
      </c>
      <c r="BP23">
        <v>1.92</v>
      </c>
      <c r="BQ23">
        <v>1.97</v>
      </c>
      <c r="BR23">
        <v>1.89</v>
      </c>
      <c r="BS23">
        <v>2.0299999999999998</v>
      </c>
      <c r="BT23">
        <v>1.93</v>
      </c>
      <c r="BU23">
        <v>1.8</v>
      </c>
      <c r="BV23">
        <v>3.9</v>
      </c>
      <c r="BW23">
        <v>4.33</v>
      </c>
      <c r="BX23">
        <v>1.8</v>
      </c>
      <c r="BY23">
        <v>3.8</v>
      </c>
      <c r="BZ23">
        <v>4.33</v>
      </c>
      <c r="CA23">
        <v>1.8</v>
      </c>
      <c r="CB23">
        <v>3.8</v>
      </c>
      <c r="CC23">
        <v>4.5</v>
      </c>
      <c r="CD23">
        <v>1.82</v>
      </c>
      <c r="CE23">
        <v>3.91</v>
      </c>
      <c r="CF23">
        <v>4.46</v>
      </c>
      <c r="CG23">
        <v>1.8</v>
      </c>
      <c r="CH23">
        <v>3.75</v>
      </c>
      <c r="CI23">
        <v>4.5</v>
      </c>
      <c r="CJ23">
        <v>1.79</v>
      </c>
      <c r="CK23">
        <v>3.94</v>
      </c>
      <c r="CL23">
        <v>4.59</v>
      </c>
      <c r="CM23">
        <v>1.83</v>
      </c>
      <c r="CN23">
        <v>3.95</v>
      </c>
      <c r="CO23">
        <v>4.59</v>
      </c>
      <c r="CP23">
        <v>1.8</v>
      </c>
      <c r="CQ23">
        <v>3.86</v>
      </c>
      <c r="CR23">
        <v>4.42</v>
      </c>
      <c r="CS23">
        <v>1.86</v>
      </c>
      <c r="CT23">
        <v>4</v>
      </c>
      <c r="CU23">
        <v>4.5999999999999996</v>
      </c>
      <c r="CV23">
        <v>1.8</v>
      </c>
      <c r="CW23">
        <v>2</v>
      </c>
      <c r="CX23">
        <v>1.82</v>
      </c>
      <c r="CY23">
        <v>2.0699999999999998</v>
      </c>
      <c r="CZ23">
        <v>1.85</v>
      </c>
      <c r="DA23">
        <v>2.12</v>
      </c>
      <c r="DB23">
        <v>1.8</v>
      </c>
      <c r="DC23">
        <v>2.0499999999999998</v>
      </c>
      <c r="DD23">
        <v>1.84</v>
      </c>
      <c r="DE23">
        <v>2.16</v>
      </c>
      <c r="DF23">
        <v>-0.75</v>
      </c>
      <c r="DG23">
        <v>2.08</v>
      </c>
      <c r="DH23">
        <v>1.85</v>
      </c>
      <c r="DI23">
        <v>2.09</v>
      </c>
      <c r="DJ23">
        <v>1.84</v>
      </c>
      <c r="DK23">
        <v>2.09</v>
      </c>
      <c r="DL23">
        <v>1.9</v>
      </c>
      <c r="DM23">
        <v>2.02</v>
      </c>
      <c r="DN23">
        <v>1.85</v>
      </c>
      <c r="DO23">
        <v>2.11</v>
      </c>
      <c r="DP23">
        <v>1.87</v>
      </c>
    </row>
    <row r="24" spans="1:120" x14ac:dyDescent="0.3">
      <c r="A24" t="s">
        <v>120</v>
      </c>
      <c r="B24" t="s">
        <v>165</v>
      </c>
      <c r="C24" s="1">
        <v>0.625</v>
      </c>
      <c r="D24" t="s">
        <v>135</v>
      </c>
      <c r="E24" t="s">
        <v>142</v>
      </c>
      <c r="F24">
        <v>2</v>
      </c>
      <c r="G24">
        <v>3</v>
      </c>
      <c r="H24" t="s">
        <v>130</v>
      </c>
      <c r="I24">
        <v>0</v>
      </c>
      <c r="J24">
        <v>0</v>
      </c>
      <c r="K24" t="s">
        <v>125</v>
      </c>
      <c r="L24" t="s">
        <v>164</v>
      </c>
      <c r="M24">
        <v>18</v>
      </c>
      <c r="N24">
        <v>17</v>
      </c>
      <c r="O24">
        <v>8</v>
      </c>
      <c r="P24">
        <v>7</v>
      </c>
      <c r="Q24">
        <v>6</v>
      </c>
      <c r="R24">
        <v>1</v>
      </c>
      <c r="S24">
        <v>8</v>
      </c>
      <c r="T24">
        <v>4</v>
      </c>
      <c r="U24">
        <v>2</v>
      </c>
      <c r="V24">
        <v>1</v>
      </c>
      <c r="W24">
        <v>0</v>
      </c>
      <c r="X24">
        <v>0</v>
      </c>
      <c r="Y24">
        <v>2.75</v>
      </c>
      <c r="Z24">
        <v>3.4</v>
      </c>
      <c r="AA24">
        <v>2.5499999999999998</v>
      </c>
      <c r="AB24">
        <v>2.65</v>
      </c>
      <c r="AC24">
        <v>3.4</v>
      </c>
      <c r="AD24">
        <v>2.6</v>
      </c>
      <c r="AE24">
        <v>2.75</v>
      </c>
      <c r="AF24">
        <v>3.4</v>
      </c>
      <c r="AG24">
        <v>2.6</v>
      </c>
      <c r="AH24">
        <v>2.82</v>
      </c>
      <c r="AI24">
        <v>3.38</v>
      </c>
      <c r="AJ24">
        <v>2.62</v>
      </c>
      <c r="AK24">
        <v>2.75</v>
      </c>
      <c r="AL24">
        <v>3.4</v>
      </c>
      <c r="AM24">
        <v>2.6</v>
      </c>
      <c r="AN24">
        <v>2.83</v>
      </c>
      <c r="AO24">
        <v>3.48</v>
      </c>
      <c r="AP24">
        <v>2.6</v>
      </c>
      <c r="AQ24">
        <v>2.85</v>
      </c>
      <c r="AR24">
        <v>3.5</v>
      </c>
      <c r="AS24">
        <v>2.64</v>
      </c>
      <c r="AT24">
        <v>2.78</v>
      </c>
      <c r="AU24">
        <v>3.4</v>
      </c>
      <c r="AV24">
        <v>2.59</v>
      </c>
      <c r="AW24">
        <v>2.86</v>
      </c>
      <c r="AX24">
        <v>3.55</v>
      </c>
      <c r="AY24">
        <v>2.68</v>
      </c>
      <c r="AZ24">
        <v>1.92</v>
      </c>
      <c r="BA24">
        <v>1.98</v>
      </c>
      <c r="BB24">
        <v>1.93</v>
      </c>
      <c r="BC24">
        <v>1.96</v>
      </c>
      <c r="BD24">
        <v>1.93</v>
      </c>
      <c r="BE24">
        <v>2</v>
      </c>
      <c r="BF24">
        <v>1.87</v>
      </c>
      <c r="BG24">
        <v>1.95</v>
      </c>
      <c r="BH24">
        <v>1.96</v>
      </c>
      <c r="BI24">
        <v>2</v>
      </c>
      <c r="BJ24">
        <v>0</v>
      </c>
      <c r="BK24">
        <v>2.0099999999999998</v>
      </c>
      <c r="BL24">
        <v>1.89</v>
      </c>
      <c r="BM24">
        <v>2.0299999999999998</v>
      </c>
      <c r="BN24">
        <v>1.88</v>
      </c>
      <c r="BO24">
        <v>2.0299999999999998</v>
      </c>
      <c r="BP24">
        <v>1.9</v>
      </c>
      <c r="BQ24">
        <v>2</v>
      </c>
      <c r="BR24">
        <v>1.87</v>
      </c>
      <c r="BS24">
        <v>2.0499999999999998</v>
      </c>
      <c r="BT24">
        <v>1.93</v>
      </c>
      <c r="BU24">
        <v>3</v>
      </c>
      <c r="BV24">
        <v>3.4</v>
      </c>
      <c r="BW24">
        <v>2.35</v>
      </c>
      <c r="BX24">
        <v>2.85</v>
      </c>
      <c r="BY24">
        <v>3.4</v>
      </c>
      <c r="BZ24">
        <v>2.4500000000000002</v>
      </c>
      <c r="CA24">
        <v>2.88</v>
      </c>
      <c r="CB24">
        <v>3.4</v>
      </c>
      <c r="CC24">
        <v>2.4500000000000002</v>
      </c>
      <c r="CD24">
        <v>3.14</v>
      </c>
      <c r="CE24">
        <v>3.45</v>
      </c>
      <c r="CF24">
        <v>2.39</v>
      </c>
      <c r="CG24">
        <v>2.9</v>
      </c>
      <c r="CH24">
        <v>3.4</v>
      </c>
      <c r="CI24">
        <v>2.4500000000000002</v>
      </c>
      <c r="CJ24">
        <v>2.96</v>
      </c>
      <c r="CK24">
        <v>3.48</v>
      </c>
      <c r="CL24">
        <v>2.4700000000000002</v>
      </c>
      <c r="CM24">
        <v>3.14</v>
      </c>
      <c r="CN24">
        <v>3.55</v>
      </c>
      <c r="CO24">
        <v>2.52</v>
      </c>
      <c r="CP24">
        <v>2.96</v>
      </c>
      <c r="CQ24">
        <v>3.45</v>
      </c>
      <c r="CR24">
        <v>2.4300000000000002</v>
      </c>
      <c r="CS24">
        <v>3.1</v>
      </c>
      <c r="CT24">
        <v>3.55</v>
      </c>
      <c r="CU24">
        <v>2.48</v>
      </c>
      <c r="CV24">
        <v>1.87</v>
      </c>
      <c r="CW24">
        <v>2.0299999999999998</v>
      </c>
      <c r="CX24">
        <v>1.88</v>
      </c>
      <c r="CY24">
        <v>2.0299999999999998</v>
      </c>
      <c r="CZ24">
        <v>1.9</v>
      </c>
      <c r="DA24">
        <v>2.06</v>
      </c>
      <c r="DB24">
        <v>1.84</v>
      </c>
      <c r="DC24">
        <v>2</v>
      </c>
      <c r="DD24">
        <v>1.9</v>
      </c>
      <c r="DE24">
        <v>2.08</v>
      </c>
      <c r="DF24">
        <v>0.25</v>
      </c>
      <c r="DG24">
        <v>1.85</v>
      </c>
      <c r="DH24">
        <v>2.08</v>
      </c>
      <c r="DI24">
        <v>1.87</v>
      </c>
      <c r="DJ24">
        <v>2.06</v>
      </c>
      <c r="DK24">
        <v>1.87</v>
      </c>
      <c r="DL24">
        <v>2.14</v>
      </c>
      <c r="DM24">
        <v>1.81</v>
      </c>
      <c r="DN24">
        <v>2.06</v>
      </c>
      <c r="DO24">
        <v>1.86</v>
      </c>
      <c r="DP24">
        <v>2.14</v>
      </c>
    </row>
    <row r="25" spans="1:120" x14ac:dyDescent="0.3">
      <c r="A25" t="s">
        <v>120</v>
      </c>
      <c r="B25" t="s">
        <v>165</v>
      </c>
      <c r="C25" s="1">
        <v>0.625</v>
      </c>
      <c r="D25" t="s">
        <v>128</v>
      </c>
      <c r="E25" t="s">
        <v>123</v>
      </c>
      <c r="F25">
        <v>1</v>
      </c>
      <c r="G25">
        <v>1</v>
      </c>
      <c r="H25" t="s">
        <v>125</v>
      </c>
      <c r="I25">
        <v>1</v>
      </c>
      <c r="J25">
        <v>1</v>
      </c>
      <c r="K25" t="s">
        <v>125</v>
      </c>
      <c r="L25" t="s">
        <v>167</v>
      </c>
      <c r="M25">
        <v>11</v>
      </c>
      <c r="N25">
        <v>9</v>
      </c>
      <c r="O25">
        <v>4</v>
      </c>
      <c r="P25">
        <v>4</v>
      </c>
      <c r="Q25">
        <v>15</v>
      </c>
      <c r="R25">
        <v>15</v>
      </c>
      <c r="S25">
        <v>8</v>
      </c>
      <c r="T25">
        <v>6</v>
      </c>
      <c r="U25">
        <v>2</v>
      </c>
      <c r="V25">
        <v>3</v>
      </c>
      <c r="W25">
        <v>0</v>
      </c>
      <c r="X25">
        <v>0</v>
      </c>
      <c r="Y25">
        <v>3</v>
      </c>
      <c r="Z25">
        <v>3.5</v>
      </c>
      <c r="AA25">
        <v>2.2999999999999998</v>
      </c>
      <c r="AB25">
        <v>3.1</v>
      </c>
      <c r="AC25">
        <v>3.5</v>
      </c>
      <c r="AD25">
        <v>2.25</v>
      </c>
      <c r="AE25">
        <v>3.1</v>
      </c>
      <c r="AF25">
        <v>3.4</v>
      </c>
      <c r="AG25">
        <v>2.2999999999999998</v>
      </c>
      <c r="AH25">
        <v>3.14</v>
      </c>
      <c r="AI25">
        <v>3.53</v>
      </c>
      <c r="AJ25">
        <v>2.3199999999999998</v>
      </c>
      <c r="AK25">
        <v>3.1</v>
      </c>
      <c r="AL25">
        <v>3.5</v>
      </c>
      <c r="AM25">
        <v>2.2999999999999998</v>
      </c>
      <c r="AN25">
        <v>3.13</v>
      </c>
      <c r="AO25">
        <v>3.66</v>
      </c>
      <c r="AP25">
        <v>2.31</v>
      </c>
      <c r="AQ25">
        <v>3.2</v>
      </c>
      <c r="AR25">
        <v>3.66</v>
      </c>
      <c r="AS25">
        <v>2.38</v>
      </c>
      <c r="AT25">
        <v>3.1</v>
      </c>
      <c r="AU25">
        <v>3.5</v>
      </c>
      <c r="AV25">
        <v>2.31</v>
      </c>
      <c r="AW25">
        <v>3.2</v>
      </c>
      <c r="AX25">
        <v>3.6</v>
      </c>
      <c r="AY25">
        <v>2.42</v>
      </c>
      <c r="AZ25">
        <v>1.84</v>
      </c>
      <c r="BA25">
        <v>2.06</v>
      </c>
      <c r="BB25">
        <v>1.83</v>
      </c>
      <c r="BC25">
        <v>2.06</v>
      </c>
      <c r="BD25">
        <v>1.88</v>
      </c>
      <c r="BE25">
        <v>2.0699999999999998</v>
      </c>
      <c r="BF25">
        <v>1.82</v>
      </c>
      <c r="BG25">
        <v>2.0299999999999998</v>
      </c>
      <c r="BH25">
        <v>1.83</v>
      </c>
      <c r="BI25">
        <v>2.12</v>
      </c>
      <c r="BJ25">
        <v>0.25</v>
      </c>
      <c r="BK25">
        <v>1.87</v>
      </c>
      <c r="BL25">
        <v>2.0299999999999998</v>
      </c>
      <c r="BM25">
        <v>1.89</v>
      </c>
      <c r="BN25">
        <v>2.0099999999999998</v>
      </c>
      <c r="BO25">
        <v>1.91</v>
      </c>
      <c r="BP25">
        <v>2.08</v>
      </c>
      <c r="BQ25">
        <v>1.86</v>
      </c>
      <c r="BR25">
        <v>1.98</v>
      </c>
      <c r="BS25">
        <v>1.91</v>
      </c>
      <c r="BT25">
        <v>2.08</v>
      </c>
      <c r="BU25">
        <v>3</v>
      </c>
      <c r="BV25">
        <v>3.4</v>
      </c>
      <c r="BW25">
        <v>2.38</v>
      </c>
      <c r="BX25">
        <v>2.95</v>
      </c>
      <c r="BY25">
        <v>3.4</v>
      </c>
      <c r="BZ25">
        <v>2.4</v>
      </c>
      <c r="CA25">
        <v>3</v>
      </c>
      <c r="CB25">
        <v>3.4</v>
      </c>
      <c r="CC25">
        <v>2.38</v>
      </c>
      <c r="CD25">
        <v>3.07</v>
      </c>
      <c r="CE25">
        <v>3.43</v>
      </c>
      <c r="CF25">
        <v>2.4300000000000002</v>
      </c>
      <c r="CG25">
        <v>3</v>
      </c>
      <c r="CH25">
        <v>3.4</v>
      </c>
      <c r="CI25">
        <v>2.38</v>
      </c>
      <c r="CJ25">
        <v>3.2</v>
      </c>
      <c r="CK25">
        <v>3.46</v>
      </c>
      <c r="CL25">
        <v>2.33</v>
      </c>
      <c r="CM25">
        <v>3.2</v>
      </c>
      <c r="CN25">
        <v>3.5</v>
      </c>
      <c r="CO25">
        <v>2.4500000000000002</v>
      </c>
      <c r="CP25">
        <v>3.03</v>
      </c>
      <c r="CQ25">
        <v>3.41</v>
      </c>
      <c r="CR25">
        <v>2.4</v>
      </c>
      <c r="CS25">
        <v>3.15</v>
      </c>
      <c r="CT25">
        <v>3.55</v>
      </c>
      <c r="CU25">
        <v>2.46</v>
      </c>
      <c r="CV25">
        <v>1.95</v>
      </c>
      <c r="CW25">
        <v>1.95</v>
      </c>
      <c r="CX25">
        <v>1.93</v>
      </c>
      <c r="CY25">
        <v>1.97</v>
      </c>
      <c r="CZ25">
        <v>1.96</v>
      </c>
      <c r="DA25">
        <v>2</v>
      </c>
      <c r="DB25">
        <v>1.9</v>
      </c>
      <c r="DC25">
        <v>1.94</v>
      </c>
      <c r="DD25">
        <v>2</v>
      </c>
      <c r="DE25">
        <v>1.98</v>
      </c>
      <c r="DF25">
        <v>0.25</v>
      </c>
      <c r="DG25">
        <v>1.82</v>
      </c>
      <c r="DH25">
        <v>2.11</v>
      </c>
      <c r="DI25">
        <v>1.83</v>
      </c>
      <c r="DJ25">
        <v>2.11</v>
      </c>
      <c r="DK25">
        <v>1.86</v>
      </c>
      <c r="DL25">
        <v>2.11</v>
      </c>
      <c r="DM25">
        <v>1.81</v>
      </c>
      <c r="DN25">
        <v>2.06</v>
      </c>
      <c r="DO25">
        <v>1.88</v>
      </c>
      <c r="DP25">
        <v>2.11</v>
      </c>
    </row>
    <row r="26" spans="1:120" x14ac:dyDescent="0.3">
      <c r="A26" t="s">
        <v>120</v>
      </c>
      <c r="B26" t="s">
        <v>165</v>
      </c>
      <c r="C26" s="1">
        <v>0.625</v>
      </c>
      <c r="D26" t="s">
        <v>155</v>
      </c>
      <c r="E26" t="s">
        <v>145</v>
      </c>
      <c r="F26">
        <v>1</v>
      </c>
      <c r="G26">
        <v>2</v>
      </c>
      <c r="H26" t="s">
        <v>130</v>
      </c>
      <c r="I26">
        <v>0</v>
      </c>
      <c r="J26">
        <v>1</v>
      </c>
      <c r="K26" t="s">
        <v>130</v>
      </c>
      <c r="L26" t="s">
        <v>162</v>
      </c>
      <c r="M26">
        <v>9</v>
      </c>
      <c r="N26">
        <v>10</v>
      </c>
      <c r="O26">
        <v>3</v>
      </c>
      <c r="P26">
        <v>5</v>
      </c>
      <c r="Q26">
        <v>13</v>
      </c>
      <c r="R26">
        <v>21</v>
      </c>
      <c r="S26">
        <v>1</v>
      </c>
      <c r="T26">
        <v>4</v>
      </c>
      <c r="U26">
        <v>4</v>
      </c>
      <c r="V26">
        <v>5</v>
      </c>
      <c r="W26">
        <v>0</v>
      </c>
      <c r="X26">
        <v>0</v>
      </c>
      <c r="Y26">
        <v>4.5</v>
      </c>
      <c r="Z26">
        <v>4</v>
      </c>
      <c r="AA26">
        <v>1.7</v>
      </c>
      <c r="AB26">
        <v>4.4000000000000004</v>
      </c>
      <c r="AC26">
        <v>3.9</v>
      </c>
      <c r="AD26">
        <v>1.77</v>
      </c>
      <c r="AE26">
        <v>4.5999999999999996</v>
      </c>
      <c r="AF26">
        <v>3.9</v>
      </c>
      <c r="AG26">
        <v>1.75</v>
      </c>
      <c r="AH26">
        <v>4.8</v>
      </c>
      <c r="AI26">
        <v>4.09</v>
      </c>
      <c r="AJ26">
        <v>1.71</v>
      </c>
      <c r="AK26">
        <v>4.5999999999999996</v>
      </c>
      <c r="AL26">
        <v>3.9</v>
      </c>
      <c r="AM26">
        <v>1.75</v>
      </c>
      <c r="AN26">
        <v>4.53</v>
      </c>
      <c r="AO26">
        <v>4.17</v>
      </c>
      <c r="AP26">
        <v>1.77</v>
      </c>
      <c r="AQ26">
        <v>4.9000000000000004</v>
      </c>
      <c r="AR26">
        <v>4.2</v>
      </c>
      <c r="AS26">
        <v>1.78</v>
      </c>
      <c r="AT26">
        <v>4.62</v>
      </c>
      <c r="AU26">
        <v>4.0199999999999996</v>
      </c>
      <c r="AV26">
        <v>1.74</v>
      </c>
      <c r="AW26">
        <v>4.9000000000000004</v>
      </c>
      <c r="AX26">
        <v>4.0999999999999996</v>
      </c>
      <c r="AY26">
        <v>1.8</v>
      </c>
      <c r="AZ26">
        <v>1.67</v>
      </c>
      <c r="BA26">
        <v>2.2000000000000002</v>
      </c>
      <c r="BB26">
        <v>1.68</v>
      </c>
      <c r="BC26">
        <v>2.27</v>
      </c>
      <c r="BD26">
        <v>1.76</v>
      </c>
      <c r="BE26">
        <v>2.2999999999999998</v>
      </c>
      <c r="BF26">
        <v>1.69</v>
      </c>
      <c r="BG26">
        <v>2.21</v>
      </c>
      <c r="BH26">
        <v>1.73</v>
      </c>
      <c r="BI26">
        <v>2.2799999999999998</v>
      </c>
      <c r="BJ26">
        <v>0.75</v>
      </c>
      <c r="BK26">
        <v>1.95</v>
      </c>
      <c r="BL26">
        <v>1.95</v>
      </c>
      <c r="BM26">
        <v>1.98</v>
      </c>
      <c r="BN26">
        <v>1.93</v>
      </c>
      <c r="BO26">
        <v>1.98</v>
      </c>
      <c r="BP26">
        <v>1.99</v>
      </c>
      <c r="BQ26">
        <v>1.93</v>
      </c>
      <c r="BR26">
        <v>1.91</v>
      </c>
      <c r="BS26">
        <v>1.98</v>
      </c>
      <c r="BT26">
        <v>1.98</v>
      </c>
      <c r="BU26">
        <v>4</v>
      </c>
      <c r="BV26">
        <v>3.7</v>
      </c>
      <c r="BW26">
        <v>1.85</v>
      </c>
      <c r="BX26">
        <v>3.8</v>
      </c>
      <c r="BY26">
        <v>3.7</v>
      </c>
      <c r="BZ26">
        <v>1.95</v>
      </c>
      <c r="CA26">
        <v>3.9</v>
      </c>
      <c r="CB26">
        <v>3.75</v>
      </c>
      <c r="CC26">
        <v>1.95</v>
      </c>
      <c r="CD26">
        <v>4.01</v>
      </c>
      <c r="CE26">
        <v>3.87</v>
      </c>
      <c r="CF26">
        <v>1.92</v>
      </c>
      <c r="CG26">
        <v>4</v>
      </c>
      <c r="CH26">
        <v>3.7</v>
      </c>
      <c r="CI26">
        <v>1.91</v>
      </c>
      <c r="CJ26">
        <v>4.2</v>
      </c>
      <c r="CK26">
        <v>3.7</v>
      </c>
      <c r="CL26">
        <v>1.91</v>
      </c>
      <c r="CM26">
        <v>4.2</v>
      </c>
      <c r="CN26">
        <v>3.88</v>
      </c>
      <c r="CO26">
        <v>1.95</v>
      </c>
      <c r="CP26">
        <v>4</v>
      </c>
      <c r="CQ26">
        <v>3.76</v>
      </c>
      <c r="CR26">
        <v>1.91</v>
      </c>
      <c r="CS26">
        <v>4.0999999999999996</v>
      </c>
      <c r="CT26">
        <v>3.95</v>
      </c>
      <c r="CU26">
        <v>1.96</v>
      </c>
      <c r="CV26">
        <v>1.73</v>
      </c>
      <c r="CW26">
        <v>2.1</v>
      </c>
      <c r="CX26">
        <v>1.8</v>
      </c>
      <c r="CY26">
        <v>2.1</v>
      </c>
      <c r="CZ26">
        <v>1.82</v>
      </c>
      <c r="DA26">
        <v>2.14</v>
      </c>
      <c r="DB26">
        <v>1.78</v>
      </c>
      <c r="DC26">
        <v>2.08</v>
      </c>
      <c r="DD26">
        <v>1.84</v>
      </c>
      <c r="DE26">
        <v>2.1800000000000002</v>
      </c>
      <c r="DF26">
        <v>0.5</v>
      </c>
      <c r="DG26">
        <v>1.99</v>
      </c>
      <c r="DH26">
        <v>1.94</v>
      </c>
      <c r="DI26">
        <v>2</v>
      </c>
      <c r="DJ26">
        <v>1.93</v>
      </c>
      <c r="DK26">
        <v>2</v>
      </c>
      <c r="DL26">
        <v>1.95</v>
      </c>
      <c r="DM26">
        <v>1.97</v>
      </c>
      <c r="DN26">
        <v>1.9</v>
      </c>
      <c r="DO26">
        <v>2.02</v>
      </c>
      <c r="DP26">
        <v>1.97</v>
      </c>
    </row>
    <row r="27" spans="1:120" x14ac:dyDescent="0.3">
      <c r="A27" t="s">
        <v>120</v>
      </c>
      <c r="B27" t="s">
        <v>165</v>
      </c>
      <c r="C27" s="1">
        <v>0.625</v>
      </c>
      <c r="D27" t="s">
        <v>141</v>
      </c>
      <c r="E27" t="s">
        <v>133</v>
      </c>
      <c r="F27">
        <v>1</v>
      </c>
      <c r="G27">
        <v>1</v>
      </c>
      <c r="H27" t="s">
        <v>125</v>
      </c>
      <c r="I27">
        <v>1</v>
      </c>
      <c r="J27">
        <v>1</v>
      </c>
      <c r="K27" t="s">
        <v>125</v>
      </c>
      <c r="L27" t="s">
        <v>137</v>
      </c>
      <c r="M27">
        <v>16</v>
      </c>
      <c r="N27">
        <v>11</v>
      </c>
      <c r="O27">
        <v>5</v>
      </c>
      <c r="P27">
        <v>3</v>
      </c>
      <c r="Q27">
        <v>15</v>
      </c>
      <c r="R27">
        <v>18</v>
      </c>
      <c r="S27">
        <v>7</v>
      </c>
      <c r="T27">
        <v>3</v>
      </c>
      <c r="U27">
        <v>3</v>
      </c>
      <c r="V27">
        <v>4</v>
      </c>
      <c r="W27">
        <v>0</v>
      </c>
      <c r="X27">
        <v>0</v>
      </c>
      <c r="Y27">
        <v>2</v>
      </c>
      <c r="Z27">
        <v>3.7</v>
      </c>
      <c r="AA27">
        <v>3.7</v>
      </c>
      <c r="AB27">
        <v>2.1</v>
      </c>
      <c r="AC27">
        <v>3.6</v>
      </c>
      <c r="AD27">
        <v>3.5</v>
      </c>
      <c r="AE27">
        <v>2</v>
      </c>
      <c r="AF27">
        <v>3.6</v>
      </c>
      <c r="AG27">
        <v>3.75</v>
      </c>
      <c r="AH27">
        <v>2.02</v>
      </c>
      <c r="AI27">
        <v>3.7</v>
      </c>
      <c r="AJ27">
        <v>3.71</v>
      </c>
      <c r="AK27">
        <v>2.0499999999999998</v>
      </c>
      <c r="AL27">
        <v>3.6</v>
      </c>
      <c r="AM27">
        <v>3.6</v>
      </c>
      <c r="AN27">
        <v>2.04</v>
      </c>
      <c r="AO27">
        <v>3.76</v>
      </c>
      <c r="AP27">
        <v>3.7</v>
      </c>
      <c r="AQ27">
        <v>2.1</v>
      </c>
      <c r="AR27">
        <v>3.76</v>
      </c>
      <c r="AS27">
        <v>3.79</v>
      </c>
      <c r="AT27">
        <v>2.0299999999999998</v>
      </c>
      <c r="AU27">
        <v>3.66</v>
      </c>
      <c r="AV27">
        <v>3.65</v>
      </c>
      <c r="AW27">
        <v>2.08</v>
      </c>
      <c r="AX27">
        <v>3.8</v>
      </c>
      <c r="AY27">
        <v>3.85</v>
      </c>
      <c r="AZ27">
        <v>1.85</v>
      </c>
      <c r="BA27">
        <v>2.0499999999999998</v>
      </c>
      <c r="BB27">
        <v>1.85</v>
      </c>
      <c r="BC27">
        <v>2.04</v>
      </c>
      <c r="BD27">
        <v>1.86</v>
      </c>
      <c r="BE27">
        <v>2.09</v>
      </c>
      <c r="BF27">
        <v>1.83</v>
      </c>
      <c r="BG27">
        <v>2.02</v>
      </c>
      <c r="BH27">
        <v>1.88</v>
      </c>
      <c r="BI27">
        <v>2.08</v>
      </c>
      <c r="BJ27">
        <v>-0.5</v>
      </c>
      <c r="BK27">
        <v>2.0299999999999998</v>
      </c>
      <c r="BL27">
        <v>1.87</v>
      </c>
      <c r="BM27">
        <v>2.0299999999999998</v>
      </c>
      <c r="BN27">
        <v>1.88</v>
      </c>
      <c r="BO27">
        <v>2.08</v>
      </c>
      <c r="BP27">
        <v>1.88</v>
      </c>
      <c r="BQ27">
        <v>2.02</v>
      </c>
      <c r="BR27">
        <v>1.85</v>
      </c>
      <c r="BS27">
        <v>2.08</v>
      </c>
      <c r="BT27">
        <v>1.91</v>
      </c>
      <c r="BU27">
        <v>1.95</v>
      </c>
      <c r="BV27">
        <v>3.6</v>
      </c>
      <c r="BW27">
        <v>3.7</v>
      </c>
      <c r="BX27">
        <v>2</v>
      </c>
      <c r="BY27">
        <v>3.6</v>
      </c>
      <c r="BZ27">
        <v>3.7</v>
      </c>
      <c r="CA27">
        <v>2</v>
      </c>
      <c r="CB27">
        <v>3.5</v>
      </c>
      <c r="CC27">
        <v>3.75</v>
      </c>
      <c r="CD27">
        <v>2</v>
      </c>
      <c r="CE27">
        <v>3.7</v>
      </c>
      <c r="CF27">
        <v>3.88</v>
      </c>
      <c r="CG27">
        <v>2</v>
      </c>
      <c r="CH27">
        <v>3.5</v>
      </c>
      <c r="CI27">
        <v>3.8</v>
      </c>
      <c r="CJ27">
        <v>2.0499999999999998</v>
      </c>
      <c r="CK27">
        <v>3.7</v>
      </c>
      <c r="CL27">
        <v>3.68</v>
      </c>
      <c r="CM27">
        <v>2.0499999999999998</v>
      </c>
      <c r="CN27">
        <v>3.7</v>
      </c>
      <c r="CO27">
        <v>3.88</v>
      </c>
      <c r="CP27">
        <v>2</v>
      </c>
      <c r="CQ27">
        <v>3.61</v>
      </c>
      <c r="CR27">
        <v>3.73</v>
      </c>
      <c r="CS27">
        <v>2.04</v>
      </c>
      <c r="CT27">
        <v>3.75</v>
      </c>
      <c r="CU27">
        <v>4</v>
      </c>
      <c r="CV27">
        <v>1.91</v>
      </c>
      <c r="CW27">
        <v>1.99</v>
      </c>
      <c r="CX27">
        <v>1.9</v>
      </c>
      <c r="CY27">
        <v>2.0099999999999998</v>
      </c>
      <c r="CZ27">
        <v>1.91</v>
      </c>
      <c r="DA27">
        <v>2.0099999999999998</v>
      </c>
      <c r="DB27">
        <v>1.86</v>
      </c>
      <c r="DC27">
        <v>1.97</v>
      </c>
      <c r="DD27">
        <v>1.94</v>
      </c>
      <c r="DE27">
        <v>2.04</v>
      </c>
      <c r="DF27">
        <v>-0.5</v>
      </c>
      <c r="DG27">
        <v>2.0099999999999998</v>
      </c>
      <c r="DH27">
        <v>1.92</v>
      </c>
      <c r="DI27">
        <v>2.0099999999999998</v>
      </c>
      <c r="DJ27">
        <v>1.92</v>
      </c>
      <c r="DK27">
        <v>2.0099999999999998</v>
      </c>
      <c r="DL27">
        <v>1.94</v>
      </c>
      <c r="DM27">
        <v>1.98</v>
      </c>
      <c r="DN27">
        <v>1.87</v>
      </c>
      <c r="DO27">
        <v>2.06</v>
      </c>
      <c r="DP27">
        <v>1.93</v>
      </c>
    </row>
    <row r="28" spans="1:120" x14ac:dyDescent="0.3">
      <c r="A28" t="s">
        <v>120</v>
      </c>
      <c r="B28" t="s">
        <v>165</v>
      </c>
      <c r="C28" s="1">
        <v>0.72916666666666663</v>
      </c>
      <c r="D28" t="s">
        <v>144</v>
      </c>
      <c r="E28" t="s">
        <v>152</v>
      </c>
      <c r="F28">
        <v>1</v>
      </c>
      <c r="G28">
        <v>3</v>
      </c>
      <c r="H28" t="s">
        <v>130</v>
      </c>
      <c r="I28">
        <v>1</v>
      </c>
      <c r="J28">
        <v>2</v>
      </c>
      <c r="K28" t="s">
        <v>130</v>
      </c>
      <c r="L28" t="s">
        <v>143</v>
      </c>
      <c r="M28">
        <v>10</v>
      </c>
      <c r="N28">
        <v>23</v>
      </c>
      <c r="O28">
        <v>2</v>
      </c>
      <c r="P28">
        <v>8</v>
      </c>
      <c r="Q28">
        <v>10</v>
      </c>
      <c r="R28">
        <v>3</v>
      </c>
      <c r="S28">
        <v>3</v>
      </c>
      <c r="T28">
        <v>11</v>
      </c>
      <c r="U28">
        <v>3</v>
      </c>
      <c r="V28">
        <v>2</v>
      </c>
      <c r="W28">
        <v>0</v>
      </c>
      <c r="X28">
        <v>0</v>
      </c>
      <c r="Y28">
        <v>7</v>
      </c>
      <c r="Z28">
        <v>5.5</v>
      </c>
      <c r="AA28">
        <v>1.38</v>
      </c>
      <c r="AB28">
        <v>7.25</v>
      </c>
      <c r="AC28">
        <v>5.25</v>
      </c>
      <c r="AD28">
        <v>1.39</v>
      </c>
      <c r="AE28">
        <v>7.5</v>
      </c>
      <c r="AF28">
        <v>5.5</v>
      </c>
      <c r="AG28">
        <v>1.36</v>
      </c>
      <c r="AH28">
        <v>7.69</v>
      </c>
      <c r="AI28">
        <v>5.64</v>
      </c>
      <c r="AJ28">
        <v>1.37</v>
      </c>
      <c r="AK28">
        <v>8</v>
      </c>
      <c r="AL28">
        <v>5</v>
      </c>
      <c r="AM28">
        <v>1.4</v>
      </c>
      <c r="AN28">
        <v>7.7</v>
      </c>
      <c r="AO28">
        <v>5.44</v>
      </c>
      <c r="AP28">
        <v>1.4</v>
      </c>
      <c r="AQ28">
        <v>8</v>
      </c>
      <c r="AR28">
        <v>5.8</v>
      </c>
      <c r="AS28">
        <v>1.41</v>
      </c>
      <c r="AT28">
        <v>7.57</v>
      </c>
      <c r="AU28">
        <v>5.49</v>
      </c>
      <c r="AV28">
        <v>1.38</v>
      </c>
      <c r="AW28">
        <v>8.1999999999999993</v>
      </c>
      <c r="AX28">
        <v>5.9</v>
      </c>
      <c r="AY28">
        <v>1.4</v>
      </c>
      <c r="AZ28">
        <v>1.44</v>
      </c>
      <c r="BA28">
        <v>2.75</v>
      </c>
      <c r="BB28">
        <v>1.49</v>
      </c>
      <c r="BC28">
        <v>2.72</v>
      </c>
      <c r="BD28">
        <v>1.5</v>
      </c>
      <c r="BE28">
        <v>2.8</v>
      </c>
      <c r="BF28">
        <v>1.46</v>
      </c>
      <c r="BG28">
        <v>2.73</v>
      </c>
      <c r="BH28">
        <v>1.51</v>
      </c>
      <c r="BI28">
        <v>2.88</v>
      </c>
      <c r="BJ28">
        <v>1.5</v>
      </c>
      <c r="BK28">
        <v>1.86</v>
      </c>
      <c r="BL28">
        <v>2.04</v>
      </c>
      <c r="BM28">
        <v>1.87</v>
      </c>
      <c r="BN28">
        <v>2.04</v>
      </c>
      <c r="BO28">
        <v>1.89</v>
      </c>
      <c r="BP28">
        <v>2.0499999999999998</v>
      </c>
      <c r="BQ28">
        <v>1.85</v>
      </c>
      <c r="BR28">
        <v>2.02</v>
      </c>
      <c r="BS28">
        <v>1.89</v>
      </c>
      <c r="BT28">
        <v>2.0499999999999998</v>
      </c>
      <c r="BU28">
        <v>7.5</v>
      </c>
      <c r="BV28">
        <v>5</v>
      </c>
      <c r="BW28">
        <v>1.4</v>
      </c>
      <c r="BX28">
        <v>6.75</v>
      </c>
      <c r="BY28">
        <v>5</v>
      </c>
      <c r="BZ28">
        <v>1.42</v>
      </c>
      <c r="CA28">
        <v>7.5</v>
      </c>
      <c r="CB28">
        <v>5</v>
      </c>
      <c r="CC28">
        <v>1.36</v>
      </c>
      <c r="CD28">
        <v>7.7</v>
      </c>
      <c r="CE28">
        <v>5.25</v>
      </c>
      <c r="CF28">
        <v>1.41</v>
      </c>
      <c r="CG28">
        <v>7.5</v>
      </c>
      <c r="CH28">
        <v>5</v>
      </c>
      <c r="CI28">
        <v>1.4</v>
      </c>
      <c r="CJ28">
        <v>8.11</v>
      </c>
      <c r="CK28">
        <v>5.08</v>
      </c>
      <c r="CL28">
        <v>1.41</v>
      </c>
      <c r="CM28">
        <v>8.11</v>
      </c>
      <c r="CN28">
        <v>5.4</v>
      </c>
      <c r="CO28">
        <v>1.46</v>
      </c>
      <c r="CP28">
        <v>7.32</v>
      </c>
      <c r="CQ28">
        <v>5.14</v>
      </c>
      <c r="CR28">
        <v>1.4</v>
      </c>
      <c r="CS28">
        <v>8</v>
      </c>
      <c r="CT28">
        <v>5.4</v>
      </c>
      <c r="CU28">
        <v>1.43</v>
      </c>
      <c r="CV28">
        <v>1.53</v>
      </c>
      <c r="CW28">
        <v>2.5</v>
      </c>
      <c r="CX28">
        <v>1.56</v>
      </c>
      <c r="CY28">
        <v>2.57</v>
      </c>
      <c r="CZ28">
        <v>1.58</v>
      </c>
      <c r="DA28">
        <v>2.73</v>
      </c>
      <c r="DB28">
        <v>1.51</v>
      </c>
      <c r="DC28">
        <v>2.58</v>
      </c>
      <c r="DD28">
        <v>1.6</v>
      </c>
      <c r="DE28">
        <v>2.64</v>
      </c>
      <c r="DF28">
        <v>1.25</v>
      </c>
      <c r="DG28">
        <v>1.98</v>
      </c>
      <c r="DH28">
        <v>1.95</v>
      </c>
      <c r="DI28">
        <v>1.99</v>
      </c>
      <c r="DJ28">
        <v>1.93</v>
      </c>
      <c r="DK28">
        <v>2.0499999999999998</v>
      </c>
      <c r="DL28">
        <v>1.95</v>
      </c>
      <c r="DM28">
        <v>1.99</v>
      </c>
      <c r="DN28">
        <v>1.87</v>
      </c>
      <c r="DO28">
        <v>2.0299999999999998</v>
      </c>
      <c r="DP28">
        <v>1.94</v>
      </c>
    </row>
    <row r="29" spans="1:120" x14ac:dyDescent="0.3">
      <c r="A29" t="s">
        <v>120</v>
      </c>
      <c r="B29" s="2">
        <v>45300</v>
      </c>
      <c r="C29" s="1">
        <v>0.5625</v>
      </c>
      <c r="D29" t="s">
        <v>151</v>
      </c>
      <c r="E29" t="s">
        <v>149</v>
      </c>
      <c r="F29">
        <v>1</v>
      </c>
      <c r="G29">
        <v>1</v>
      </c>
      <c r="H29" t="s">
        <v>125</v>
      </c>
      <c r="I29">
        <v>1</v>
      </c>
      <c r="J29">
        <v>0</v>
      </c>
      <c r="K29" t="s">
        <v>124</v>
      </c>
      <c r="L29" t="s">
        <v>134</v>
      </c>
      <c r="M29">
        <v>13</v>
      </c>
      <c r="N29">
        <v>9</v>
      </c>
      <c r="O29">
        <v>7</v>
      </c>
      <c r="P29">
        <v>3</v>
      </c>
      <c r="Q29">
        <v>9</v>
      </c>
      <c r="R29">
        <v>13</v>
      </c>
      <c r="S29">
        <v>4</v>
      </c>
      <c r="T29">
        <v>5</v>
      </c>
      <c r="U29">
        <v>4</v>
      </c>
      <c r="V29">
        <v>2</v>
      </c>
      <c r="W29">
        <v>0</v>
      </c>
      <c r="X29">
        <v>0</v>
      </c>
      <c r="Y29">
        <v>1.6</v>
      </c>
      <c r="Z29">
        <v>4.33</v>
      </c>
      <c r="AA29">
        <v>5</v>
      </c>
      <c r="AB29">
        <v>1.6</v>
      </c>
      <c r="AC29">
        <v>4.4000000000000004</v>
      </c>
      <c r="AD29">
        <v>5</v>
      </c>
      <c r="AE29">
        <v>1.6</v>
      </c>
      <c r="AF29">
        <v>4.4000000000000004</v>
      </c>
      <c r="AG29">
        <v>5</v>
      </c>
      <c r="AH29">
        <v>1.63</v>
      </c>
      <c r="AI29">
        <v>4.4000000000000004</v>
      </c>
      <c r="AJ29">
        <v>5.0599999999999996</v>
      </c>
      <c r="AK29">
        <v>1.65</v>
      </c>
      <c r="AL29">
        <v>4.33</v>
      </c>
      <c r="AM29">
        <v>5</v>
      </c>
      <c r="AN29">
        <v>1.66</v>
      </c>
      <c r="AO29">
        <v>4.5199999999999996</v>
      </c>
      <c r="AP29">
        <v>4.9800000000000004</v>
      </c>
      <c r="AQ29">
        <v>1.68</v>
      </c>
      <c r="AR29">
        <v>4.55</v>
      </c>
      <c r="AS29">
        <v>5.2</v>
      </c>
      <c r="AT29">
        <v>1.63</v>
      </c>
      <c r="AU29">
        <v>4.4000000000000004</v>
      </c>
      <c r="AV29">
        <v>5.01</v>
      </c>
      <c r="AW29">
        <v>1.65</v>
      </c>
      <c r="AX29">
        <v>4.5999999999999996</v>
      </c>
      <c r="AY29">
        <v>5.4</v>
      </c>
      <c r="AZ29">
        <v>1.5</v>
      </c>
      <c r="BA29">
        <v>2.63</v>
      </c>
      <c r="BB29">
        <v>1.53</v>
      </c>
      <c r="BC29">
        <v>2.61</v>
      </c>
      <c r="BD29">
        <v>1.55</v>
      </c>
      <c r="BE29">
        <v>2.63</v>
      </c>
      <c r="BF29">
        <v>1.52</v>
      </c>
      <c r="BG29">
        <v>2.56</v>
      </c>
      <c r="BH29">
        <v>1.56</v>
      </c>
      <c r="BI29">
        <v>2.7</v>
      </c>
      <c r="BJ29">
        <v>-1</v>
      </c>
      <c r="BK29">
        <v>2.04</v>
      </c>
      <c r="BL29">
        <v>1.86</v>
      </c>
      <c r="BM29">
        <v>2.08</v>
      </c>
      <c r="BN29">
        <v>1.84</v>
      </c>
      <c r="BO29">
        <v>2.08</v>
      </c>
      <c r="BP29">
        <v>1.92</v>
      </c>
      <c r="BQ29">
        <v>2.0299999999999998</v>
      </c>
      <c r="BR29">
        <v>1.84</v>
      </c>
      <c r="BS29">
        <v>2.0299999999999998</v>
      </c>
      <c r="BT29">
        <v>1.9</v>
      </c>
      <c r="BU29">
        <v>1.65</v>
      </c>
      <c r="BV29">
        <v>4.33</v>
      </c>
      <c r="BW29">
        <v>4.75</v>
      </c>
      <c r="BX29">
        <v>1.65</v>
      </c>
      <c r="BY29">
        <v>4.2</v>
      </c>
      <c r="BZ29">
        <v>4.8</v>
      </c>
      <c r="CA29">
        <v>1.62</v>
      </c>
      <c r="CB29">
        <v>4</v>
      </c>
      <c r="CC29">
        <v>5</v>
      </c>
      <c r="CD29">
        <v>1.68</v>
      </c>
      <c r="CE29">
        <v>4.24</v>
      </c>
      <c r="CF29">
        <v>5.05</v>
      </c>
      <c r="CG29">
        <v>1.65</v>
      </c>
      <c r="CH29">
        <v>4.2</v>
      </c>
      <c r="CI29">
        <v>5</v>
      </c>
      <c r="CJ29">
        <v>1.65</v>
      </c>
      <c r="CK29">
        <v>4.4000000000000004</v>
      </c>
      <c r="CL29">
        <v>5.08</v>
      </c>
      <c r="CM29">
        <v>1.69</v>
      </c>
      <c r="CN29">
        <v>4.51</v>
      </c>
      <c r="CO29">
        <v>5.0999999999999996</v>
      </c>
      <c r="CP29">
        <v>1.65</v>
      </c>
      <c r="CQ29">
        <v>4.3</v>
      </c>
      <c r="CR29">
        <v>4.97</v>
      </c>
      <c r="CS29">
        <v>1.69</v>
      </c>
      <c r="CT29">
        <v>4.3</v>
      </c>
      <c r="CU29">
        <v>5.4</v>
      </c>
      <c r="CV29">
        <v>1.53</v>
      </c>
      <c r="CW29">
        <v>2.5</v>
      </c>
      <c r="CX29">
        <v>1.56</v>
      </c>
      <c r="CY29">
        <v>2.5499999999999998</v>
      </c>
      <c r="CZ29">
        <v>1.57</v>
      </c>
      <c r="DA29">
        <v>2.62</v>
      </c>
      <c r="DB29">
        <v>1.54</v>
      </c>
      <c r="DC29">
        <v>2.5299999999999998</v>
      </c>
      <c r="DD29">
        <v>1.59</v>
      </c>
      <c r="DE29">
        <v>2.66</v>
      </c>
      <c r="DF29">
        <v>-0.75</v>
      </c>
      <c r="DG29">
        <v>1.83</v>
      </c>
      <c r="DH29">
        <v>2.1</v>
      </c>
      <c r="DI29">
        <v>1.85</v>
      </c>
      <c r="DJ29">
        <v>2.08</v>
      </c>
      <c r="DK29">
        <v>1.85</v>
      </c>
      <c r="DL29">
        <v>2.14</v>
      </c>
      <c r="DM29">
        <v>1.8</v>
      </c>
      <c r="DN29">
        <v>2.08</v>
      </c>
      <c r="DO29">
        <v>1.87</v>
      </c>
      <c r="DP29">
        <v>2.13</v>
      </c>
    </row>
    <row r="30" spans="1:120" x14ac:dyDescent="0.3">
      <c r="A30" t="s">
        <v>120</v>
      </c>
      <c r="B30" s="2">
        <v>45300</v>
      </c>
      <c r="C30" s="1">
        <v>0.5625</v>
      </c>
      <c r="D30" t="s">
        <v>138</v>
      </c>
      <c r="E30" t="s">
        <v>156</v>
      </c>
      <c r="F30">
        <v>2</v>
      </c>
      <c r="G30">
        <v>1</v>
      </c>
      <c r="H30" t="s">
        <v>124</v>
      </c>
      <c r="I30">
        <v>1</v>
      </c>
      <c r="J30">
        <v>0</v>
      </c>
      <c r="K30" t="s">
        <v>124</v>
      </c>
      <c r="L30" t="s">
        <v>126</v>
      </c>
      <c r="M30">
        <v>9</v>
      </c>
      <c r="N30">
        <v>20</v>
      </c>
      <c r="O30">
        <v>3</v>
      </c>
      <c r="P30">
        <v>6</v>
      </c>
      <c r="Q30">
        <v>16</v>
      </c>
      <c r="R30">
        <v>13</v>
      </c>
      <c r="S30">
        <v>7</v>
      </c>
      <c r="T30">
        <v>12</v>
      </c>
      <c r="U30">
        <v>4</v>
      </c>
      <c r="V30">
        <v>4</v>
      </c>
      <c r="W30">
        <v>0</v>
      </c>
      <c r="X30">
        <v>0</v>
      </c>
      <c r="Y30">
        <v>2.5</v>
      </c>
      <c r="Z30">
        <v>4</v>
      </c>
      <c r="AA30">
        <v>2.5</v>
      </c>
      <c r="AB30">
        <v>2.4500000000000002</v>
      </c>
      <c r="AC30">
        <v>4</v>
      </c>
      <c r="AD30">
        <v>2.5499999999999998</v>
      </c>
      <c r="AE30">
        <v>2.5</v>
      </c>
      <c r="AF30">
        <v>3.9</v>
      </c>
      <c r="AG30">
        <v>2.5499999999999998</v>
      </c>
      <c r="AH30">
        <v>2.5</v>
      </c>
      <c r="AI30">
        <v>3.96</v>
      </c>
      <c r="AJ30">
        <v>2.62</v>
      </c>
      <c r="AK30">
        <v>2.5</v>
      </c>
      <c r="AL30">
        <v>4</v>
      </c>
      <c r="AM30">
        <v>2.5</v>
      </c>
      <c r="AN30">
        <v>2.54</v>
      </c>
      <c r="AO30">
        <v>4.12</v>
      </c>
      <c r="AP30">
        <v>2.56</v>
      </c>
      <c r="AQ30">
        <v>2.56</v>
      </c>
      <c r="AR30">
        <v>4.12</v>
      </c>
      <c r="AS30">
        <v>2.63</v>
      </c>
      <c r="AT30">
        <v>2.5099999999999998</v>
      </c>
      <c r="AU30">
        <v>3.97</v>
      </c>
      <c r="AV30">
        <v>2.56</v>
      </c>
      <c r="AW30">
        <v>2.62</v>
      </c>
      <c r="AX30">
        <v>4</v>
      </c>
      <c r="AY30">
        <v>2.66</v>
      </c>
      <c r="AZ30">
        <v>1.36</v>
      </c>
      <c r="BA30">
        <v>3.2</v>
      </c>
      <c r="BB30">
        <v>1.41</v>
      </c>
      <c r="BC30">
        <v>3.04</v>
      </c>
      <c r="BD30">
        <v>1.41</v>
      </c>
      <c r="BE30">
        <v>3.22</v>
      </c>
      <c r="BF30">
        <v>1.38</v>
      </c>
      <c r="BG30">
        <v>3.07</v>
      </c>
      <c r="BH30">
        <v>1.42</v>
      </c>
      <c r="BI30">
        <v>3.25</v>
      </c>
      <c r="BJ30">
        <v>0</v>
      </c>
      <c r="BK30">
        <v>1.95</v>
      </c>
      <c r="BL30">
        <v>1.95</v>
      </c>
      <c r="BM30">
        <v>1.91</v>
      </c>
      <c r="BN30">
        <v>2</v>
      </c>
      <c r="BO30">
        <v>1.97</v>
      </c>
      <c r="BP30">
        <v>2</v>
      </c>
      <c r="BQ30">
        <v>1.93</v>
      </c>
      <c r="BR30">
        <v>1.94</v>
      </c>
      <c r="BS30">
        <v>1.97</v>
      </c>
      <c r="BT30">
        <v>2</v>
      </c>
      <c r="BU30">
        <v>2.4500000000000002</v>
      </c>
      <c r="BV30">
        <v>3.9</v>
      </c>
      <c r="BW30">
        <v>2.5499999999999998</v>
      </c>
      <c r="BX30">
        <v>2.4</v>
      </c>
      <c r="BY30">
        <v>3.8</v>
      </c>
      <c r="BZ30">
        <v>2.7</v>
      </c>
      <c r="CA30">
        <v>2.4500000000000002</v>
      </c>
      <c r="CB30">
        <v>3.75</v>
      </c>
      <c r="CC30">
        <v>2.6</v>
      </c>
      <c r="CD30">
        <v>2.5299999999999998</v>
      </c>
      <c r="CE30">
        <v>3.89</v>
      </c>
      <c r="CF30">
        <v>2.66</v>
      </c>
      <c r="CG30">
        <v>2.4500000000000002</v>
      </c>
      <c r="CH30">
        <v>3.9</v>
      </c>
      <c r="CI30">
        <v>2.6</v>
      </c>
      <c r="CJ30">
        <v>2.6</v>
      </c>
      <c r="CK30">
        <v>4</v>
      </c>
      <c r="CL30">
        <v>2.5299999999999998</v>
      </c>
      <c r="CM30">
        <v>2.6</v>
      </c>
      <c r="CN30">
        <v>4</v>
      </c>
      <c r="CO30">
        <v>2.79</v>
      </c>
      <c r="CP30">
        <v>2.46</v>
      </c>
      <c r="CQ30">
        <v>3.89</v>
      </c>
      <c r="CR30">
        <v>2.64</v>
      </c>
      <c r="CS30">
        <v>2.58</v>
      </c>
      <c r="CT30">
        <v>4</v>
      </c>
      <c r="CU30">
        <v>2.72</v>
      </c>
      <c r="CV30">
        <v>1.4</v>
      </c>
      <c r="CW30">
        <v>3</v>
      </c>
      <c r="CX30">
        <v>1.42</v>
      </c>
      <c r="CY30">
        <v>3</v>
      </c>
      <c r="CZ30">
        <v>1.42</v>
      </c>
      <c r="DA30">
        <v>3.14</v>
      </c>
      <c r="DB30">
        <v>1.4</v>
      </c>
      <c r="DC30">
        <v>3.01</v>
      </c>
      <c r="DD30">
        <v>1.43</v>
      </c>
      <c r="DE30">
        <v>3.25</v>
      </c>
      <c r="DF30">
        <v>0</v>
      </c>
      <c r="DG30">
        <v>1.89</v>
      </c>
      <c r="DH30">
        <v>2.04</v>
      </c>
      <c r="DI30">
        <v>1.92</v>
      </c>
      <c r="DJ30">
        <v>2.0099999999999998</v>
      </c>
      <c r="DK30">
        <v>1.92</v>
      </c>
      <c r="DL30">
        <v>2.0699999999999998</v>
      </c>
      <c r="DM30">
        <v>1.88</v>
      </c>
      <c r="DN30">
        <v>2</v>
      </c>
      <c r="DO30">
        <v>1.93</v>
      </c>
      <c r="DP30">
        <v>2.0499999999999998</v>
      </c>
    </row>
    <row r="31" spans="1:120" x14ac:dyDescent="0.3">
      <c r="A31" t="s">
        <v>120</v>
      </c>
      <c r="B31" s="2">
        <v>45300</v>
      </c>
      <c r="C31" s="1">
        <v>0.66666666666666663</v>
      </c>
      <c r="D31" t="s">
        <v>122</v>
      </c>
      <c r="E31" t="s">
        <v>129</v>
      </c>
      <c r="F31">
        <v>0</v>
      </c>
      <c r="G31">
        <v>3</v>
      </c>
      <c r="H31" t="s">
        <v>130</v>
      </c>
      <c r="I31">
        <v>0</v>
      </c>
      <c r="J31">
        <v>2</v>
      </c>
      <c r="K31" t="s">
        <v>130</v>
      </c>
      <c r="L31" t="s">
        <v>153</v>
      </c>
      <c r="M31">
        <v>8</v>
      </c>
      <c r="N31">
        <v>11</v>
      </c>
      <c r="O31">
        <v>3</v>
      </c>
      <c r="P31">
        <v>3</v>
      </c>
      <c r="Q31">
        <v>7</v>
      </c>
      <c r="R31">
        <v>7</v>
      </c>
      <c r="S31">
        <v>5</v>
      </c>
      <c r="T31">
        <v>2</v>
      </c>
      <c r="U31">
        <v>4</v>
      </c>
      <c r="V31">
        <v>1</v>
      </c>
      <c r="W31">
        <v>0</v>
      </c>
      <c r="X31">
        <v>0</v>
      </c>
      <c r="Y31">
        <v>3.7</v>
      </c>
      <c r="Z31">
        <v>4.2</v>
      </c>
      <c r="AA31">
        <v>1.85</v>
      </c>
      <c r="AB31">
        <v>3.7</v>
      </c>
      <c r="AC31">
        <v>4.0999999999999996</v>
      </c>
      <c r="AD31">
        <v>1.87</v>
      </c>
      <c r="AE31">
        <v>3.9</v>
      </c>
      <c r="AF31">
        <v>4.0999999999999996</v>
      </c>
      <c r="AG31">
        <v>1.85</v>
      </c>
      <c r="AH31">
        <v>3.93</v>
      </c>
      <c r="AI31">
        <v>4.3099999999999996</v>
      </c>
      <c r="AJ31">
        <v>1.82</v>
      </c>
      <c r="AK31">
        <v>3.8</v>
      </c>
      <c r="AL31">
        <v>4.2</v>
      </c>
      <c r="AM31">
        <v>1.85</v>
      </c>
      <c r="AN31">
        <v>3.98</v>
      </c>
      <c r="AO31">
        <v>4.17</v>
      </c>
      <c r="AP31">
        <v>1.87</v>
      </c>
      <c r="AQ31">
        <v>4</v>
      </c>
      <c r="AR31">
        <v>4.4000000000000004</v>
      </c>
      <c r="AS31">
        <v>1.9</v>
      </c>
      <c r="AT31">
        <v>3.82</v>
      </c>
      <c r="AU31">
        <v>4.2</v>
      </c>
      <c r="AV31">
        <v>1.85</v>
      </c>
      <c r="AW31">
        <v>4</v>
      </c>
      <c r="AX31">
        <v>4.3</v>
      </c>
      <c r="AY31">
        <v>1.9</v>
      </c>
      <c r="AZ31">
        <v>1.44</v>
      </c>
      <c r="BA31">
        <v>2.75</v>
      </c>
      <c r="BB31">
        <v>1.44</v>
      </c>
      <c r="BC31">
        <v>2.89</v>
      </c>
      <c r="BD31">
        <v>1.45</v>
      </c>
      <c r="BE31">
        <v>3.02</v>
      </c>
      <c r="BF31">
        <v>1.43</v>
      </c>
      <c r="BG31">
        <v>2.84</v>
      </c>
      <c r="BH31">
        <v>1.49</v>
      </c>
      <c r="BI31">
        <v>3</v>
      </c>
      <c r="BJ31">
        <v>0.5</v>
      </c>
      <c r="BK31">
        <v>2.04</v>
      </c>
      <c r="BL31">
        <v>1.86</v>
      </c>
      <c r="BM31">
        <v>2.08</v>
      </c>
      <c r="BN31">
        <v>1.82</v>
      </c>
      <c r="BO31">
        <v>2.1</v>
      </c>
      <c r="BP31">
        <v>1.9</v>
      </c>
      <c r="BQ31">
        <v>2.02</v>
      </c>
      <c r="BR31">
        <v>1.84</v>
      </c>
      <c r="BS31">
        <v>2.08</v>
      </c>
      <c r="BT31">
        <v>1.9</v>
      </c>
      <c r="BU31">
        <v>3.5</v>
      </c>
      <c r="BV31">
        <v>4.0999999999999996</v>
      </c>
      <c r="BW31">
        <v>1.91</v>
      </c>
      <c r="BX31">
        <v>3.5</v>
      </c>
      <c r="BY31">
        <v>3.9</v>
      </c>
      <c r="BZ31">
        <v>1.95</v>
      </c>
      <c r="CA31">
        <v>3.5</v>
      </c>
      <c r="CB31">
        <v>3.9</v>
      </c>
      <c r="CC31">
        <v>1.91</v>
      </c>
      <c r="CD31">
        <v>3.51</v>
      </c>
      <c r="CE31">
        <v>4.1100000000000003</v>
      </c>
      <c r="CF31">
        <v>2</v>
      </c>
      <c r="CG31">
        <v>3.6</v>
      </c>
      <c r="CH31">
        <v>3.9</v>
      </c>
      <c r="CI31">
        <v>1.95</v>
      </c>
      <c r="CJ31">
        <v>3.76</v>
      </c>
      <c r="CK31">
        <v>4.1900000000000004</v>
      </c>
      <c r="CL31">
        <v>1.9</v>
      </c>
      <c r="CM31">
        <v>3.76</v>
      </c>
      <c r="CN31">
        <v>4.1900000000000004</v>
      </c>
      <c r="CO31">
        <v>2</v>
      </c>
      <c r="CP31">
        <v>3.56</v>
      </c>
      <c r="CQ31">
        <v>4.04</v>
      </c>
      <c r="CR31">
        <v>1.95</v>
      </c>
      <c r="CS31">
        <v>3.7</v>
      </c>
      <c r="CT31">
        <v>4.2</v>
      </c>
      <c r="CU31">
        <v>2</v>
      </c>
      <c r="CV31">
        <v>1.44</v>
      </c>
      <c r="CW31">
        <v>2.75</v>
      </c>
      <c r="CX31">
        <v>1.46</v>
      </c>
      <c r="CY31">
        <v>2.86</v>
      </c>
      <c r="CZ31">
        <v>1.52</v>
      </c>
      <c r="DA31">
        <v>2.87</v>
      </c>
      <c r="DB31">
        <v>1.45</v>
      </c>
      <c r="DC31">
        <v>2.75</v>
      </c>
      <c r="DD31">
        <v>1.5</v>
      </c>
      <c r="DE31">
        <v>2.98</v>
      </c>
      <c r="DF31">
        <v>0.5</v>
      </c>
      <c r="DG31">
        <v>1.94</v>
      </c>
      <c r="DH31">
        <v>1.99</v>
      </c>
      <c r="DI31">
        <v>1.92</v>
      </c>
      <c r="DJ31">
        <v>2.0099999999999998</v>
      </c>
      <c r="DK31">
        <v>1.94</v>
      </c>
      <c r="DL31">
        <v>2.0099999999999998</v>
      </c>
      <c r="DM31">
        <v>1.91</v>
      </c>
      <c r="DN31">
        <v>1.94</v>
      </c>
      <c r="DO31">
        <v>1.97</v>
      </c>
      <c r="DP31">
        <v>2.02</v>
      </c>
    </row>
    <row r="32" spans="1:120" x14ac:dyDescent="0.3">
      <c r="A32" t="s">
        <v>120</v>
      </c>
      <c r="B32" t="s">
        <v>168</v>
      </c>
      <c r="C32" s="1">
        <v>0.52083333333333337</v>
      </c>
      <c r="D32" t="s">
        <v>139</v>
      </c>
      <c r="E32" t="s">
        <v>122</v>
      </c>
      <c r="F32">
        <v>0</v>
      </c>
      <c r="G32">
        <v>3</v>
      </c>
      <c r="H32" t="s">
        <v>130</v>
      </c>
      <c r="I32">
        <v>0</v>
      </c>
      <c r="J32">
        <v>2</v>
      </c>
      <c r="K32" t="s">
        <v>130</v>
      </c>
      <c r="L32" t="s">
        <v>164</v>
      </c>
      <c r="M32">
        <v>6</v>
      </c>
      <c r="N32">
        <v>20</v>
      </c>
      <c r="O32">
        <v>4</v>
      </c>
      <c r="P32">
        <v>10</v>
      </c>
      <c r="Q32">
        <v>11</v>
      </c>
      <c r="R32">
        <v>14</v>
      </c>
      <c r="S32">
        <v>0</v>
      </c>
      <c r="T32">
        <v>7</v>
      </c>
      <c r="U32">
        <v>1</v>
      </c>
      <c r="V32">
        <v>4</v>
      </c>
      <c r="W32">
        <v>1</v>
      </c>
      <c r="X32">
        <v>0</v>
      </c>
      <c r="Y32">
        <v>4.5</v>
      </c>
      <c r="Z32">
        <v>4</v>
      </c>
      <c r="AA32">
        <v>1.7</v>
      </c>
      <c r="AB32">
        <v>4.5</v>
      </c>
      <c r="AC32">
        <v>4</v>
      </c>
      <c r="AD32">
        <v>1.73</v>
      </c>
      <c r="AE32">
        <v>4.5999999999999996</v>
      </c>
      <c r="AF32">
        <v>3.9</v>
      </c>
      <c r="AG32">
        <v>1.75</v>
      </c>
      <c r="AH32">
        <v>4.5</v>
      </c>
      <c r="AI32">
        <v>4.13</v>
      </c>
      <c r="AJ32">
        <v>1.74</v>
      </c>
      <c r="AK32">
        <v>4.75</v>
      </c>
      <c r="AL32">
        <v>3.8</v>
      </c>
      <c r="AM32">
        <v>1.75</v>
      </c>
      <c r="AN32">
        <v>4.83</v>
      </c>
      <c r="AO32">
        <v>3.85</v>
      </c>
      <c r="AP32">
        <v>1.79</v>
      </c>
      <c r="AQ32">
        <v>4.83</v>
      </c>
      <c r="AR32">
        <v>4.2</v>
      </c>
      <c r="AS32">
        <v>1.79</v>
      </c>
      <c r="AT32">
        <v>4.5599999999999996</v>
      </c>
      <c r="AU32">
        <v>4.04</v>
      </c>
      <c r="AV32">
        <v>1.74</v>
      </c>
      <c r="AW32">
        <v>4.9000000000000004</v>
      </c>
      <c r="AX32">
        <v>4.2</v>
      </c>
      <c r="AY32">
        <v>1.78</v>
      </c>
      <c r="AZ32">
        <v>1.62</v>
      </c>
      <c r="BA32">
        <v>2.2999999999999998</v>
      </c>
      <c r="BB32">
        <v>1.6</v>
      </c>
      <c r="BC32">
        <v>2.41</v>
      </c>
      <c r="BD32">
        <v>1.67</v>
      </c>
      <c r="BE32">
        <v>2.4500000000000002</v>
      </c>
      <c r="BF32">
        <v>1.61</v>
      </c>
      <c r="BG32">
        <v>2.36</v>
      </c>
      <c r="BH32">
        <v>1.65</v>
      </c>
      <c r="BI32">
        <v>2.5</v>
      </c>
      <c r="BJ32">
        <v>0.75</v>
      </c>
      <c r="BK32">
        <v>1.95</v>
      </c>
      <c r="BL32">
        <v>1.95</v>
      </c>
      <c r="BM32">
        <v>1.94</v>
      </c>
      <c r="BN32">
        <v>1.94</v>
      </c>
      <c r="BO32">
        <v>2.02</v>
      </c>
      <c r="BP32">
        <v>1.96</v>
      </c>
      <c r="BQ32">
        <v>1.93</v>
      </c>
      <c r="BR32">
        <v>1.92</v>
      </c>
      <c r="BS32">
        <v>1.99</v>
      </c>
      <c r="BT32">
        <v>1.97</v>
      </c>
      <c r="BU32">
        <v>4</v>
      </c>
      <c r="BV32">
        <v>4.0999999999999996</v>
      </c>
      <c r="BW32">
        <v>1.8</v>
      </c>
      <c r="BX32">
        <v>4</v>
      </c>
      <c r="BY32">
        <v>4</v>
      </c>
      <c r="BZ32">
        <v>1.82</v>
      </c>
      <c r="CA32">
        <v>4.5</v>
      </c>
      <c r="CB32">
        <v>4</v>
      </c>
      <c r="CC32">
        <v>1.75</v>
      </c>
      <c r="CD32">
        <v>4.2</v>
      </c>
      <c r="CE32">
        <v>4.12</v>
      </c>
      <c r="CF32">
        <v>1.82</v>
      </c>
      <c r="CG32">
        <v>4</v>
      </c>
      <c r="CH32">
        <v>4</v>
      </c>
      <c r="CI32">
        <v>1.83</v>
      </c>
      <c r="CJ32">
        <v>4.33</v>
      </c>
      <c r="CK32">
        <v>4.17</v>
      </c>
      <c r="CL32">
        <v>1.78</v>
      </c>
      <c r="CM32">
        <v>4.5</v>
      </c>
      <c r="CN32">
        <v>4.17</v>
      </c>
      <c r="CO32">
        <v>1.88</v>
      </c>
      <c r="CP32">
        <v>4.1900000000000004</v>
      </c>
      <c r="CQ32">
        <v>4.05</v>
      </c>
      <c r="CR32">
        <v>1.8</v>
      </c>
      <c r="CS32">
        <v>4.2</v>
      </c>
      <c r="CT32">
        <v>4.2</v>
      </c>
      <c r="CU32">
        <v>1.88</v>
      </c>
      <c r="CV32">
        <v>1.53</v>
      </c>
      <c r="CW32">
        <v>2.5</v>
      </c>
      <c r="CX32">
        <v>1.56</v>
      </c>
      <c r="CY32">
        <v>2.5499999999999998</v>
      </c>
      <c r="CZ32">
        <v>1.6</v>
      </c>
      <c r="DA32">
        <v>2.56</v>
      </c>
      <c r="DB32">
        <v>1.57</v>
      </c>
      <c r="DC32">
        <v>2.46</v>
      </c>
      <c r="DD32">
        <v>1.61</v>
      </c>
      <c r="DE32">
        <v>2.62</v>
      </c>
      <c r="DF32">
        <v>0.75</v>
      </c>
      <c r="DG32">
        <v>1.87</v>
      </c>
      <c r="DH32">
        <v>2.06</v>
      </c>
      <c r="DI32">
        <v>1.88</v>
      </c>
      <c r="DJ32">
        <v>2.06</v>
      </c>
      <c r="DK32">
        <v>1.91</v>
      </c>
      <c r="DL32">
        <v>2.09</v>
      </c>
      <c r="DM32">
        <v>1.86</v>
      </c>
      <c r="DN32">
        <v>2.0099999999999998</v>
      </c>
      <c r="DO32">
        <v>1.89</v>
      </c>
      <c r="DP32">
        <v>2.11</v>
      </c>
    </row>
    <row r="33" spans="1:120" x14ac:dyDescent="0.3">
      <c r="A33" t="s">
        <v>120</v>
      </c>
      <c r="B33" t="s">
        <v>168</v>
      </c>
      <c r="C33" s="1">
        <v>0.625</v>
      </c>
      <c r="D33" t="s">
        <v>136</v>
      </c>
      <c r="E33" t="s">
        <v>128</v>
      </c>
      <c r="F33">
        <v>0</v>
      </c>
      <c r="G33">
        <v>0</v>
      </c>
      <c r="H33" t="s">
        <v>125</v>
      </c>
      <c r="I33">
        <v>0</v>
      </c>
      <c r="J33">
        <v>0</v>
      </c>
      <c r="K33" t="s">
        <v>125</v>
      </c>
      <c r="L33" t="s">
        <v>150</v>
      </c>
      <c r="M33">
        <v>21</v>
      </c>
      <c r="N33">
        <v>6</v>
      </c>
      <c r="O33">
        <v>6</v>
      </c>
      <c r="P33">
        <v>1</v>
      </c>
      <c r="Q33">
        <v>14</v>
      </c>
      <c r="R33">
        <v>16</v>
      </c>
      <c r="S33">
        <v>9</v>
      </c>
      <c r="T33">
        <v>2</v>
      </c>
      <c r="U33">
        <v>4</v>
      </c>
      <c r="V33">
        <v>3</v>
      </c>
      <c r="W33">
        <v>0</v>
      </c>
      <c r="X33">
        <v>0</v>
      </c>
      <c r="Y33">
        <v>1.38</v>
      </c>
      <c r="Z33">
        <v>5</v>
      </c>
      <c r="AA33">
        <v>7.5</v>
      </c>
      <c r="AB33">
        <v>1.38</v>
      </c>
      <c r="AC33">
        <v>5.25</v>
      </c>
      <c r="AD33">
        <v>7.75</v>
      </c>
      <c r="AE33">
        <v>1.36</v>
      </c>
      <c r="AF33">
        <v>5</v>
      </c>
      <c r="AG33">
        <v>8.5</v>
      </c>
      <c r="AH33">
        <v>1.38</v>
      </c>
      <c r="AI33">
        <v>5.13</v>
      </c>
      <c r="AJ33">
        <v>8.0500000000000007</v>
      </c>
      <c r="AK33">
        <v>1.4</v>
      </c>
      <c r="AL33">
        <v>5</v>
      </c>
      <c r="AM33">
        <v>8</v>
      </c>
      <c r="AN33">
        <v>1.41</v>
      </c>
      <c r="AO33">
        <v>5.24</v>
      </c>
      <c r="AP33">
        <v>7.8</v>
      </c>
      <c r="AQ33">
        <v>1.41</v>
      </c>
      <c r="AR33">
        <v>5.4</v>
      </c>
      <c r="AS33">
        <v>8.5</v>
      </c>
      <c r="AT33">
        <v>1.38</v>
      </c>
      <c r="AU33">
        <v>5.16</v>
      </c>
      <c r="AV33">
        <v>7.89</v>
      </c>
      <c r="AW33">
        <v>1.4</v>
      </c>
      <c r="AX33">
        <v>5.6</v>
      </c>
      <c r="AY33">
        <v>9</v>
      </c>
      <c r="AZ33">
        <v>1.53</v>
      </c>
      <c r="BA33">
        <v>2.5</v>
      </c>
      <c r="BB33">
        <v>1.56</v>
      </c>
      <c r="BC33">
        <v>2.4900000000000002</v>
      </c>
      <c r="BD33">
        <v>1.59</v>
      </c>
      <c r="BE33">
        <v>2.52</v>
      </c>
      <c r="BF33">
        <v>1.56</v>
      </c>
      <c r="BG33">
        <v>2.46</v>
      </c>
      <c r="BH33">
        <v>1.59</v>
      </c>
      <c r="BI33">
        <v>2.66</v>
      </c>
      <c r="BJ33">
        <v>-1.5</v>
      </c>
      <c r="BK33">
        <v>2.0299999999999998</v>
      </c>
      <c r="BL33">
        <v>1.78</v>
      </c>
      <c r="BM33">
        <v>2.09</v>
      </c>
      <c r="BN33">
        <v>1.79</v>
      </c>
      <c r="BO33">
        <v>2.12</v>
      </c>
      <c r="BP33">
        <v>1.83</v>
      </c>
      <c r="BQ33">
        <v>2.0699999999999998</v>
      </c>
      <c r="BR33">
        <v>1.8</v>
      </c>
      <c r="BS33">
        <v>2.13</v>
      </c>
      <c r="BT33">
        <v>1.83</v>
      </c>
      <c r="BU33">
        <v>1.45</v>
      </c>
      <c r="BV33">
        <v>4.75</v>
      </c>
      <c r="BW33">
        <v>6.5</v>
      </c>
      <c r="BX33">
        <v>1.5</v>
      </c>
      <c r="BY33">
        <v>4.5999999999999996</v>
      </c>
      <c r="BZ33">
        <v>6</v>
      </c>
      <c r="CA33">
        <v>1.44</v>
      </c>
      <c r="CB33">
        <v>4.5</v>
      </c>
      <c r="CC33">
        <v>6.5</v>
      </c>
      <c r="CD33">
        <v>1.53</v>
      </c>
      <c r="CE33">
        <v>4.6100000000000003</v>
      </c>
      <c r="CF33">
        <v>6.22</v>
      </c>
      <c r="CG33">
        <v>1.44</v>
      </c>
      <c r="CH33">
        <v>4.75</v>
      </c>
      <c r="CI33">
        <v>7</v>
      </c>
      <c r="CJ33">
        <v>1.47</v>
      </c>
      <c r="CK33">
        <v>4.8600000000000003</v>
      </c>
      <c r="CL33">
        <v>6.92</v>
      </c>
      <c r="CM33">
        <v>1.54</v>
      </c>
      <c r="CN33">
        <v>4.9000000000000004</v>
      </c>
      <c r="CO33">
        <v>7</v>
      </c>
      <c r="CP33">
        <v>1.48</v>
      </c>
      <c r="CQ33">
        <v>4.7</v>
      </c>
      <c r="CR33">
        <v>6.48</v>
      </c>
      <c r="CS33">
        <v>1.51</v>
      </c>
      <c r="CT33">
        <v>4.9000000000000004</v>
      </c>
      <c r="CU33">
        <v>7</v>
      </c>
      <c r="CV33">
        <v>1.62</v>
      </c>
      <c r="CW33">
        <v>2.2999999999999998</v>
      </c>
      <c r="CX33">
        <v>1.68</v>
      </c>
      <c r="CY33">
        <v>2.2999999999999998</v>
      </c>
      <c r="CZ33">
        <v>1.68</v>
      </c>
      <c r="DA33">
        <v>2.41</v>
      </c>
      <c r="DB33">
        <v>1.62</v>
      </c>
      <c r="DC33">
        <v>2.34</v>
      </c>
      <c r="DD33">
        <v>1.66</v>
      </c>
      <c r="DE33">
        <v>2.48</v>
      </c>
      <c r="DF33">
        <v>-1</v>
      </c>
      <c r="DG33">
        <v>1.87</v>
      </c>
      <c r="DH33">
        <v>2.06</v>
      </c>
      <c r="DI33">
        <v>1.89</v>
      </c>
      <c r="DJ33">
        <v>2.04</v>
      </c>
      <c r="DK33">
        <v>1.89</v>
      </c>
      <c r="DL33">
        <v>2.16</v>
      </c>
      <c r="DM33">
        <v>1.8</v>
      </c>
      <c r="DN33">
        <v>2.1</v>
      </c>
      <c r="DO33">
        <v>1.83</v>
      </c>
      <c r="DP33">
        <v>2.19</v>
      </c>
    </row>
    <row r="34" spans="1:120" x14ac:dyDescent="0.3">
      <c r="A34" t="s">
        <v>120</v>
      </c>
      <c r="B34" t="s">
        <v>168</v>
      </c>
      <c r="C34" s="1">
        <v>0.625</v>
      </c>
      <c r="D34" t="s">
        <v>149</v>
      </c>
      <c r="E34" t="s">
        <v>155</v>
      </c>
      <c r="F34">
        <v>2</v>
      </c>
      <c r="G34">
        <v>2</v>
      </c>
      <c r="H34" t="s">
        <v>125</v>
      </c>
      <c r="I34">
        <v>0</v>
      </c>
      <c r="J34">
        <v>1</v>
      </c>
      <c r="K34" t="s">
        <v>130</v>
      </c>
      <c r="L34" t="s">
        <v>146</v>
      </c>
      <c r="M34">
        <v>20</v>
      </c>
      <c r="N34">
        <v>9</v>
      </c>
      <c r="O34">
        <v>4</v>
      </c>
      <c r="P34">
        <v>4</v>
      </c>
      <c r="Q34">
        <v>11</v>
      </c>
      <c r="R34">
        <v>15</v>
      </c>
      <c r="S34">
        <v>5</v>
      </c>
      <c r="T34">
        <v>2</v>
      </c>
      <c r="U34">
        <v>0</v>
      </c>
      <c r="V34">
        <v>3</v>
      </c>
      <c r="W34">
        <v>0</v>
      </c>
      <c r="X34">
        <v>0</v>
      </c>
      <c r="Y34">
        <v>1.62</v>
      </c>
      <c r="Z34">
        <v>4</v>
      </c>
      <c r="AA34">
        <v>5.5</v>
      </c>
      <c r="AB34">
        <v>1.62</v>
      </c>
      <c r="AC34">
        <v>4.0999999999999996</v>
      </c>
      <c r="AD34">
        <v>5.25</v>
      </c>
      <c r="AE34">
        <v>1.62</v>
      </c>
      <c r="AF34">
        <v>4</v>
      </c>
      <c r="AG34">
        <v>5.5</v>
      </c>
      <c r="AH34">
        <v>1.62</v>
      </c>
      <c r="AI34">
        <v>4.13</v>
      </c>
      <c r="AJ34">
        <v>5.48</v>
      </c>
      <c r="AK34">
        <v>1.65</v>
      </c>
      <c r="AL34">
        <v>4</v>
      </c>
      <c r="AM34">
        <v>5.5</v>
      </c>
      <c r="AN34">
        <v>1.66</v>
      </c>
      <c r="AO34">
        <v>4.2699999999999996</v>
      </c>
      <c r="AP34">
        <v>5.33</v>
      </c>
      <c r="AQ34">
        <v>1.66</v>
      </c>
      <c r="AR34">
        <v>4.3</v>
      </c>
      <c r="AS34">
        <v>5.6</v>
      </c>
      <c r="AT34">
        <v>1.63</v>
      </c>
      <c r="AU34">
        <v>4.1399999999999997</v>
      </c>
      <c r="AV34">
        <v>5.38</v>
      </c>
      <c r="AW34">
        <v>1.67</v>
      </c>
      <c r="AX34">
        <v>4.3</v>
      </c>
      <c r="AY34">
        <v>5.9</v>
      </c>
      <c r="AZ34">
        <v>1.73</v>
      </c>
      <c r="BA34">
        <v>2.1</v>
      </c>
      <c r="BB34">
        <v>1.76</v>
      </c>
      <c r="BC34">
        <v>2.11</v>
      </c>
      <c r="BD34">
        <v>1.8</v>
      </c>
      <c r="BE34">
        <v>2.17</v>
      </c>
      <c r="BF34">
        <v>1.76</v>
      </c>
      <c r="BG34">
        <v>2.1</v>
      </c>
      <c r="BH34">
        <v>1.79</v>
      </c>
      <c r="BI34">
        <v>2.2000000000000002</v>
      </c>
      <c r="BJ34">
        <v>-1</v>
      </c>
      <c r="BK34">
        <v>2.08</v>
      </c>
      <c r="BL34">
        <v>1.82</v>
      </c>
      <c r="BM34">
        <v>2.09</v>
      </c>
      <c r="BN34">
        <v>1.81</v>
      </c>
      <c r="BO34">
        <v>2.14</v>
      </c>
      <c r="BP34">
        <v>1.84</v>
      </c>
      <c r="BQ34">
        <v>2.0699999999999998</v>
      </c>
      <c r="BR34">
        <v>1.8</v>
      </c>
      <c r="BS34">
        <v>2.13</v>
      </c>
      <c r="BT34">
        <v>1.85</v>
      </c>
      <c r="BU34">
        <v>1.65</v>
      </c>
      <c r="BV34">
        <v>3.9</v>
      </c>
      <c r="BW34">
        <v>5.25</v>
      </c>
      <c r="BX34">
        <v>1.66</v>
      </c>
      <c r="BY34">
        <v>4</v>
      </c>
      <c r="BZ34">
        <v>5.25</v>
      </c>
      <c r="CA34">
        <v>1.57</v>
      </c>
      <c r="CB34">
        <v>4</v>
      </c>
      <c r="CC34">
        <v>5.5</v>
      </c>
      <c r="CD34">
        <v>1.67</v>
      </c>
      <c r="CE34">
        <v>4.0199999999999996</v>
      </c>
      <c r="CF34">
        <v>5.43</v>
      </c>
      <c r="CG34">
        <v>1.65</v>
      </c>
      <c r="CH34">
        <v>4</v>
      </c>
      <c r="CI34">
        <v>5.5</v>
      </c>
      <c r="CJ34">
        <v>1.69</v>
      </c>
      <c r="CK34">
        <v>3.98</v>
      </c>
      <c r="CL34">
        <v>5.36</v>
      </c>
      <c r="CM34">
        <v>1.7</v>
      </c>
      <c r="CN34">
        <v>4.0999999999999996</v>
      </c>
      <c r="CO34">
        <v>5.5</v>
      </c>
      <c r="CP34">
        <v>1.67</v>
      </c>
      <c r="CQ34">
        <v>3.98</v>
      </c>
      <c r="CR34">
        <v>5.27</v>
      </c>
      <c r="CS34">
        <v>1.72</v>
      </c>
      <c r="CT34">
        <v>4</v>
      </c>
      <c r="CU34">
        <v>5.6</v>
      </c>
      <c r="CV34">
        <v>1.88</v>
      </c>
      <c r="CW34">
        <v>2.02</v>
      </c>
      <c r="CX34">
        <v>1.88</v>
      </c>
      <c r="CY34">
        <v>2.0299999999999998</v>
      </c>
      <c r="CZ34">
        <v>1.92</v>
      </c>
      <c r="DA34">
        <v>2.0499999999999998</v>
      </c>
      <c r="DB34">
        <v>1.85</v>
      </c>
      <c r="DC34">
        <v>2</v>
      </c>
      <c r="DD34">
        <v>1.93</v>
      </c>
      <c r="DE34">
        <v>2.06</v>
      </c>
      <c r="DF34">
        <v>-0.75</v>
      </c>
      <c r="DG34">
        <v>1.88</v>
      </c>
      <c r="DH34">
        <v>2.0499999999999998</v>
      </c>
      <c r="DI34">
        <v>1.87</v>
      </c>
      <c r="DJ34">
        <v>2.0699999999999998</v>
      </c>
      <c r="DK34">
        <v>1.92</v>
      </c>
      <c r="DL34">
        <v>2.0699999999999998</v>
      </c>
      <c r="DM34">
        <v>1.85</v>
      </c>
      <c r="DN34">
        <v>2.02</v>
      </c>
      <c r="DO34">
        <v>1.92</v>
      </c>
      <c r="DP34">
        <v>2.06</v>
      </c>
    </row>
    <row r="35" spans="1:120" x14ac:dyDescent="0.3">
      <c r="A35" t="s">
        <v>120</v>
      </c>
      <c r="B35" t="s">
        <v>168</v>
      </c>
      <c r="C35" s="1">
        <v>0.625</v>
      </c>
      <c r="D35" t="s">
        <v>123</v>
      </c>
      <c r="E35" t="s">
        <v>144</v>
      </c>
      <c r="F35">
        <v>1</v>
      </c>
      <c r="G35">
        <v>1</v>
      </c>
      <c r="H35" t="s">
        <v>125</v>
      </c>
      <c r="I35">
        <v>1</v>
      </c>
      <c r="J35">
        <v>0</v>
      </c>
      <c r="K35" t="s">
        <v>124</v>
      </c>
      <c r="L35" t="s">
        <v>131</v>
      </c>
      <c r="M35">
        <v>21</v>
      </c>
      <c r="N35">
        <v>11</v>
      </c>
      <c r="O35">
        <v>5</v>
      </c>
      <c r="P35">
        <v>3</v>
      </c>
      <c r="Q35">
        <v>15</v>
      </c>
      <c r="R35">
        <v>18</v>
      </c>
      <c r="S35">
        <v>3</v>
      </c>
      <c r="T35">
        <v>2</v>
      </c>
      <c r="U35">
        <v>2</v>
      </c>
      <c r="V35">
        <v>3</v>
      </c>
      <c r="W35">
        <v>0</v>
      </c>
      <c r="X35">
        <v>0</v>
      </c>
      <c r="Y35">
        <v>2.38</v>
      </c>
      <c r="Z35">
        <v>3.25</v>
      </c>
      <c r="AA35">
        <v>3</v>
      </c>
      <c r="AB35">
        <v>2.4</v>
      </c>
      <c r="AC35">
        <v>3.6</v>
      </c>
      <c r="AD35">
        <v>2.8</v>
      </c>
      <c r="AE35">
        <v>2.4500000000000002</v>
      </c>
      <c r="AF35">
        <v>3.4</v>
      </c>
      <c r="AG35">
        <v>2.88</v>
      </c>
      <c r="AH35">
        <v>2.4</v>
      </c>
      <c r="AI35">
        <v>3.53</v>
      </c>
      <c r="AJ35">
        <v>2.97</v>
      </c>
      <c r="AK35">
        <v>2.5</v>
      </c>
      <c r="AL35">
        <v>3.4</v>
      </c>
      <c r="AM35">
        <v>2.88</v>
      </c>
      <c r="AN35">
        <v>2.4900000000000002</v>
      </c>
      <c r="AO35">
        <v>3.4</v>
      </c>
      <c r="AP35">
        <v>3.03</v>
      </c>
      <c r="AQ35">
        <v>2.5</v>
      </c>
      <c r="AR35">
        <v>3.6</v>
      </c>
      <c r="AS35">
        <v>3.03</v>
      </c>
      <c r="AT35">
        <v>2.42</v>
      </c>
      <c r="AU35">
        <v>3.48</v>
      </c>
      <c r="AV35">
        <v>2.92</v>
      </c>
      <c r="AW35">
        <v>2.5</v>
      </c>
      <c r="AX35">
        <v>3.6</v>
      </c>
      <c r="AY35">
        <v>3</v>
      </c>
      <c r="AZ35">
        <v>1.73</v>
      </c>
      <c r="BA35">
        <v>2.1</v>
      </c>
      <c r="BB35">
        <v>1.72</v>
      </c>
      <c r="BC35">
        <v>2.1800000000000002</v>
      </c>
      <c r="BD35">
        <v>1.75</v>
      </c>
      <c r="BE35">
        <v>2.2200000000000002</v>
      </c>
      <c r="BF35">
        <v>1.72</v>
      </c>
      <c r="BG35">
        <v>2.16</v>
      </c>
      <c r="BH35">
        <v>1.77</v>
      </c>
      <c r="BI35">
        <v>2.2400000000000002</v>
      </c>
      <c r="BJ35">
        <v>-0.25</v>
      </c>
      <c r="BK35">
        <v>2.08</v>
      </c>
      <c r="BL35">
        <v>1.82</v>
      </c>
      <c r="BM35">
        <v>2.08</v>
      </c>
      <c r="BN35">
        <v>1.81</v>
      </c>
      <c r="BO35">
        <v>2.14</v>
      </c>
      <c r="BP35">
        <v>1.83</v>
      </c>
      <c r="BQ35">
        <v>2.0699999999999998</v>
      </c>
      <c r="BR35">
        <v>1.79</v>
      </c>
      <c r="BS35">
        <v>2.17</v>
      </c>
      <c r="BT35">
        <v>1.83</v>
      </c>
      <c r="BU35">
        <v>2.25</v>
      </c>
      <c r="BV35">
        <v>3.3</v>
      </c>
      <c r="BW35">
        <v>3.2</v>
      </c>
      <c r="BX35">
        <v>2.35</v>
      </c>
      <c r="BY35">
        <v>3.4</v>
      </c>
      <c r="BZ35">
        <v>3</v>
      </c>
      <c r="CA35">
        <v>2.25</v>
      </c>
      <c r="CB35">
        <v>3.3</v>
      </c>
      <c r="CC35">
        <v>3.1</v>
      </c>
      <c r="CD35">
        <v>2.36</v>
      </c>
      <c r="CE35">
        <v>3.41</v>
      </c>
      <c r="CF35">
        <v>3.21</v>
      </c>
      <c r="CG35">
        <v>2.2999999999999998</v>
      </c>
      <c r="CH35">
        <v>3.4</v>
      </c>
      <c r="CI35">
        <v>3.2</v>
      </c>
      <c r="CJ35">
        <v>2.31</v>
      </c>
      <c r="CK35">
        <v>3.39</v>
      </c>
      <c r="CL35">
        <v>3.29</v>
      </c>
      <c r="CM35">
        <v>2.39</v>
      </c>
      <c r="CN35">
        <v>3.45</v>
      </c>
      <c r="CO35">
        <v>3.29</v>
      </c>
      <c r="CP35">
        <v>2.33</v>
      </c>
      <c r="CQ35">
        <v>3.39</v>
      </c>
      <c r="CR35">
        <v>3.15</v>
      </c>
      <c r="CS35">
        <v>2.4</v>
      </c>
      <c r="CT35">
        <v>3.45</v>
      </c>
      <c r="CU35">
        <v>3.35</v>
      </c>
      <c r="CV35">
        <v>1.86</v>
      </c>
      <c r="CW35">
        <v>2.04</v>
      </c>
      <c r="CX35">
        <v>1.86</v>
      </c>
      <c r="CY35">
        <v>2.0499999999999998</v>
      </c>
      <c r="CZ35">
        <v>1.9</v>
      </c>
      <c r="DA35">
        <v>2.1</v>
      </c>
      <c r="DB35">
        <v>1.82</v>
      </c>
      <c r="DC35">
        <v>2.0299999999999998</v>
      </c>
      <c r="DD35">
        <v>1.91</v>
      </c>
      <c r="DE35">
        <v>2.08</v>
      </c>
      <c r="DF35">
        <v>-0.25</v>
      </c>
      <c r="DG35">
        <v>2.04</v>
      </c>
      <c r="DH35">
        <v>1.89</v>
      </c>
      <c r="DI35">
        <v>2.04</v>
      </c>
      <c r="DJ35">
        <v>1.89</v>
      </c>
      <c r="DK35">
        <v>2.06</v>
      </c>
      <c r="DL35">
        <v>1.9</v>
      </c>
      <c r="DM35">
        <v>2</v>
      </c>
      <c r="DN35">
        <v>1.86</v>
      </c>
      <c r="DO35">
        <v>2.06</v>
      </c>
      <c r="DP35">
        <v>1.92</v>
      </c>
    </row>
    <row r="36" spans="1:120" x14ac:dyDescent="0.3">
      <c r="A36" t="s">
        <v>120</v>
      </c>
      <c r="B36" t="s">
        <v>168</v>
      </c>
      <c r="C36" s="1">
        <v>0.625</v>
      </c>
      <c r="D36" t="s">
        <v>129</v>
      </c>
      <c r="E36" t="s">
        <v>141</v>
      </c>
      <c r="F36">
        <v>0</v>
      </c>
      <c r="G36">
        <v>1</v>
      </c>
      <c r="H36" t="s">
        <v>130</v>
      </c>
      <c r="I36">
        <v>0</v>
      </c>
      <c r="J36">
        <v>0</v>
      </c>
      <c r="K36" t="s">
        <v>125</v>
      </c>
      <c r="L36" t="s">
        <v>143</v>
      </c>
      <c r="M36">
        <v>14</v>
      </c>
      <c r="N36">
        <v>5</v>
      </c>
      <c r="O36">
        <v>5</v>
      </c>
      <c r="P36">
        <v>3</v>
      </c>
      <c r="Q36">
        <v>15</v>
      </c>
      <c r="R36">
        <v>6</v>
      </c>
      <c r="S36">
        <v>7</v>
      </c>
      <c r="T36">
        <v>2</v>
      </c>
      <c r="U36">
        <v>4</v>
      </c>
      <c r="V36">
        <v>4</v>
      </c>
      <c r="W36">
        <v>0</v>
      </c>
      <c r="X36">
        <v>0</v>
      </c>
      <c r="Y36">
        <v>1.22</v>
      </c>
      <c r="Z36">
        <v>6.5</v>
      </c>
      <c r="AA36">
        <v>12</v>
      </c>
      <c r="AB36">
        <v>1.22</v>
      </c>
      <c r="AC36">
        <v>7</v>
      </c>
      <c r="AD36">
        <v>12</v>
      </c>
      <c r="AE36">
        <v>1.2</v>
      </c>
      <c r="AF36">
        <v>7</v>
      </c>
      <c r="AG36">
        <v>13</v>
      </c>
      <c r="AH36">
        <v>1.21</v>
      </c>
      <c r="AI36">
        <v>7.23</v>
      </c>
      <c r="AJ36">
        <v>12.71</v>
      </c>
      <c r="AK36">
        <v>1.22</v>
      </c>
      <c r="AL36">
        <v>6.5</v>
      </c>
      <c r="AM36">
        <v>13</v>
      </c>
      <c r="AN36">
        <v>1.25</v>
      </c>
      <c r="AO36">
        <v>6.86</v>
      </c>
      <c r="AP36">
        <v>12.4</v>
      </c>
      <c r="AQ36">
        <v>1.25</v>
      </c>
      <c r="AR36">
        <v>7.7</v>
      </c>
      <c r="AS36">
        <v>13</v>
      </c>
      <c r="AT36">
        <v>1.22</v>
      </c>
      <c r="AU36">
        <v>7.03</v>
      </c>
      <c r="AV36">
        <v>12.4</v>
      </c>
      <c r="AW36">
        <v>1.24</v>
      </c>
      <c r="AX36">
        <v>7.8</v>
      </c>
      <c r="AY36">
        <v>14.5</v>
      </c>
      <c r="AZ36">
        <v>1.44</v>
      </c>
      <c r="BA36">
        <v>2.75</v>
      </c>
      <c r="BB36">
        <v>1.41</v>
      </c>
      <c r="BC36">
        <v>2.95</v>
      </c>
      <c r="BD36">
        <v>1.46</v>
      </c>
      <c r="BE36">
        <v>3.1</v>
      </c>
      <c r="BF36">
        <v>1.41</v>
      </c>
      <c r="BG36">
        <v>2.91</v>
      </c>
      <c r="BH36">
        <v>1.47</v>
      </c>
      <c r="BI36">
        <v>3.1</v>
      </c>
      <c r="BJ36">
        <v>-2</v>
      </c>
      <c r="BK36">
        <v>2.0699999999999998</v>
      </c>
      <c r="BL36">
        <v>1.83</v>
      </c>
      <c r="BM36">
        <v>2.0499999999999998</v>
      </c>
      <c r="BN36">
        <v>1.83</v>
      </c>
      <c r="BO36">
        <v>2.09</v>
      </c>
      <c r="BP36">
        <v>1.87</v>
      </c>
      <c r="BQ36">
        <v>2.0299999999999998</v>
      </c>
      <c r="BR36">
        <v>1.84</v>
      </c>
      <c r="BS36">
        <v>2.06</v>
      </c>
      <c r="BT36">
        <v>1.9</v>
      </c>
      <c r="BU36">
        <v>1.25</v>
      </c>
      <c r="BV36">
        <v>6.25</v>
      </c>
      <c r="BW36">
        <v>11</v>
      </c>
      <c r="BX36">
        <v>1.26</v>
      </c>
      <c r="BY36">
        <v>6.5</v>
      </c>
      <c r="BZ36">
        <v>10.5</v>
      </c>
      <c r="CA36">
        <v>1.2</v>
      </c>
      <c r="CB36">
        <v>6.5</v>
      </c>
      <c r="CC36">
        <v>12</v>
      </c>
      <c r="CD36">
        <v>1.22</v>
      </c>
      <c r="CE36">
        <v>7.11</v>
      </c>
      <c r="CF36">
        <v>12.95</v>
      </c>
      <c r="CG36">
        <v>1.22</v>
      </c>
      <c r="CH36">
        <v>6.5</v>
      </c>
      <c r="CI36">
        <v>13</v>
      </c>
      <c r="CJ36">
        <v>1.27</v>
      </c>
      <c r="CK36">
        <v>6.37</v>
      </c>
      <c r="CL36">
        <v>11.7</v>
      </c>
      <c r="CM36">
        <v>1.27</v>
      </c>
      <c r="CN36">
        <v>7.3</v>
      </c>
      <c r="CO36">
        <v>13</v>
      </c>
      <c r="CP36">
        <v>1.23</v>
      </c>
      <c r="CQ36">
        <v>6.75</v>
      </c>
      <c r="CR36">
        <v>11.99</v>
      </c>
      <c r="CS36">
        <v>1.24</v>
      </c>
      <c r="CT36">
        <v>7.6</v>
      </c>
      <c r="CU36">
        <v>15.5</v>
      </c>
      <c r="CV36">
        <v>1.4</v>
      </c>
      <c r="CW36">
        <v>3</v>
      </c>
      <c r="CX36">
        <v>1.4</v>
      </c>
      <c r="CY36">
        <v>3.06</v>
      </c>
      <c r="CZ36">
        <v>1.44</v>
      </c>
      <c r="DA36">
        <v>3.06</v>
      </c>
      <c r="DB36">
        <v>1.41</v>
      </c>
      <c r="DC36">
        <v>2.98</v>
      </c>
      <c r="DD36">
        <v>1.43</v>
      </c>
      <c r="DE36">
        <v>3.25</v>
      </c>
      <c r="DF36">
        <v>-1.75</v>
      </c>
      <c r="DG36">
        <v>1.86</v>
      </c>
      <c r="DH36">
        <v>2.0699999999999998</v>
      </c>
      <c r="DI36">
        <v>1.85</v>
      </c>
      <c r="DJ36">
        <v>2.0699999999999998</v>
      </c>
      <c r="DK36">
        <v>1.87</v>
      </c>
      <c r="DL36">
        <v>2.11</v>
      </c>
      <c r="DM36">
        <v>1.84</v>
      </c>
      <c r="DN36">
        <v>2.04</v>
      </c>
      <c r="DO36">
        <v>1.87</v>
      </c>
      <c r="DP36">
        <v>2.11</v>
      </c>
    </row>
    <row r="37" spans="1:120" x14ac:dyDescent="0.3">
      <c r="A37" t="s">
        <v>120</v>
      </c>
      <c r="B37" t="s">
        <v>168</v>
      </c>
      <c r="C37" s="1">
        <v>0.625</v>
      </c>
      <c r="D37" t="s">
        <v>152</v>
      </c>
      <c r="E37" t="s">
        <v>148</v>
      </c>
      <c r="F37">
        <v>2</v>
      </c>
      <c r="G37">
        <v>1</v>
      </c>
      <c r="H37" t="s">
        <v>124</v>
      </c>
      <c r="I37">
        <v>2</v>
      </c>
      <c r="J37">
        <v>1</v>
      </c>
      <c r="K37" t="s">
        <v>124</v>
      </c>
      <c r="L37" t="s">
        <v>159</v>
      </c>
      <c r="M37">
        <v>18</v>
      </c>
      <c r="N37">
        <v>8</v>
      </c>
      <c r="O37">
        <v>7</v>
      </c>
      <c r="P37">
        <v>5</v>
      </c>
      <c r="Q37">
        <v>9</v>
      </c>
      <c r="R37">
        <v>3</v>
      </c>
      <c r="S37">
        <v>12</v>
      </c>
      <c r="T37">
        <v>3</v>
      </c>
      <c r="U37">
        <v>3</v>
      </c>
      <c r="V37">
        <v>1</v>
      </c>
      <c r="W37">
        <v>0</v>
      </c>
      <c r="X37">
        <v>0</v>
      </c>
      <c r="Y37">
        <v>1.18</v>
      </c>
      <c r="Z37">
        <v>8</v>
      </c>
      <c r="AA37">
        <v>12</v>
      </c>
      <c r="AB37">
        <v>1.19</v>
      </c>
      <c r="AC37">
        <v>7.75</v>
      </c>
      <c r="AD37">
        <v>14</v>
      </c>
      <c r="AE37">
        <v>1.1499999999999999</v>
      </c>
      <c r="AF37">
        <v>9</v>
      </c>
      <c r="AG37">
        <v>15</v>
      </c>
      <c r="AH37">
        <v>1.17</v>
      </c>
      <c r="AI37">
        <v>8.43</v>
      </c>
      <c r="AJ37">
        <v>14.62</v>
      </c>
      <c r="AK37">
        <v>1.18</v>
      </c>
      <c r="AL37">
        <v>7.5</v>
      </c>
      <c r="AM37">
        <v>15</v>
      </c>
      <c r="AN37">
        <v>1.19</v>
      </c>
      <c r="AO37">
        <v>8.1</v>
      </c>
      <c r="AP37">
        <v>15</v>
      </c>
      <c r="AQ37">
        <v>1.21</v>
      </c>
      <c r="AR37">
        <v>9.1999999999999993</v>
      </c>
      <c r="AS37">
        <v>17</v>
      </c>
      <c r="AT37">
        <v>1.17</v>
      </c>
      <c r="AU37">
        <v>8.1999999999999993</v>
      </c>
      <c r="AV37">
        <v>14.79</v>
      </c>
      <c r="AW37">
        <v>1.19</v>
      </c>
      <c r="AX37">
        <v>9.6</v>
      </c>
      <c r="AY37">
        <v>17.5</v>
      </c>
      <c r="AZ37">
        <v>1.36</v>
      </c>
      <c r="BA37">
        <v>3.2</v>
      </c>
      <c r="BB37">
        <v>1.36</v>
      </c>
      <c r="BC37">
        <v>3.17</v>
      </c>
      <c r="BD37">
        <v>1.4</v>
      </c>
      <c r="BE37">
        <v>3.45</v>
      </c>
      <c r="BF37">
        <v>1.35</v>
      </c>
      <c r="BG37">
        <v>3.22</v>
      </c>
      <c r="BH37">
        <v>1.39</v>
      </c>
      <c r="BI37">
        <v>3.4</v>
      </c>
      <c r="BJ37">
        <v>-2</v>
      </c>
      <c r="BK37">
        <v>1.92</v>
      </c>
      <c r="BL37">
        <v>1.98</v>
      </c>
      <c r="BM37">
        <v>1.91</v>
      </c>
      <c r="BN37">
        <v>1.96</v>
      </c>
      <c r="BO37">
        <v>1.93</v>
      </c>
      <c r="BP37">
        <v>2.11</v>
      </c>
      <c r="BQ37">
        <v>1.85</v>
      </c>
      <c r="BR37">
        <v>2.02</v>
      </c>
      <c r="BS37">
        <v>1.87</v>
      </c>
      <c r="BT37">
        <v>2.08</v>
      </c>
      <c r="BU37">
        <v>1.17</v>
      </c>
      <c r="BV37">
        <v>8</v>
      </c>
      <c r="BW37">
        <v>15</v>
      </c>
      <c r="BX37">
        <v>1.21</v>
      </c>
      <c r="BY37">
        <v>7.5</v>
      </c>
      <c r="BZ37">
        <v>12</v>
      </c>
      <c r="CA37">
        <v>1.1499999999999999</v>
      </c>
      <c r="CB37">
        <v>8</v>
      </c>
      <c r="CC37">
        <v>15</v>
      </c>
      <c r="CD37">
        <v>1.21</v>
      </c>
      <c r="CE37">
        <v>7.2</v>
      </c>
      <c r="CF37">
        <v>13.92</v>
      </c>
      <c r="CG37">
        <v>1.2</v>
      </c>
      <c r="CH37">
        <v>7</v>
      </c>
      <c r="CI37">
        <v>15</v>
      </c>
      <c r="CJ37">
        <v>1.18</v>
      </c>
      <c r="CK37">
        <v>8.24</v>
      </c>
      <c r="CL37">
        <v>16.100000000000001</v>
      </c>
      <c r="CM37">
        <v>1.22</v>
      </c>
      <c r="CN37">
        <v>8.3000000000000007</v>
      </c>
      <c r="CO37">
        <v>16.100000000000001</v>
      </c>
      <c r="CP37">
        <v>1.19</v>
      </c>
      <c r="CQ37">
        <v>7.64</v>
      </c>
      <c r="CR37">
        <v>13.85</v>
      </c>
      <c r="CS37">
        <v>1.23</v>
      </c>
      <c r="CT37">
        <v>7.6</v>
      </c>
      <c r="CU37">
        <v>17.5</v>
      </c>
      <c r="CV37">
        <v>1.44</v>
      </c>
      <c r="CW37">
        <v>2.75</v>
      </c>
      <c r="CX37">
        <v>1.45</v>
      </c>
      <c r="CY37">
        <v>2.85</v>
      </c>
      <c r="CZ37">
        <v>1.45</v>
      </c>
      <c r="DA37">
        <v>3.14</v>
      </c>
      <c r="DB37">
        <v>1.41</v>
      </c>
      <c r="DC37">
        <v>2.96</v>
      </c>
      <c r="DD37">
        <v>1.44</v>
      </c>
      <c r="DE37">
        <v>3.2</v>
      </c>
      <c r="DF37">
        <v>-2</v>
      </c>
      <c r="DG37">
        <v>2.08</v>
      </c>
      <c r="DH37">
        <v>1.85</v>
      </c>
      <c r="DI37">
        <v>2.09</v>
      </c>
      <c r="DJ37">
        <v>1.81</v>
      </c>
      <c r="DK37">
        <v>2.09</v>
      </c>
      <c r="DL37">
        <v>1.94</v>
      </c>
      <c r="DM37">
        <v>2</v>
      </c>
      <c r="DN37">
        <v>1.87</v>
      </c>
      <c r="DO37">
        <v>2.04</v>
      </c>
      <c r="DP37">
        <v>1.94</v>
      </c>
    </row>
    <row r="38" spans="1:120" x14ac:dyDescent="0.3">
      <c r="A38" t="s">
        <v>120</v>
      </c>
      <c r="B38" t="s">
        <v>168</v>
      </c>
      <c r="C38" s="1">
        <v>0.72916666666666663</v>
      </c>
      <c r="D38" t="s">
        <v>145</v>
      </c>
      <c r="E38" t="s">
        <v>135</v>
      </c>
      <c r="F38">
        <v>3</v>
      </c>
      <c r="G38">
        <v>2</v>
      </c>
      <c r="H38" t="s">
        <v>124</v>
      </c>
      <c r="I38">
        <v>1</v>
      </c>
      <c r="J38">
        <v>2</v>
      </c>
      <c r="K38" t="s">
        <v>130</v>
      </c>
      <c r="L38" t="s">
        <v>140</v>
      </c>
      <c r="M38">
        <v>17</v>
      </c>
      <c r="N38">
        <v>6</v>
      </c>
      <c r="O38">
        <v>8</v>
      </c>
      <c r="P38">
        <v>2</v>
      </c>
      <c r="Q38">
        <v>10</v>
      </c>
      <c r="R38">
        <v>12</v>
      </c>
      <c r="S38">
        <v>6</v>
      </c>
      <c r="T38">
        <v>2</v>
      </c>
      <c r="U38">
        <v>1</v>
      </c>
      <c r="V38">
        <v>4</v>
      </c>
      <c r="W38">
        <v>0</v>
      </c>
      <c r="X38">
        <v>0</v>
      </c>
      <c r="Y38">
        <v>1.5</v>
      </c>
      <c r="Z38">
        <v>4.2</v>
      </c>
      <c r="AA38">
        <v>6.5</v>
      </c>
      <c r="AB38">
        <v>1.5</v>
      </c>
      <c r="AC38">
        <v>4.5</v>
      </c>
      <c r="AD38">
        <v>6.25</v>
      </c>
      <c r="AE38">
        <v>1.47</v>
      </c>
      <c r="AF38">
        <v>4.5</v>
      </c>
      <c r="AG38">
        <v>6.5</v>
      </c>
      <c r="AH38">
        <v>1.51</v>
      </c>
      <c r="AI38">
        <v>4.45</v>
      </c>
      <c r="AJ38">
        <v>6.48</v>
      </c>
      <c r="AK38">
        <v>1.5</v>
      </c>
      <c r="AL38">
        <v>4.4000000000000004</v>
      </c>
      <c r="AM38">
        <v>6.5</v>
      </c>
      <c r="AN38">
        <v>1.54</v>
      </c>
      <c r="AO38">
        <v>4.63</v>
      </c>
      <c r="AP38">
        <v>6.3</v>
      </c>
      <c r="AQ38">
        <v>1.55</v>
      </c>
      <c r="AR38">
        <v>4.6500000000000004</v>
      </c>
      <c r="AS38">
        <v>6.7</v>
      </c>
      <c r="AT38">
        <v>1.51</v>
      </c>
      <c r="AU38">
        <v>4.4800000000000004</v>
      </c>
      <c r="AV38">
        <v>6.34</v>
      </c>
      <c r="AW38">
        <v>1.54</v>
      </c>
      <c r="AX38">
        <v>4.7</v>
      </c>
      <c r="AY38">
        <v>7</v>
      </c>
      <c r="AZ38">
        <v>1.67</v>
      </c>
      <c r="BA38">
        <v>2.2000000000000002</v>
      </c>
      <c r="BB38">
        <v>1.69</v>
      </c>
      <c r="BC38">
        <v>2.23</v>
      </c>
      <c r="BD38">
        <v>1.72</v>
      </c>
      <c r="BE38">
        <v>2.2799999999999998</v>
      </c>
      <c r="BF38">
        <v>1.67</v>
      </c>
      <c r="BG38">
        <v>2.23</v>
      </c>
      <c r="BH38">
        <v>1.73</v>
      </c>
      <c r="BI38">
        <v>2.3199999999999998</v>
      </c>
      <c r="BJ38">
        <v>-1</v>
      </c>
      <c r="BK38">
        <v>1.85</v>
      </c>
      <c r="BL38">
        <v>2.0499999999999998</v>
      </c>
      <c r="BM38">
        <v>1.87</v>
      </c>
      <c r="BN38">
        <v>2.02</v>
      </c>
      <c r="BO38">
        <v>1.88</v>
      </c>
      <c r="BP38">
        <v>2.1</v>
      </c>
      <c r="BQ38">
        <v>1.84</v>
      </c>
      <c r="BR38">
        <v>2.0299999999999998</v>
      </c>
      <c r="BS38">
        <v>1.88</v>
      </c>
      <c r="BT38">
        <v>2.08</v>
      </c>
      <c r="BU38">
        <v>1.67</v>
      </c>
      <c r="BV38">
        <v>3.75</v>
      </c>
      <c r="BW38">
        <v>5.25</v>
      </c>
      <c r="BX38">
        <v>1.68</v>
      </c>
      <c r="BY38">
        <v>3.9</v>
      </c>
      <c r="BZ38">
        <v>5</v>
      </c>
      <c r="CA38">
        <v>1.57</v>
      </c>
      <c r="CB38">
        <v>4.2</v>
      </c>
      <c r="CC38">
        <v>5.5</v>
      </c>
      <c r="CD38">
        <v>1.68</v>
      </c>
      <c r="CE38">
        <v>4</v>
      </c>
      <c r="CF38">
        <v>5.44</v>
      </c>
      <c r="CG38">
        <v>1.67</v>
      </c>
      <c r="CH38">
        <v>4</v>
      </c>
      <c r="CI38">
        <v>5</v>
      </c>
      <c r="CJ38">
        <v>1.69</v>
      </c>
      <c r="CK38">
        <v>3.84</v>
      </c>
      <c r="CL38">
        <v>5.64</v>
      </c>
      <c r="CM38">
        <v>1.72</v>
      </c>
      <c r="CN38">
        <v>4.2</v>
      </c>
      <c r="CO38">
        <v>5.64</v>
      </c>
      <c r="CP38">
        <v>1.68</v>
      </c>
      <c r="CQ38">
        <v>3.94</v>
      </c>
      <c r="CR38">
        <v>5.24</v>
      </c>
      <c r="CS38">
        <v>1.72</v>
      </c>
      <c r="CT38">
        <v>4.0999999999999996</v>
      </c>
      <c r="CU38">
        <v>5.5</v>
      </c>
      <c r="CV38">
        <v>1.8</v>
      </c>
      <c r="CW38">
        <v>2</v>
      </c>
      <c r="CX38">
        <v>1.82</v>
      </c>
      <c r="CY38">
        <v>2.08</v>
      </c>
      <c r="CZ38">
        <v>1.84</v>
      </c>
      <c r="DA38">
        <v>2.21</v>
      </c>
      <c r="DB38">
        <v>1.78</v>
      </c>
      <c r="DC38">
        <v>2.0699999999999998</v>
      </c>
      <c r="DD38">
        <v>1.84</v>
      </c>
      <c r="DE38">
        <v>2.1800000000000002</v>
      </c>
      <c r="DF38">
        <v>-0.75</v>
      </c>
      <c r="DG38">
        <v>1.88</v>
      </c>
      <c r="DH38">
        <v>2.0499999999999998</v>
      </c>
      <c r="DI38">
        <v>1.87</v>
      </c>
      <c r="DJ38">
        <v>2.06</v>
      </c>
      <c r="DK38">
        <v>1.91</v>
      </c>
      <c r="DL38">
        <v>2.08</v>
      </c>
      <c r="DM38">
        <v>1.85</v>
      </c>
      <c r="DN38">
        <v>2.02</v>
      </c>
      <c r="DO38">
        <v>1.91</v>
      </c>
      <c r="DP38">
        <v>2.0699999999999998</v>
      </c>
    </row>
    <row r="39" spans="1:120" x14ac:dyDescent="0.3">
      <c r="A39" t="s">
        <v>120</v>
      </c>
      <c r="B39" t="s">
        <v>168</v>
      </c>
      <c r="C39" s="1">
        <v>0.83333333333333337</v>
      </c>
      <c r="D39" t="s">
        <v>142</v>
      </c>
      <c r="E39" t="s">
        <v>151</v>
      </c>
      <c r="F39">
        <v>0</v>
      </c>
      <c r="G39">
        <v>1</v>
      </c>
      <c r="H39" t="s">
        <v>130</v>
      </c>
      <c r="I39">
        <v>0</v>
      </c>
      <c r="J39">
        <v>0</v>
      </c>
      <c r="K39" t="s">
        <v>125</v>
      </c>
      <c r="L39" t="s">
        <v>153</v>
      </c>
      <c r="M39">
        <v>19</v>
      </c>
      <c r="N39">
        <v>10</v>
      </c>
      <c r="O39">
        <v>7</v>
      </c>
      <c r="P39">
        <v>3</v>
      </c>
      <c r="Q39">
        <v>16</v>
      </c>
      <c r="R39">
        <v>9</v>
      </c>
      <c r="S39">
        <v>6</v>
      </c>
      <c r="T39">
        <v>3</v>
      </c>
      <c r="U39">
        <v>6</v>
      </c>
      <c r="V39">
        <v>8</v>
      </c>
      <c r="W39">
        <v>0</v>
      </c>
      <c r="X39">
        <v>0</v>
      </c>
      <c r="Y39">
        <v>3.4</v>
      </c>
      <c r="Z39">
        <v>3.8</v>
      </c>
      <c r="AA39">
        <v>2</v>
      </c>
      <c r="AB39">
        <v>3.3</v>
      </c>
      <c r="AC39">
        <v>3.9</v>
      </c>
      <c r="AD39">
        <v>2.0499999999999998</v>
      </c>
      <c r="AE39">
        <v>3.4</v>
      </c>
      <c r="AF39">
        <v>3.9</v>
      </c>
      <c r="AG39">
        <v>2</v>
      </c>
      <c r="AH39">
        <v>3.32</v>
      </c>
      <c r="AI39">
        <v>3.97</v>
      </c>
      <c r="AJ39">
        <v>2.06</v>
      </c>
      <c r="AK39">
        <v>3.4</v>
      </c>
      <c r="AL39">
        <v>3.9</v>
      </c>
      <c r="AM39">
        <v>2.0499999999999998</v>
      </c>
      <c r="AN39">
        <v>3.4</v>
      </c>
      <c r="AO39">
        <v>4.12</v>
      </c>
      <c r="AP39">
        <v>2.0499999999999998</v>
      </c>
      <c r="AQ39">
        <v>3.45</v>
      </c>
      <c r="AR39">
        <v>4.12</v>
      </c>
      <c r="AS39">
        <v>2.09</v>
      </c>
      <c r="AT39">
        <v>3.33</v>
      </c>
      <c r="AU39">
        <v>3.96</v>
      </c>
      <c r="AV39">
        <v>2.0499999999999998</v>
      </c>
      <c r="AW39">
        <v>3.55</v>
      </c>
      <c r="AX39">
        <v>4.0999999999999996</v>
      </c>
      <c r="AY39">
        <v>2.08</v>
      </c>
      <c r="AZ39">
        <v>1.44</v>
      </c>
      <c r="BA39">
        <v>2.75</v>
      </c>
      <c r="BB39">
        <v>1.46</v>
      </c>
      <c r="BC39">
        <v>2.81</v>
      </c>
      <c r="BD39">
        <v>1.48</v>
      </c>
      <c r="BE39">
        <v>2.86</v>
      </c>
      <c r="BF39">
        <v>1.45</v>
      </c>
      <c r="BG39">
        <v>2.76</v>
      </c>
      <c r="BH39">
        <v>1.49</v>
      </c>
      <c r="BI39">
        <v>2.94</v>
      </c>
      <c r="BJ39">
        <v>0.5</v>
      </c>
      <c r="BK39">
        <v>1.85</v>
      </c>
      <c r="BL39">
        <v>2.0499999999999998</v>
      </c>
      <c r="BM39">
        <v>1.83</v>
      </c>
      <c r="BN39">
        <v>2.0699999999999998</v>
      </c>
      <c r="BO39">
        <v>1.87</v>
      </c>
      <c r="BP39">
        <v>2.08</v>
      </c>
      <c r="BQ39">
        <v>1.83</v>
      </c>
      <c r="BR39">
        <v>2.0299999999999998</v>
      </c>
      <c r="BS39">
        <v>1.9</v>
      </c>
      <c r="BT39">
        <v>2.08</v>
      </c>
      <c r="BU39">
        <v>3.1</v>
      </c>
      <c r="BV39">
        <v>3.6</v>
      </c>
      <c r="BW39">
        <v>2.2000000000000002</v>
      </c>
      <c r="BX39">
        <v>2.95</v>
      </c>
      <c r="BY39">
        <v>3.75</v>
      </c>
      <c r="BZ39">
        <v>2.25</v>
      </c>
      <c r="CA39">
        <v>3.2</v>
      </c>
      <c r="CB39">
        <v>3.8</v>
      </c>
      <c r="CC39">
        <v>2</v>
      </c>
      <c r="CD39">
        <v>3.17</v>
      </c>
      <c r="CE39">
        <v>3.79</v>
      </c>
      <c r="CF39">
        <v>2.23</v>
      </c>
      <c r="CG39">
        <v>3</v>
      </c>
      <c r="CH39">
        <v>3.9</v>
      </c>
      <c r="CI39">
        <v>2.2000000000000002</v>
      </c>
      <c r="CJ39">
        <v>3.27</v>
      </c>
      <c r="CK39">
        <v>3.69</v>
      </c>
      <c r="CL39">
        <v>2.21</v>
      </c>
      <c r="CM39">
        <v>3.36</v>
      </c>
      <c r="CN39">
        <v>4</v>
      </c>
      <c r="CO39">
        <v>2.2799999999999998</v>
      </c>
      <c r="CP39">
        <v>3.11</v>
      </c>
      <c r="CQ39">
        <v>3.8</v>
      </c>
      <c r="CR39">
        <v>2.19</v>
      </c>
      <c r="CS39">
        <v>3.15</v>
      </c>
      <c r="CT39">
        <v>3.95</v>
      </c>
      <c r="CU39">
        <v>2.2799999999999998</v>
      </c>
      <c r="CV39">
        <v>1.5</v>
      </c>
      <c r="CW39">
        <v>2.63</v>
      </c>
      <c r="CX39">
        <v>1.5</v>
      </c>
      <c r="CY39">
        <v>2.7</v>
      </c>
      <c r="CZ39">
        <v>1.52</v>
      </c>
      <c r="DA39">
        <v>2.98</v>
      </c>
      <c r="DB39">
        <v>1.47</v>
      </c>
      <c r="DC39">
        <v>2.73</v>
      </c>
      <c r="DD39">
        <v>1.51</v>
      </c>
      <c r="DE39">
        <v>2.92</v>
      </c>
      <c r="DF39">
        <v>0.25</v>
      </c>
      <c r="DG39">
        <v>1.95</v>
      </c>
      <c r="DH39">
        <v>1.98</v>
      </c>
      <c r="DI39">
        <v>1.97</v>
      </c>
      <c r="DJ39">
        <v>1.95</v>
      </c>
      <c r="DK39">
        <v>2.0699999999999998</v>
      </c>
      <c r="DL39">
        <v>1.99</v>
      </c>
      <c r="DM39">
        <v>1.95</v>
      </c>
      <c r="DN39">
        <v>1.92</v>
      </c>
      <c r="DO39">
        <v>1.99</v>
      </c>
      <c r="DP39">
        <v>1.99</v>
      </c>
    </row>
    <row r="40" spans="1:120" x14ac:dyDescent="0.3">
      <c r="A40" t="s">
        <v>120</v>
      </c>
      <c r="B40" t="s">
        <v>169</v>
      </c>
      <c r="C40" s="1">
        <v>0.58333333333333337</v>
      </c>
      <c r="D40" t="s">
        <v>156</v>
      </c>
      <c r="E40" t="s">
        <v>132</v>
      </c>
      <c r="F40">
        <v>0</v>
      </c>
      <c r="G40">
        <v>1</v>
      </c>
      <c r="H40" t="s">
        <v>130</v>
      </c>
      <c r="I40">
        <v>0</v>
      </c>
      <c r="J40">
        <v>0</v>
      </c>
      <c r="K40" t="s">
        <v>125</v>
      </c>
      <c r="L40" t="s">
        <v>134</v>
      </c>
      <c r="M40">
        <v>15</v>
      </c>
      <c r="N40">
        <v>7</v>
      </c>
      <c r="O40">
        <v>5</v>
      </c>
      <c r="P40">
        <v>4</v>
      </c>
      <c r="Q40">
        <v>13</v>
      </c>
      <c r="R40">
        <v>10</v>
      </c>
      <c r="S40">
        <v>7</v>
      </c>
      <c r="T40">
        <v>6</v>
      </c>
      <c r="U40">
        <v>5</v>
      </c>
      <c r="V40">
        <v>3</v>
      </c>
      <c r="W40">
        <v>0</v>
      </c>
      <c r="X40">
        <v>0</v>
      </c>
      <c r="Y40">
        <v>3</v>
      </c>
      <c r="Z40">
        <v>3.5</v>
      </c>
      <c r="AA40">
        <v>2.2999999999999998</v>
      </c>
      <c r="AB40">
        <v>2.95</v>
      </c>
      <c r="AC40">
        <v>3.7</v>
      </c>
      <c r="AD40">
        <v>2.25</v>
      </c>
      <c r="AE40">
        <v>2.9</v>
      </c>
      <c r="AF40">
        <v>3.6</v>
      </c>
      <c r="AG40">
        <v>2.2999999999999998</v>
      </c>
      <c r="AH40">
        <v>3.03</v>
      </c>
      <c r="AI40">
        <v>3.62</v>
      </c>
      <c r="AJ40">
        <v>2.3199999999999998</v>
      </c>
      <c r="AK40">
        <v>3</v>
      </c>
      <c r="AL40">
        <v>3.6</v>
      </c>
      <c r="AM40">
        <v>2.2999999999999998</v>
      </c>
      <c r="AN40">
        <v>3.13</v>
      </c>
      <c r="AO40">
        <v>3.46</v>
      </c>
      <c r="AP40">
        <v>2.4</v>
      </c>
      <c r="AQ40">
        <v>3.13</v>
      </c>
      <c r="AR40">
        <v>3.75</v>
      </c>
      <c r="AS40">
        <v>2.4</v>
      </c>
      <c r="AT40">
        <v>2.99</v>
      </c>
      <c r="AU40">
        <v>3.59</v>
      </c>
      <c r="AV40">
        <v>2.33</v>
      </c>
      <c r="AW40">
        <v>3.1</v>
      </c>
      <c r="AX40">
        <v>3.75</v>
      </c>
      <c r="AY40">
        <v>2.4</v>
      </c>
      <c r="AZ40">
        <v>1.57</v>
      </c>
      <c r="BA40">
        <v>2.38</v>
      </c>
      <c r="BB40">
        <v>1.59</v>
      </c>
      <c r="BC40">
        <v>2.44</v>
      </c>
      <c r="BD40">
        <v>1.66</v>
      </c>
      <c r="BE40">
        <v>2.5</v>
      </c>
      <c r="BF40">
        <v>1.58</v>
      </c>
      <c r="BG40">
        <v>2.41</v>
      </c>
      <c r="BH40">
        <v>1.65</v>
      </c>
      <c r="BI40">
        <v>2.5</v>
      </c>
      <c r="BJ40">
        <v>0.25</v>
      </c>
      <c r="BK40">
        <v>1.88</v>
      </c>
      <c r="BL40">
        <v>2.02</v>
      </c>
      <c r="BM40">
        <v>1.86</v>
      </c>
      <c r="BN40">
        <v>2.02</v>
      </c>
      <c r="BO40">
        <v>1.93</v>
      </c>
      <c r="BP40">
        <v>2.0499999999999998</v>
      </c>
      <c r="BQ40">
        <v>1.84</v>
      </c>
      <c r="BR40">
        <v>2</v>
      </c>
      <c r="BS40">
        <v>1.9</v>
      </c>
      <c r="BT40">
        <v>2.08</v>
      </c>
      <c r="BU40">
        <v>2.7</v>
      </c>
      <c r="BV40">
        <v>3.4</v>
      </c>
      <c r="BW40">
        <v>2.6</v>
      </c>
      <c r="BX40">
        <v>2.7</v>
      </c>
      <c r="BY40">
        <v>3.5</v>
      </c>
      <c r="BZ40">
        <v>2.5</v>
      </c>
      <c r="CA40">
        <v>2.75</v>
      </c>
      <c r="CB40">
        <v>3.4</v>
      </c>
      <c r="CC40">
        <v>2.4</v>
      </c>
      <c r="CD40">
        <v>2.77</v>
      </c>
      <c r="CE40">
        <v>3.49</v>
      </c>
      <c r="CF40">
        <v>2.63</v>
      </c>
      <c r="CG40">
        <v>2.62</v>
      </c>
      <c r="CH40">
        <v>3.75</v>
      </c>
      <c r="CI40">
        <v>2.5</v>
      </c>
      <c r="CJ40">
        <v>3</v>
      </c>
      <c r="CK40">
        <v>3.49</v>
      </c>
      <c r="CL40">
        <v>2.4300000000000002</v>
      </c>
      <c r="CM40">
        <v>3</v>
      </c>
      <c r="CN40">
        <v>3.75</v>
      </c>
      <c r="CO40">
        <v>2.63</v>
      </c>
      <c r="CP40">
        <v>2.77</v>
      </c>
      <c r="CQ40">
        <v>3.51</v>
      </c>
      <c r="CR40">
        <v>2.5299999999999998</v>
      </c>
      <c r="CS40">
        <v>2.84</v>
      </c>
      <c r="CT40">
        <v>3.6</v>
      </c>
      <c r="CU40">
        <v>2.66</v>
      </c>
      <c r="CV40">
        <v>1.62</v>
      </c>
      <c r="CW40">
        <v>2.2999999999999998</v>
      </c>
      <c r="CX40">
        <v>1.68</v>
      </c>
      <c r="CY40">
        <v>2.29</v>
      </c>
      <c r="CZ40">
        <v>1.68</v>
      </c>
      <c r="DA40">
        <v>2.4500000000000002</v>
      </c>
      <c r="DB40">
        <v>1.61</v>
      </c>
      <c r="DC40">
        <v>2.37</v>
      </c>
      <c r="DD40">
        <v>1.65</v>
      </c>
      <c r="DE40">
        <v>2.5</v>
      </c>
      <c r="DF40">
        <v>0</v>
      </c>
      <c r="DG40">
        <v>2.0099999999999998</v>
      </c>
      <c r="DH40">
        <v>1.92</v>
      </c>
      <c r="DI40">
        <v>2.0099999999999998</v>
      </c>
      <c r="DJ40">
        <v>1.89</v>
      </c>
      <c r="DK40">
        <v>2.09</v>
      </c>
      <c r="DL40">
        <v>1.93</v>
      </c>
      <c r="DM40">
        <v>2.0099999999999998</v>
      </c>
      <c r="DN40">
        <v>1.88</v>
      </c>
      <c r="DO40">
        <v>2.0499999999999998</v>
      </c>
      <c r="DP40">
        <v>1.95</v>
      </c>
    </row>
    <row r="41" spans="1:120" x14ac:dyDescent="0.3">
      <c r="A41" t="s">
        <v>120</v>
      </c>
      <c r="B41" t="s">
        <v>169</v>
      </c>
      <c r="C41" s="1">
        <v>0.6875</v>
      </c>
      <c r="D41" t="s">
        <v>133</v>
      </c>
      <c r="E41" t="s">
        <v>138</v>
      </c>
      <c r="F41">
        <v>1</v>
      </c>
      <c r="G41">
        <v>2</v>
      </c>
      <c r="H41" t="s">
        <v>130</v>
      </c>
      <c r="I41">
        <v>1</v>
      </c>
      <c r="J41">
        <v>0</v>
      </c>
      <c r="K41" t="s">
        <v>124</v>
      </c>
      <c r="L41" t="s">
        <v>157</v>
      </c>
      <c r="M41">
        <v>12</v>
      </c>
      <c r="N41">
        <v>14</v>
      </c>
      <c r="O41">
        <v>5</v>
      </c>
      <c r="P41">
        <v>6</v>
      </c>
      <c r="Q41">
        <v>17</v>
      </c>
      <c r="R41">
        <v>6</v>
      </c>
      <c r="S41">
        <v>4</v>
      </c>
      <c r="T41">
        <v>7</v>
      </c>
      <c r="U41">
        <v>3</v>
      </c>
      <c r="V41">
        <v>3</v>
      </c>
      <c r="W41">
        <v>0</v>
      </c>
      <c r="X41">
        <v>0</v>
      </c>
      <c r="Y41">
        <v>3.4</v>
      </c>
      <c r="Z41">
        <v>3.5</v>
      </c>
      <c r="AA41">
        <v>2.1</v>
      </c>
      <c r="AB41">
        <v>3.2</v>
      </c>
      <c r="AC41">
        <v>3.75</v>
      </c>
      <c r="AD41">
        <v>2.1</v>
      </c>
      <c r="AE41">
        <v>3.3</v>
      </c>
      <c r="AF41">
        <v>3.7</v>
      </c>
      <c r="AG41">
        <v>2.1</v>
      </c>
      <c r="AH41">
        <v>3.41</v>
      </c>
      <c r="AI41">
        <v>3.71</v>
      </c>
      <c r="AJ41">
        <v>2.1</v>
      </c>
      <c r="AK41">
        <v>3.3</v>
      </c>
      <c r="AL41">
        <v>3.7</v>
      </c>
      <c r="AM41">
        <v>2.1</v>
      </c>
      <c r="AN41">
        <v>3.48</v>
      </c>
      <c r="AO41">
        <v>3.58</v>
      </c>
      <c r="AP41">
        <v>2.1800000000000002</v>
      </c>
      <c r="AQ41">
        <v>3.48</v>
      </c>
      <c r="AR41">
        <v>3.8</v>
      </c>
      <c r="AS41">
        <v>2.1800000000000002</v>
      </c>
      <c r="AT41">
        <v>3.36</v>
      </c>
      <c r="AU41">
        <v>3.69</v>
      </c>
      <c r="AV41">
        <v>2.11</v>
      </c>
      <c r="AW41">
        <v>3.55</v>
      </c>
      <c r="AX41">
        <v>3.85</v>
      </c>
      <c r="AY41">
        <v>2.16</v>
      </c>
      <c r="AZ41">
        <v>1.57</v>
      </c>
      <c r="BA41">
        <v>2.38</v>
      </c>
      <c r="BB41">
        <v>1.57</v>
      </c>
      <c r="BC41">
        <v>2.4900000000000002</v>
      </c>
      <c r="BD41">
        <v>1.59</v>
      </c>
      <c r="BE41">
        <v>2.5499999999999998</v>
      </c>
      <c r="BF41">
        <v>1.56</v>
      </c>
      <c r="BG41">
        <v>2.4700000000000002</v>
      </c>
      <c r="BH41">
        <v>1.6</v>
      </c>
      <c r="BI41">
        <v>2.6</v>
      </c>
      <c r="BJ41">
        <v>0.25</v>
      </c>
      <c r="BK41">
        <v>2.06</v>
      </c>
      <c r="BL41">
        <v>1.84</v>
      </c>
      <c r="BM41">
        <v>2.06</v>
      </c>
      <c r="BN41">
        <v>1.83</v>
      </c>
      <c r="BO41">
        <v>2.0699999999999998</v>
      </c>
      <c r="BP41">
        <v>1.85</v>
      </c>
      <c r="BQ41">
        <v>2.0299999999999998</v>
      </c>
      <c r="BR41">
        <v>1.82</v>
      </c>
      <c r="BS41">
        <v>2.12</v>
      </c>
      <c r="BT41">
        <v>1.88</v>
      </c>
      <c r="BU41">
        <v>3.6</v>
      </c>
      <c r="BV41">
        <v>3.5</v>
      </c>
      <c r="BW41">
        <v>2.0499999999999998</v>
      </c>
      <c r="BX41">
        <v>3.5</v>
      </c>
      <c r="BY41">
        <v>3.7</v>
      </c>
      <c r="BZ41">
        <v>2</v>
      </c>
      <c r="CA41">
        <v>3.5</v>
      </c>
      <c r="CB41">
        <v>3.5</v>
      </c>
      <c r="CC41">
        <v>2</v>
      </c>
      <c r="CD41">
        <v>3.6</v>
      </c>
      <c r="CE41">
        <v>3.73</v>
      </c>
      <c r="CF41">
        <v>2.0699999999999998</v>
      </c>
      <c r="CG41">
        <v>3.4</v>
      </c>
      <c r="CH41">
        <v>3.75</v>
      </c>
      <c r="CI41">
        <v>2.0499999999999998</v>
      </c>
      <c r="CJ41">
        <v>4.03</v>
      </c>
      <c r="CK41">
        <v>3.58</v>
      </c>
      <c r="CL41">
        <v>1.98</v>
      </c>
      <c r="CM41">
        <v>4.03</v>
      </c>
      <c r="CN41">
        <v>3.8</v>
      </c>
      <c r="CO41">
        <v>2.1</v>
      </c>
      <c r="CP41">
        <v>3.59</v>
      </c>
      <c r="CQ41">
        <v>3.69</v>
      </c>
      <c r="CR41">
        <v>2.04</v>
      </c>
      <c r="CS41">
        <v>3.7</v>
      </c>
      <c r="CT41">
        <v>3.85</v>
      </c>
      <c r="CU41">
        <v>2.1</v>
      </c>
      <c r="CV41">
        <v>1.62</v>
      </c>
      <c r="CW41">
        <v>2.2999999999999998</v>
      </c>
      <c r="CX41">
        <v>1.68</v>
      </c>
      <c r="CY41">
        <v>2.29</v>
      </c>
      <c r="CZ41">
        <v>1.68</v>
      </c>
      <c r="DA41">
        <v>2.39</v>
      </c>
      <c r="DB41">
        <v>1.64</v>
      </c>
      <c r="DC41">
        <v>2.31</v>
      </c>
      <c r="DD41">
        <v>1.68</v>
      </c>
      <c r="DE41">
        <v>2.44</v>
      </c>
      <c r="DF41">
        <v>0.5</v>
      </c>
      <c r="DG41">
        <v>1.85</v>
      </c>
      <c r="DH41">
        <v>2.08</v>
      </c>
      <c r="DI41">
        <v>1.85</v>
      </c>
      <c r="DJ41">
        <v>2.08</v>
      </c>
      <c r="DK41">
        <v>1.88</v>
      </c>
      <c r="DL41">
        <v>2.09</v>
      </c>
      <c r="DM41">
        <v>1.84</v>
      </c>
      <c r="DN41">
        <v>2.04</v>
      </c>
      <c r="DO41">
        <v>1.9</v>
      </c>
      <c r="DP41">
        <v>2.1</v>
      </c>
    </row>
    <row r="42" spans="1:120" x14ac:dyDescent="0.3">
      <c r="A42" t="s">
        <v>120</v>
      </c>
      <c r="B42" t="s">
        <v>170</v>
      </c>
      <c r="C42" s="1">
        <v>0.52083333333333337</v>
      </c>
      <c r="D42" t="s">
        <v>144</v>
      </c>
      <c r="E42" t="s">
        <v>151</v>
      </c>
      <c r="F42">
        <v>0</v>
      </c>
      <c r="G42">
        <v>3</v>
      </c>
      <c r="H42" t="s">
        <v>130</v>
      </c>
      <c r="I42">
        <v>0</v>
      </c>
      <c r="J42">
        <v>2</v>
      </c>
      <c r="K42" t="s">
        <v>130</v>
      </c>
      <c r="L42" t="s">
        <v>150</v>
      </c>
      <c r="M42">
        <v>15</v>
      </c>
      <c r="N42">
        <v>12</v>
      </c>
      <c r="O42">
        <v>7</v>
      </c>
      <c r="P42">
        <v>5</v>
      </c>
      <c r="Q42">
        <v>17</v>
      </c>
      <c r="R42">
        <v>9</v>
      </c>
      <c r="S42">
        <v>6</v>
      </c>
      <c r="T42">
        <v>5</v>
      </c>
      <c r="U42">
        <v>5</v>
      </c>
      <c r="V42">
        <v>2</v>
      </c>
      <c r="W42">
        <v>0</v>
      </c>
      <c r="X42">
        <v>0</v>
      </c>
      <c r="Y42">
        <v>3.6</v>
      </c>
      <c r="Z42">
        <v>3.9</v>
      </c>
      <c r="AA42">
        <v>1.95</v>
      </c>
      <c r="AB42">
        <v>3.4</v>
      </c>
      <c r="AC42">
        <v>3.8</v>
      </c>
      <c r="AD42">
        <v>2.0499999999999998</v>
      </c>
      <c r="AE42">
        <v>3.4</v>
      </c>
      <c r="AF42">
        <v>3.9</v>
      </c>
      <c r="AG42">
        <v>2</v>
      </c>
      <c r="AH42">
        <v>3.59</v>
      </c>
      <c r="AI42">
        <v>3.93</v>
      </c>
      <c r="AJ42">
        <v>1.99</v>
      </c>
      <c r="AK42">
        <v>3.4</v>
      </c>
      <c r="AL42">
        <v>3.75</v>
      </c>
      <c r="AM42">
        <v>2.0499999999999998</v>
      </c>
      <c r="AN42">
        <v>3.62</v>
      </c>
      <c r="AO42">
        <v>3.95</v>
      </c>
      <c r="AP42">
        <v>2.02</v>
      </c>
      <c r="AQ42">
        <v>3.71</v>
      </c>
      <c r="AR42">
        <v>4</v>
      </c>
      <c r="AS42">
        <v>2.0499999999999998</v>
      </c>
      <c r="AT42">
        <v>3.49</v>
      </c>
      <c r="AU42">
        <v>3.89</v>
      </c>
      <c r="AV42">
        <v>2.0099999999999998</v>
      </c>
      <c r="AW42">
        <v>3.6</v>
      </c>
      <c r="AX42">
        <v>4</v>
      </c>
      <c r="AY42">
        <v>2.08</v>
      </c>
      <c r="AZ42">
        <v>1.5</v>
      </c>
      <c r="BA42">
        <v>2.63</v>
      </c>
      <c r="BB42">
        <v>1.53</v>
      </c>
      <c r="BC42">
        <v>2.6</v>
      </c>
      <c r="BD42">
        <v>1.55</v>
      </c>
      <c r="BE42">
        <v>2.66</v>
      </c>
      <c r="BF42">
        <v>1.52</v>
      </c>
      <c r="BG42">
        <v>2.54</v>
      </c>
      <c r="BH42">
        <v>1.57</v>
      </c>
      <c r="BI42">
        <v>2.68</v>
      </c>
      <c r="BJ42">
        <v>0.5</v>
      </c>
      <c r="BK42">
        <v>1.9</v>
      </c>
      <c r="BL42">
        <v>2</v>
      </c>
      <c r="BM42">
        <v>1.9</v>
      </c>
      <c r="BN42">
        <v>2</v>
      </c>
      <c r="BO42">
        <v>1.91</v>
      </c>
      <c r="BP42">
        <v>2.02</v>
      </c>
      <c r="BQ42">
        <v>1.87</v>
      </c>
      <c r="BR42">
        <v>2</v>
      </c>
      <c r="BS42">
        <v>1.9</v>
      </c>
      <c r="BT42">
        <v>2.08</v>
      </c>
      <c r="BU42">
        <v>3.5</v>
      </c>
      <c r="BV42">
        <v>3.9</v>
      </c>
      <c r="BW42">
        <v>1.95</v>
      </c>
      <c r="BX42">
        <v>3.5</v>
      </c>
      <c r="BY42">
        <v>3.9</v>
      </c>
      <c r="BZ42">
        <v>1.98</v>
      </c>
      <c r="CA42">
        <v>3.5</v>
      </c>
      <c r="CB42">
        <v>3.9</v>
      </c>
      <c r="CC42">
        <v>2</v>
      </c>
      <c r="CD42">
        <v>3.59</v>
      </c>
      <c r="CE42">
        <v>3.94</v>
      </c>
      <c r="CF42">
        <v>2.0099999999999998</v>
      </c>
      <c r="CG42">
        <v>3.5</v>
      </c>
      <c r="CH42">
        <v>3.8</v>
      </c>
      <c r="CI42">
        <v>2</v>
      </c>
      <c r="CJ42">
        <v>3.81</v>
      </c>
      <c r="CK42">
        <v>3.99</v>
      </c>
      <c r="CL42">
        <v>1.93</v>
      </c>
      <c r="CM42">
        <v>3.81</v>
      </c>
      <c r="CN42">
        <v>4.05</v>
      </c>
      <c r="CO42">
        <v>2.06</v>
      </c>
      <c r="CP42">
        <v>3.53</v>
      </c>
      <c r="CQ42">
        <v>3.91</v>
      </c>
      <c r="CR42">
        <v>2</v>
      </c>
      <c r="CS42">
        <v>3.65</v>
      </c>
      <c r="CT42">
        <v>4</v>
      </c>
      <c r="CU42">
        <v>2.06</v>
      </c>
      <c r="CV42">
        <v>1.5</v>
      </c>
      <c r="CW42">
        <v>2.63</v>
      </c>
      <c r="CX42">
        <v>1.52</v>
      </c>
      <c r="CY42">
        <v>2.59</v>
      </c>
      <c r="CZ42">
        <v>1.56</v>
      </c>
      <c r="DA42">
        <v>2.66</v>
      </c>
      <c r="DB42">
        <v>1.51</v>
      </c>
      <c r="DC42">
        <v>2.6</v>
      </c>
      <c r="DD42">
        <v>1.57</v>
      </c>
      <c r="DE42">
        <v>2.72</v>
      </c>
      <c r="DF42">
        <v>0.5</v>
      </c>
      <c r="DG42">
        <v>1.9</v>
      </c>
      <c r="DH42">
        <v>2.0299999999999998</v>
      </c>
      <c r="DI42">
        <v>1.9</v>
      </c>
      <c r="DJ42">
        <v>2.02</v>
      </c>
      <c r="DK42">
        <v>1.9</v>
      </c>
      <c r="DL42">
        <v>2.04</v>
      </c>
      <c r="DM42">
        <v>1.86</v>
      </c>
      <c r="DN42">
        <v>2.0099999999999998</v>
      </c>
      <c r="DO42">
        <v>1.92</v>
      </c>
      <c r="DP42">
        <v>2.06</v>
      </c>
    </row>
    <row r="43" spans="1:120" x14ac:dyDescent="0.3">
      <c r="A43" t="s">
        <v>120</v>
      </c>
      <c r="B43" t="s">
        <v>170</v>
      </c>
      <c r="C43" s="1">
        <v>0.625</v>
      </c>
      <c r="D43" t="s">
        <v>145</v>
      </c>
      <c r="E43" t="s">
        <v>133</v>
      </c>
      <c r="F43">
        <v>3</v>
      </c>
      <c r="G43">
        <v>1</v>
      </c>
      <c r="H43" t="s">
        <v>124</v>
      </c>
      <c r="I43">
        <v>0</v>
      </c>
      <c r="J43">
        <v>1</v>
      </c>
      <c r="K43" t="s">
        <v>130</v>
      </c>
      <c r="L43" t="s">
        <v>131</v>
      </c>
      <c r="M43">
        <v>9</v>
      </c>
      <c r="N43">
        <v>10</v>
      </c>
      <c r="O43">
        <v>4</v>
      </c>
      <c r="P43">
        <v>4</v>
      </c>
      <c r="Q43">
        <v>11</v>
      </c>
      <c r="R43">
        <v>16</v>
      </c>
      <c r="S43">
        <v>6</v>
      </c>
      <c r="T43">
        <v>5</v>
      </c>
      <c r="U43">
        <v>3</v>
      </c>
      <c r="V43">
        <v>6</v>
      </c>
      <c r="W43">
        <v>0</v>
      </c>
      <c r="X43">
        <v>0</v>
      </c>
      <c r="Y43">
        <v>1.57</v>
      </c>
      <c r="Z43">
        <v>4.2</v>
      </c>
      <c r="AA43">
        <v>5.25</v>
      </c>
      <c r="AB43">
        <v>1.58</v>
      </c>
      <c r="AC43">
        <v>4.4000000000000004</v>
      </c>
      <c r="AD43">
        <v>5.25</v>
      </c>
      <c r="AE43">
        <v>1.57</v>
      </c>
      <c r="AF43">
        <v>4.33</v>
      </c>
      <c r="AG43">
        <v>5.5</v>
      </c>
      <c r="AH43">
        <v>1.59</v>
      </c>
      <c r="AI43">
        <v>4.47</v>
      </c>
      <c r="AJ43">
        <v>5.44</v>
      </c>
      <c r="AK43">
        <v>1.6</v>
      </c>
      <c r="AL43">
        <v>4.2</v>
      </c>
      <c r="AM43">
        <v>5.5</v>
      </c>
      <c r="AN43">
        <v>1.62</v>
      </c>
      <c r="AO43">
        <v>4.5199999999999996</v>
      </c>
      <c r="AP43">
        <v>5.38</v>
      </c>
      <c r="AQ43">
        <v>1.62</v>
      </c>
      <c r="AR43">
        <v>4.5999999999999996</v>
      </c>
      <c r="AS43">
        <v>5.6</v>
      </c>
      <c r="AT43">
        <v>1.59</v>
      </c>
      <c r="AU43">
        <v>4.3899999999999997</v>
      </c>
      <c r="AV43">
        <v>5.35</v>
      </c>
      <c r="AW43">
        <v>1.62</v>
      </c>
      <c r="AX43">
        <v>4.5</v>
      </c>
      <c r="AY43">
        <v>5.9</v>
      </c>
      <c r="AZ43">
        <v>1.57</v>
      </c>
      <c r="BA43">
        <v>2.38</v>
      </c>
      <c r="BB43">
        <v>1.58</v>
      </c>
      <c r="BC43">
        <v>2.4700000000000002</v>
      </c>
      <c r="BD43">
        <v>1.63</v>
      </c>
      <c r="BE43">
        <v>2.4700000000000002</v>
      </c>
      <c r="BF43">
        <v>1.58</v>
      </c>
      <c r="BG43">
        <v>2.41</v>
      </c>
      <c r="BH43">
        <v>1.62</v>
      </c>
      <c r="BI43">
        <v>2.54</v>
      </c>
      <c r="BJ43">
        <v>-1</v>
      </c>
      <c r="BK43">
        <v>2</v>
      </c>
      <c r="BL43">
        <v>1.9</v>
      </c>
      <c r="BM43">
        <v>1.98</v>
      </c>
      <c r="BN43">
        <v>1.93</v>
      </c>
      <c r="BO43">
        <v>2.02</v>
      </c>
      <c r="BP43">
        <v>1.93</v>
      </c>
      <c r="BQ43">
        <v>1.98</v>
      </c>
      <c r="BR43">
        <v>1.88</v>
      </c>
      <c r="BS43">
        <v>2.0099999999999998</v>
      </c>
      <c r="BT43">
        <v>1.97</v>
      </c>
      <c r="BU43">
        <v>1.65</v>
      </c>
      <c r="BV43">
        <v>4</v>
      </c>
      <c r="BW43">
        <v>4.75</v>
      </c>
      <c r="BX43">
        <v>1.63</v>
      </c>
      <c r="BY43">
        <v>4.2</v>
      </c>
      <c r="BZ43">
        <v>5</v>
      </c>
      <c r="CA43">
        <v>1.6</v>
      </c>
      <c r="CB43">
        <v>4.33</v>
      </c>
      <c r="CC43">
        <v>5.5</v>
      </c>
      <c r="CD43">
        <v>1.67</v>
      </c>
      <c r="CE43">
        <v>4.21</v>
      </c>
      <c r="CF43">
        <v>5.16</v>
      </c>
      <c r="CG43">
        <v>1.57</v>
      </c>
      <c r="CH43">
        <v>4.33</v>
      </c>
      <c r="CI43">
        <v>5.5</v>
      </c>
      <c r="CJ43">
        <v>1.65</v>
      </c>
      <c r="CK43">
        <v>4.2300000000000004</v>
      </c>
      <c r="CL43">
        <v>5.37</v>
      </c>
      <c r="CM43">
        <v>1.69</v>
      </c>
      <c r="CN43">
        <v>4.5</v>
      </c>
      <c r="CO43">
        <v>5.5</v>
      </c>
      <c r="CP43">
        <v>1.62</v>
      </c>
      <c r="CQ43">
        <v>4.2699999999999996</v>
      </c>
      <c r="CR43">
        <v>5.28</v>
      </c>
      <c r="CS43">
        <v>1.64</v>
      </c>
      <c r="CT43">
        <v>4.4000000000000004</v>
      </c>
      <c r="CU43">
        <v>5.8</v>
      </c>
      <c r="CV43">
        <v>1.67</v>
      </c>
      <c r="CW43">
        <v>2.2000000000000002</v>
      </c>
      <c r="CX43">
        <v>1.68</v>
      </c>
      <c r="CY43">
        <v>2.2999999999999998</v>
      </c>
      <c r="CZ43">
        <v>1.68</v>
      </c>
      <c r="DA43">
        <v>2.41</v>
      </c>
      <c r="DB43">
        <v>1.64</v>
      </c>
      <c r="DC43">
        <v>2.31</v>
      </c>
      <c r="DD43">
        <v>1.7</v>
      </c>
      <c r="DE43">
        <v>2.4</v>
      </c>
      <c r="DF43">
        <v>-0.75</v>
      </c>
      <c r="DG43">
        <v>1.86</v>
      </c>
      <c r="DH43">
        <v>2.0699999999999998</v>
      </c>
      <c r="DI43">
        <v>1.85</v>
      </c>
      <c r="DJ43">
        <v>2.08</v>
      </c>
      <c r="DK43">
        <v>1.9</v>
      </c>
      <c r="DL43">
        <v>2.17</v>
      </c>
      <c r="DM43">
        <v>1.78</v>
      </c>
      <c r="DN43">
        <v>2.12</v>
      </c>
      <c r="DO43">
        <v>1.81</v>
      </c>
      <c r="DP43">
        <v>2.21</v>
      </c>
    </row>
    <row r="44" spans="1:120" x14ac:dyDescent="0.3">
      <c r="A44" t="s">
        <v>120</v>
      </c>
      <c r="B44" t="s">
        <v>170</v>
      </c>
      <c r="C44" s="1">
        <v>0.625</v>
      </c>
      <c r="D44" t="s">
        <v>123</v>
      </c>
      <c r="E44" t="s">
        <v>138</v>
      </c>
      <c r="F44">
        <v>3</v>
      </c>
      <c r="G44">
        <v>1</v>
      </c>
      <c r="H44" t="s">
        <v>124</v>
      </c>
      <c r="I44">
        <v>2</v>
      </c>
      <c r="J44">
        <v>0</v>
      </c>
      <c r="K44" t="s">
        <v>124</v>
      </c>
      <c r="L44" t="s">
        <v>171</v>
      </c>
      <c r="M44">
        <v>22</v>
      </c>
      <c r="N44">
        <v>15</v>
      </c>
      <c r="O44">
        <v>11</v>
      </c>
      <c r="P44">
        <v>4</v>
      </c>
      <c r="Q44">
        <v>16</v>
      </c>
      <c r="R44">
        <v>8</v>
      </c>
      <c r="S44">
        <v>6</v>
      </c>
      <c r="T44">
        <v>0</v>
      </c>
      <c r="U44">
        <v>6</v>
      </c>
      <c r="V44">
        <v>0</v>
      </c>
      <c r="W44">
        <v>0</v>
      </c>
      <c r="X44">
        <v>0</v>
      </c>
      <c r="Y44">
        <v>3</v>
      </c>
      <c r="Z44">
        <v>3.4</v>
      </c>
      <c r="AA44">
        <v>2.4</v>
      </c>
      <c r="AB44">
        <v>2.87</v>
      </c>
      <c r="AC44">
        <v>3.6</v>
      </c>
      <c r="AD44">
        <v>2.35</v>
      </c>
      <c r="AE44">
        <v>2.8</v>
      </c>
      <c r="AF44">
        <v>3.5</v>
      </c>
      <c r="AG44">
        <v>2.4500000000000002</v>
      </c>
      <c r="AH44">
        <v>2.89</v>
      </c>
      <c r="AI44">
        <v>3.54</v>
      </c>
      <c r="AJ44">
        <v>2.4700000000000002</v>
      </c>
      <c r="AK44">
        <v>2.88</v>
      </c>
      <c r="AL44">
        <v>3.4</v>
      </c>
      <c r="AM44">
        <v>2.5</v>
      </c>
      <c r="AN44">
        <v>2.93</v>
      </c>
      <c r="AO44">
        <v>3.54</v>
      </c>
      <c r="AP44">
        <v>2.4900000000000002</v>
      </c>
      <c r="AQ44">
        <v>3</v>
      </c>
      <c r="AR44">
        <v>3.61</v>
      </c>
      <c r="AS44">
        <v>2.52</v>
      </c>
      <c r="AT44">
        <v>2.86</v>
      </c>
      <c r="AU44">
        <v>3.51</v>
      </c>
      <c r="AV44">
        <v>2.4500000000000002</v>
      </c>
      <c r="AW44">
        <v>3</v>
      </c>
      <c r="AX44">
        <v>3.65</v>
      </c>
      <c r="AY44">
        <v>2.52</v>
      </c>
      <c r="AZ44">
        <v>1.67</v>
      </c>
      <c r="BA44">
        <v>2.2000000000000002</v>
      </c>
      <c r="BB44">
        <v>1.71</v>
      </c>
      <c r="BC44">
        <v>2.2200000000000002</v>
      </c>
      <c r="BD44">
        <v>1.72</v>
      </c>
      <c r="BE44">
        <v>2.29</v>
      </c>
      <c r="BF44">
        <v>1.68</v>
      </c>
      <c r="BG44">
        <v>2.2200000000000002</v>
      </c>
      <c r="BH44">
        <v>1.73</v>
      </c>
      <c r="BI44">
        <v>2.34</v>
      </c>
      <c r="BJ44">
        <v>0.25</v>
      </c>
      <c r="BK44">
        <v>1.82</v>
      </c>
      <c r="BL44">
        <v>2.08</v>
      </c>
      <c r="BM44">
        <v>1.78</v>
      </c>
      <c r="BN44">
        <v>2.13</v>
      </c>
      <c r="BO44">
        <v>1.82</v>
      </c>
      <c r="BP44">
        <v>2.14</v>
      </c>
      <c r="BQ44">
        <v>1.77</v>
      </c>
      <c r="BR44">
        <v>2.09</v>
      </c>
      <c r="BS44">
        <v>1.84</v>
      </c>
      <c r="BT44">
        <v>2.17</v>
      </c>
      <c r="BU44">
        <v>2.9</v>
      </c>
      <c r="BV44">
        <v>3.4</v>
      </c>
      <c r="BW44">
        <v>2.4</v>
      </c>
      <c r="BX44">
        <v>2.75</v>
      </c>
      <c r="BY44">
        <v>3.5</v>
      </c>
      <c r="BZ44">
        <v>2.4500000000000002</v>
      </c>
      <c r="CA44">
        <v>2.8</v>
      </c>
      <c r="CB44">
        <v>3.5</v>
      </c>
      <c r="CC44">
        <v>2.4500000000000002</v>
      </c>
      <c r="CD44">
        <v>3.02</v>
      </c>
      <c r="CE44">
        <v>3.57</v>
      </c>
      <c r="CF44">
        <v>2.41</v>
      </c>
      <c r="CG44">
        <v>2.9</v>
      </c>
      <c r="CH44">
        <v>3.5</v>
      </c>
      <c r="CI44">
        <v>2.4</v>
      </c>
      <c r="CJ44">
        <v>3.11</v>
      </c>
      <c r="CK44">
        <v>3.48</v>
      </c>
      <c r="CL44">
        <v>2.37</v>
      </c>
      <c r="CM44">
        <v>3.11</v>
      </c>
      <c r="CN44">
        <v>3.61</v>
      </c>
      <c r="CO44">
        <v>2.6</v>
      </c>
      <c r="CP44">
        <v>2.89</v>
      </c>
      <c r="CQ44">
        <v>3.51</v>
      </c>
      <c r="CR44">
        <v>2.4500000000000002</v>
      </c>
      <c r="CS44">
        <v>3</v>
      </c>
      <c r="CT44">
        <v>3.65</v>
      </c>
      <c r="CU44">
        <v>2.5</v>
      </c>
      <c r="CV44">
        <v>1.67</v>
      </c>
      <c r="CW44">
        <v>2.2000000000000002</v>
      </c>
      <c r="CX44">
        <v>1.7</v>
      </c>
      <c r="CY44">
        <v>2.25</v>
      </c>
      <c r="CZ44">
        <v>1.71</v>
      </c>
      <c r="DA44">
        <v>2.2999999999999998</v>
      </c>
      <c r="DB44">
        <v>1.68</v>
      </c>
      <c r="DC44">
        <v>2.2400000000000002</v>
      </c>
      <c r="DD44">
        <v>1.73</v>
      </c>
      <c r="DE44">
        <v>2.34</v>
      </c>
      <c r="DF44">
        <v>0.25</v>
      </c>
      <c r="DG44">
        <v>1.83</v>
      </c>
      <c r="DH44">
        <v>2.1</v>
      </c>
      <c r="DI44">
        <v>1.85</v>
      </c>
      <c r="DJ44">
        <v>2.09</v>
      </c>
      <c r="DK44">
        <v>1.86</v>
      </c>
      <c r="DL44">
        <v>2.2400000000000002</v>
      </c>
      <c r="DM44">
        <v>1.79</v>
      </c>
      <c r="DN44">
        <v>2.1</v>
      </c>
      <c r="DO44">
        <v>1.84</v>
      </c>
      <c r="DP44">
        <v>2.16</v>
      </c>
    </row>
    <row r="45" spans="1:120" x14ac:dyDescent="0.3">
      <c r="A45" t="s">
        <v>120</v>
      </c>
      <c r="B45" t="s">
        <v>170</v>
      </c>
      <c r="C45" s="1">
        <v>0.625</v>
      </c>
      <c r="D45" t="s">
        <v>155</v>
      </c>
      <c r="E45" t="s">
        <v>135</v>
      </c>
      <c r="F45">
        <v>1</v>
      </c>
      <c r="G45">
        <v>1</v>
      </c>
      <c r="H45" t="s">
        <v>125</v>
      </c>
      <c r="I45">
        <v>0</v>
      </c>
      <c r="J45">
        <v>1</v>
      </c>
      <c r="K45" t="s">
        <v>130</v>
      </c>
      <c r="L45" t="s">
        <v>163</v>
      </c>
      <c r="M45">
        <v>12</v>
      </c>
      <c r="N45">
        <v>16</v>
      </c>
      <c r="O45">
        <v>2</v>
      </c>
      <c r="P45">
        <v>5</v>
      </c>
      <c r="Q45">
        <v>11</v>
      </c>
      <c r="R45">
        <v>12</v>
      </c>
      <c r="S45">
        <v>6</v>
      </c>
      <c r="T45">
        <v>1</v>
      </c>
      <c r="U45">
        <v>1</v>
      </c>
      <c r="V45">
        <v>2</v>
      </c>
      <c r="W45">
        <v>0</v>
      </c>
      <c r="X45">
        <v>0</v>
      </c>
      <c r="Y45">
        <v>2.4500000000000002</v>
      </c>
      <c r="Z45">
        <v>3.4</v>
      </c>
      <c r="AA45">
        <v>2.88</v>
      </c>
      <c r="AB45">
        <v>2.5499999999999998</v>
      </c>
      <c r="AC45">
        <v>3.4</v>
      </c>
      <c r="AD45">
        <v>2.7</v>
      </c>
      <c r="AE45">
        <v>2.5</v>
      </c>
      <c r="AF45">
        <v>3.4</v>
      </c>
      <c r="AG45">
        <v>2.8</v>
      </c>
      <c r="AH45">
        <v>2.54</v>
      </c>
      <c r="AI45">
        <v>3.43</v>
      </c>
      <c r="AJ45">
        <v>2.88</v>
      </c>
      <c r="AK45">
        <v>2.5</v>
      </c>
      <c r="AL45">
        <v>3.5</v>
      </c>
      <c r="AM45">
        <v>2.75</v>
      </c>
      <c r="AN45">
        <v>2.5299999999999998</v>
      </c>
      <c r="AO45">
        <v>3.6</v>
      </c>
      <c r="AP45">
        <v>2.83</v>
      </c>
      <c r="AQ45">
        <v>2.58</v>
      </c>
      <c r="AR45">
        <v>3.6</v>
      </c>
      <c r="AS45">
        <v>2.92</v>
      </c>
      <c r="AT45">
        <v>2.52</v>
      </c>
      <c r="AU45">
        <v>3.44</v>
      </c>
      <c r="AV45">
        <v>2.82</v>
      </c>
      <c r="AW45">
        <v>2.62</v>
      </c>
      <c r="AX45">
        <v>3.5</v>
      </c>
      <c r="AY45">
        <v>2.96</v>
      </c>
      <c r="AZ45">
        <v>1.87</v>
      </c>
      <c r="BA45">
        <v>2.0299999999999998</v>
      </c>
      <c r="BB45">
        <v>1.9</v>
      </c>
      <c r="BC45">
        <v>1.99</v>
      </c>
      <c r="BD45">
        <v>1.9</v>
      </c>
      <c r="BE45">
        <v>2.0499999999999998</v>
      </c>
      <c r="BF45">
        <v>1.86</v>
      </c>
      <c r="BG45">
        <v>1.98</v>
      </c>
      <c r="BH45">
        <v>1.94</v>
      </c>
      <c r="BI45">
        <v>2.04</v>
      </c>
      <c r="BJ45">
        <v>0</v>
      </c>
      <c r="BK45">
        <v>1.81</v>
      </c>
      <c r="BL45">
        <v>2.09</v>
      </c>
      <c r="BM45">
        <v>1.83</v>
      </c>
      <c r="BN45">
        <v>2.08</v>
      </c>
      <c r="BO45">
        <v>1.85</v>
      </c>
      <c r="BP45">
        <v>2.11</v>
      </c>
      <c r="BQ45">
        <v>1.82</v>
      </c>
      <c r="BR45">
        <v>2.06</v>
      </c>
      <c r="BS45">
        <v>1.87</v>
      </c>
      <c r="BT45">
        <v>2.13</v>
      </c>
      <c r="BU45">
        <v>2.1</v>
      </c>
      <c r="BV45">
        <v>3.5</v>
      </c>
      <c r="BW45">
        <v>3.5</v>
      </c>
      <c r="BX45">
        <v>2.1</v>
      </c>
      <c r="BY45">
        <v>3.5</v>
      </c>
      <c r="BZ45">
        <v>3.5</v>
      </c>
      <c r="CA45">
        <v>2.1</v>
      </c>
      <c r="CB45">
        <v>3.5</v>
      </c>
      <c r="CC45">
        <v>3.6</v>
      </c>
      <c r="CD45">
        <v>2.1</v>
      </c>
      <c r="CE45">
        <v>3.52</v>
      </c>
      <c r="CF45">
        <v>3.69</v>
      </c>
      <c r="CG45">
        <v>2.1</v>
      </c>
      <c r="CH45">
        <v>3.5</v>
      </c>
      <c r="CI45">
        <v>3.6</v>
      </c>
      <c r="CJ45">
        <v>2.14</v>
      </c>
      <c r="CK45">
        <v>3.56</v>
      </c>
      <c r="CL45">
        <v>3.56</v>
      </c>
      <c r="CM45">
        <v>2.15</v>
      </c>
      <c r="CN45">
        <v>3.6</v>
      </c>
      <c r="CO45">
        <v>3.76</v>
      </c>
      <c r="CP45">
        <v>2.11</v>
      </c>
      <c r="CQ45">
        <v>3.5</v>
      </c>
      <c r="CR45">
        <v>3.57</v>
      </c>
      <c r="CS45">
        <v>2.1800000000000002</v>
      </c>
      <c r="CT45">
        <v>3.6</v>
      </c>
      <c r="CU45">
        <v>3.75</v>
      </c>
      <c r="CV45">
        <v>1.73</v>
      </c>
      <c r="CW45">
        <v>2.1</v>
      </c>
      <c r="CX45">
        <v>1.81</v>
      </c>
      <c r="CY45">
        <v>2.13</v>
      </c>
      <c r="CZ45">
        <v>1.86</v>
      </c>
      <c r="DA45">
        <v>2.2000000000000002</v>
      </c>
      <c r="DB45">
        <v>1.79</v>
      </c>
      <c r="DC45">
        <v>2.0699999999999998</v>
      </c>
      <c r="DD45">
        <v>1.83</v>
      </c>
      <c r="DE45">
        <v>2.1800000000000002</v>
      </c>
      <c r="DF45">
        <v>-0.25</v>
      </c>
      <c r="DG45">
        <v>1.84</v>
      </c>
      <c r="DH45">
        <v>2.06</v>
      </c>
      <c r="DI45">
        <v>1.81</v>
      </c>
      <c r="DJ45">
        <v>2.11</v>
      </c>
      <c r="DK45">
        <v>1.88</v>
      </c>
      <c r="DL45">
        <v>2.12</v>
      </c>
      <c r="DM45">
        <v>1.82</v>
      </c>
      <c r="DN45">
        <v>2.06</v>
      </c>
      <c r="DO45">
        <v>1.87</v>
      </c>
      <c r="DP45">
        <v>2.13</v>
      </c>
    </row>
    <row r="46" spans="1:120" x14ac:dyDescent="0.3">
      <c r="A46" t="s">
        <v>120</v>
      </c>
      <c r="B46" t="s">
        <v>170</v>
      </c>
      <c r="C46" s="1">
        <v>0.625</v>
      </c>
      <c r="D46" t="s">
        <v>129</v>
      </c>
      <c r="E46" t="s">
        <v>142</v>
      </c>
      <c r="F46">
        <v>3</v>
      </c>
      <c r="G46">
        <v>0</v>
      </c>
      <c r="H46" t="s">
        <v>124</v>
      </c>
      <c r="I46">
        <v>3</v>
      </c>
      <c r="J46">
        <v>0</v>
      </c>
      <c r="K46" t="s">
        <v>124</v>
      </c>
      <c r="L46" t="s">
        <v>146</v>
      </c>
      <c r="M46">
        <v>19</v>
      </c>
      <c r="N46">
        <v>19</v>
      </c>
      <c r="O46">
        <v>13</v>
      </c>
      <c r="P46">
        <v>6</v>
      </c>
      <c r="Q46">
        <v>10</v>
      </c>
      <c r="R46">
        <v>12</v>
      </c>
      <c r="S46">
        <v>3</v>
      </c>
      <c r="T46">
        <v>9</v>
      </c>
      <c r="U46">
        <v>1</v>
      </c>
      <c r="V46">
        <v>4</v>
      </c>
      <c r="W46">
        <v>0</v>
      </c>
      <c r="X46">
        <v>0</v>
      </c>
      <c r="Y46">
        <v>1.3</v>
      </c>
      <c r="Z46">
        <v>6.25</v>
      </c>
      <c r="AA46">
        <v>9</v>
      </c>
      <c r="AB46">
        <v>1.29</v>
      </c>
      <c r="AC46">
        <v>6.5</v>
      </c>
      <c r="AD46">
        <v>9</v>
      </c>
      <c r="AE46">
        <v>1.25</v>
      </c>
      <c r="AF46">
        <v>6.5</v>
      </c>
      <c r="AG46">
        <v>10</v>
      </c>
      <c r="AH46">
        <v>1.28</v>
      </c>
      <c r="AI46">
        <v>6.36</v>
      </c>
      <c r="AJ46">
        <v>9.4499999999999993</v>
      </c>
      <c r="AK46">
        <v>1.3</v>
      </c>
      <c r="AL46">
        <v>6.5</v>
      </c>
      <c r="AM46">
        <v>8.5</v>
      </c>
      <c r="AN46">
        <v>1.31</v>
      </c>
      <c r="AO46">
        <v>6.3</v>
      </c>
      <c r="AP46">
        <v>9.75</v>
      </c>
      <c r="AQ46">
        <v>1.31</v>
      </c>
      <c r="AR46">
        <v>6.7</v>
      </c>
      <c r="AS46">
        <v>10</v>
      </c>
      <c r="AT46">
        <v>1.29</v>
      </c>
      <c r="AU46">
        <v>6.31</v>
      </c>
      <c r="AV46">
        <v>9.35</v>
      </c>
      <c r="AW46">
        <v>1.31</v>
      </c>
      <c r="AX46">
        <v>6.8</v>
      </c>
      <c r="AY46">
        <v>10.5</v>
      </c>
      <c r="AZ46">
        <v>1.36</v>
      </c>
      <c r="BA46">
        <v>3.2</v>
      </c>
      <c r="BB46">
        <v>1.36</v>
      </c>
      <c r="BC46">
        <v>3.2</v>
      </c>
      <c r="BD46">
        <v>1.39</v>
      </c>
      <c r="BE46">
        <v>3.27</v>
      </c>
      <c r="BF46">
        <v>1.36</v>
      </c>
      <c r="BG46">
        <v>3.12</v>
      </c>
      <c r="BH46">
        <v>1.41</v>
      </c>
      <c r="BI46">
        <v>3.35</v>
      </c>
      <c r="BJ46">
        <v>-1.75</v>
      </c>
      <c r="BK46">
        <v>2</v>
      </c>
      <c r="BL46">
        <v>1.9</v>
      </c>
      <c r="BM46">
        <v>1.97</v>
      </c>
      <c r="BN46">
        <v>1.92</v>
      </c>
      <c r="BO46">
        <v>2.02</v>
      </c>
      <c r="BP46">
        <v>1.93</v>
      </c>
      <c r="BQ46">
        <v>1.96</v>
      </c>
      <c r="BR46">
        <v>1.88</v>
      </c>
      <c r="BS46">
        <v>2.0499999999999998</v>
      </c>
      <c r="BT46">
        <v>1.91</v>
      </c>
      <c r="BU46">
        <v>1.25</v>
      </c>
      <c r="BV46">
        <v>6.5</v>
      </c>
      <c r="BW46">
        <v>10</v>
      </c>
      <c r="BX46">
        <v>1.28</v>
      </c>
      <c r="BY46">
        <v>6.5</v>
      </c>
      <c r="BZ46">
        <v>9.5</v>
      </c>
      <c r="CA46">
        <v>1.25</v>
      </c>
      <c r="CB46">
        <v>6.5</v>
      </c>
      <c r="CC46">
        <v>11</v>
      </c>
      <c r="CD46">
        <v>1.25</v>
      </c>
      <c r="CE46">
        <v>6.85</v>
      </c>
      <c r="CF46">
        <v>10.91</v>
      </c>
      <c r="CG46">
        <v>1.29</v>
      </c>
      <c r="CH46">
        <v>6.5</v>
      </c>
      <c r="CI46">
        <v>10</v>
      </c>
      <c r="CJ46">
        <v>1.27</v>
      </c>
      <c r="CK46">
        <v>6.69</v>
      </c>
      <c r="CL46">
        <v>10.7</v>
      </c>
      <c r="CM46">
        <v>1.29</v>
      </c>
      <c r="CN46">
        <v>7.1</v>
      </c>
      <c r="CO46">
        <v>11</v>
      </c>
      <c r="CP46">
        <v>1.26</v>
      </c>
      <c r="CQ46">
        <v>6.7</v>
      </c>
      <c r="CR46">
        <v>10.38</v>
      </c>
      <c r="CS46">
        <v>1.28</v>
      </c>
      <c r="CT46">
        <v>7.2</v>
      </c>
      <c r="CU46">
        <v>12</v>
      </c>
      <c r="CV46">
        <v>1.3</v>
      </c>
      <c r="CW46">
        <v>3.5</v>
      </c>
      <c r="CX46">
        <v>1.33</v>
      </c>
      <c r="CY46">
        <v>3.41</v>
      </c>
      <c r="CZ46">
        <v>1.35</v>
      </c>
      <c r="DA46">
        <v>3.7</v>
      </c>
      <c r="DB46">
        <v>1.31</v>
      </c>
      <c r="DC46">
        <v>3.53</v>
      </c>
      <c r="DD46">
        <v>1.34</v>
      </c>
      <c r="DE46">
        <v>3.9</v>
      </c>
      <c r="DF46">
        <v>-1.75</v>
      </c>
      <c r="DG46">
        <v>1.88</v>
      </c>
      <c r="DH46">
        <v>2.0499999999999998</v>
      </c>
      <c r="DI46">
        <v>1.87</v>
      </c>
      <c r="DJ46">
        <v>2.04</v>
      </c>
      <c r="DK46">
        <v>1.88</v>
      </c>
      <c r="DL46">
        <v>2.09</v>
      </c>
      <c r="DM46">
        <v>1.84</v>
      </c>
      <c r="DN46">
        <v>2.0299999999999998</v>
      </c>
      <c r="DO46">
        <v>1.89</v>
      </c>
      <c r="DP46">
        <v>2.09</v>
      </c>
    </row>
    <row r="47" spans="1:120" x14ac:dyDescent="0.3">
      <c r="A47" t="s">
        <v>120</v>
      </c>
      <c r="B47" t="s">
        <v>170</v>
      </c>
      <c r="C47" s="1">
        <v>0.625</v>
      </c>
      <c r="D47" t="s">
        <v>139</v>
      </c>
      <c r="E47" t="s">
        <v>128</v>
      </c>
      <c r="F47">
        <v>1</v>
      </c>
      <c r="G47">
        <v>1</v>
      </c>
      <c r="H47" t="s">
        <v>125</v>
      </c>
      <c r="I47">
        <v>1</v>
      </c>
      <c r="J47">
        <v>0</v>
      </c>
      <c r="K47" t="s">
        <v>124</v>
      </c>
      <c r="L47" t="s">
        <v>172</v>
      </c>
      <c r="M47">
        <v>11</v>
      </c>
      <c r="N47">
        <v>13</v>
      </c>
      <c r="O47">
        <v>3</v>
      </c>
      <c r="P47">
        <v>6</v>
      </c>
      <c r="Q47">
        <v>16</v>
      </c>
      <c r="R47">
        <v>16</v>
      </c>
      <c r="S47">
        <v>2</v>
      </c>
      <c r="T47">
        <v>10</v>
      </c>
      <c r="U47">
        <v>4</v>
      </c>
      <c r="V47">
        <v>4</v>
      </c>
      <c r="W47">
        <v>0</v>
      </c>
      <c r="X47">
        <v>0</v>
      </c>
      <c r="Y47">
        <v>2.25</v>
      </c>
      <c r="Z47">
        <v>3.5</v>
      </c>
      <c r="AA47">
        <v>3.2</v>
      </c>
      <c r="AB47">
        <v>2.25</v>
      </c>
      <c r="AC47">
        <v>3.6</v>
      </c>
      <c r="AD47">
        <v>3</v>
      </c>
      <c r="AE47">
        <v>2.2999999999999998</v>
      </c>
      <c r="AF47">
        <v>3.4</v>
      </c>
      <c r="AG47">
        <v>3.1</v>
      </c>
      <c r="AH47">
        <v>2.27</v>
      </c>
      <c r="AI47">
        <v>3.5</v>
      </c>
      <c r="AJ47">
        <v>3.24</v>
      </c>
      <c r="AK47">
        <v>2.2000000000000002</v>
      </c>
      <c r="AL47">
        <v>3.6</v>
      </c>
      <c r="AM47">
        <v>3.2</v>
      </c>
      <c r="AN47">
        <v>2.2599999999999998</v>
      </c>
      <c r="AO47">
        <v>3.7</v>
      </c>
      <c r="AP47">
        <v>3.2</v>
      </c>
      <c r="AQ47">
        <v>2.2999999999999998</v>
      </c>
      <c r="AR47">
        <v>3.7</v>
      </c>
      <c r="AS47">
        <v>3.27</v>
      </c>
      <c r="AT47">
        <v>2.25</v>
      </c>
      <c r="AU47">
        <v>3.52</v>
      </c>
      <c r="AV47">
        <v>3.17</v>
      </c>
      <c r="AW47">
        <v>2.34</v>
      </c>
      <c r="AX47">
        <v>3.6</v>
      </c>
      <c r="AY47">
        <v>3.3</v>
      </c>
      <c r="AZ47">
        <v>1.8</v>
      </c>
      <c r="BA47">
        <v>2</v>
      </c>
      <c r="BB47">
        <v>1.8</v>
      </c>
      <c r="BC47">
        <v>2.09</v>
      </c>
      <c r="BD47">
        <v>1.82</v>
      </c>
      <c r="BE47">
        <v>2.13</v>
      </c>
      <c r="BF47">
        <v>1.77</v>
      </c>
      <c r="BG47">
        <v>2.06</v>
      </c>
      <c r="BH47">
        <v>1.86</v>
      </c>
      <c r="BI47">
        <v>2.12</v>
      </c>
      <c r="BJ47">
        <v>-0.25</v>
      </c>
      <c r="BK47">
        <v>1.97</v>
      </c>
      <c r="BL47">
        <v>1.93</v>
      </c>
      <c r="BM47">
        <v>1.97</v>
      </c>
      <c r="BN47">
        <v>1.93</v>
      </c>
      <c r="BO47">
        <v>1.97</v>
      </c>
      <c r="BP47">
        <v>1.95</v>
      </c>
      <c r="BQ47">
        <v>1.92</v>
      </c>
      <c r="BR47">
        <v>1.92</v>
      </c>
      <c r="BS47">
        <v>2.0299999999999998</v>
      </c>
      <c r="BT47">
        <v>1.96</v>
      </c>
      <c r="BU47">
        <v>2.4500000000000002</v>
      </c>
      <c r="BV47">
        <v>3.4</v>
      </c>
      <c r="BW47">
        <v>2.88</v>
      </c>
      <c r="BX47">
        <v>2.4</v>
      </c>
      <c r="BY47">
        <v>3.4</v>
      </c>
      <c r="BZ47">
        <v>2.9</v>
      </c>
      <c r="CA47">
        <v>2.4</v>
      </c>
      <c r="CB47">
        <v>3.4</v>
      </c>
      <c r="CC47">
        <v>3</v>
      </c>
      <c r="CD47">
        <v>2.42</v>
      </c>
      <c r="CE47">
        <v>3.48</v>
      </c>
      <c r="CF47">
        <v>3.06</v>
      </c>
      <c r="CG47">
        <v>2.4</v>
      </c>
      <c r="CH47">
        <v>3.4</v>
      </c>
      <c r="CI47">
        <v>3</v>
      </c>
      <c r="CJ47">
        <v>2.4300000000000002</v>
      </c>
      <c r="CK47">
        <v>3.46</v>
      </c>
      <c r="CL47">
        <v>3.03</v>
      </c>
      <c r="CM47">
        <v>2.4900000000000002</v>
      </c>
      <c r="CN47">
        <v>3.53</v>
      </c>
      <c r="CO47">
        <v>3.06</v>
      </c>
      <c r="CP47">
        <v>2.44</v>
      </c>
      <c r="CQ47">
        <v>3.44</v>
      </c>
      <c r="CR47">
        <v>2.95</v>
      </c>
      <c r="CS47">
        <v>2.48</v>
      </c>
      <c r="CT47">
        <v>3.55</v>
      </c>
      <c r="CU47">
        <v>3.1</v>
      </c>
      <c r="CV47">
        <v>1.8</v>
      </c>
      <c r="CW47">
        <v>2</v>
      </c>
      <c r="CX47">
        <v>1.81</v>
      </c>
      <c r="CY47">
        <v>2.08</v>
      </c>
      <c r="CZ47">
        <v>1.9</v>
      </c>
      <c r="DA47">
        <v>2.13</v>
      </c>
      <c r="DB47">
        <v>1.8</v>
      </c>
      <c r="DC47">
        <v>2.02</v>
      </c>
      <c r="DD47">
        <v>1.86</v>
      </c>
      <c r="DE47">
        <v>2.14</v>
      </c>
      <c r="DF47">
        <v>-0.25</v>
      </c>
      <c r="DG47">
        <v>2.08</v>
      </c>
      <c r="DH47">
        <v>1.73</v>
      </c>
      <c r="DI47">
        <v>2.09</v>
      </c>
      <c r="DJ47">
        <v>1.85</v>
      </c>
      <c r="DK47">
        <v>2.14</v>
      </c>
      <c r="DL47">
        <v>1.85</v>
      </c>
      <c r="DM47">
        <v>2.08</v>
      </c>
      <c r="DN47">
        <v>1.79</v>
      </c>
      <c r="DO47">
        <v>2.13</v>
      </c>
      <c r="DP47">
        <v>1.86</v>
      </c>
    </row>
    <row r="48" spans="1:120" x14ac:dyDescent="0.3">
      <c r="A48" t="s">
        <v>120</v>
      </c>
      <c r="B48" t="s">
        <v>170</v>
      </c>
      <c r="C48" s="1">
        <v>0.625</v>
      </c>
      <c r="D48" t="s">
        <v>156</v>
      </c>
      <c r="E48" t="s">
        <v>148</v>
      </c>
      <c r="F48">
        <v>3</v>
      </c>
      <c r="G48">
        <v>1</v>
      </c>
      <c r="H48" t="s">
        <v>124</v>
      </c>
      <c r="I48">
        <v>2</v>
      </c>
      <c r="J48">
        <v>1</v>
      </c>
      <c r="K48" t="s">
        <v>124</v>
      </c>
      <c r="L48" t="s">
        <v>173</v>
      </c>
      <c r="M48">
        <v>23</v>
      </c>
      <c r="N48">
        <v>6</v>
      </c>
      <c r="O48">
        <v>10</v>
      </c>
      <c r="P48">
        <v>6</v>
      </c>
      <c r="Q48">
        <v>11</v>
      </c>
      <c r="R48">
        <v>9</v>
      </c>
      <c r="S48">
        <v>9</v>
      </c>
      <c r="T48">
        <v>4</v>
      </c>
      <c r="U48">
        <v>3</v>
      </c>
      <c r="V48">
        <v>1</v>
      </c>
      <c r="W48">
        <v>0</v>
      </c>
      <c r="X48">
        <v>0</v>
      </c>
      <c r="Y48">
        <v>1.55</v>
      </c>
      <c r="Z48">
        <v>4.5</v>
      </c>
      <c r="AA48">
        <v>5.5</v>
      </c>
      <c r="AB48">
        <v>1.53</v>
      </c>
      <c r="AC48">
        <v>4.75</v>
      </c>
      <c r="AD48">
        <v>5.5</v>
      </c>
      <c r="AE48">
        <v>1.55</v>
      </c>
      <c r="AF48">
        <v>4.5999999999999996</v>
      </c>
      <c r="AG48">
        <v>5.5</v>
      </c>
      <c r="AH48">
        <v>1.55</v>
      </c>
      <c r="AI48">
        <v>4.7699999999999996</v>
      </c>
      <c r="AJ48">
        <v>5.48</v>
      </c>
      <c r="AK48">
        <v>1.57</v>
      </c>
      <c r="AL48">
        <v>4.5</v>
      </c>
      <c r="AM48">
        <v>5.5</v>
      </c>
      <c r="AN48">
        <v>1.58</v>
      </c>
      <c r="AO48">
        <v>4.83</v>
      </c>
      <c r="AP48">
        <v>5.43</v>
      </c>
      <c r="AQ48">
        <v>1.58</v>
      </c>
      <c r="AR48">
        <v>5</v>
      </c>
      <c r="AS48">
        <v>5.6</v>
      </c>
      <c r="AT48">
        <v>1.55</v>
      </c>
      <c r="AU48">
        <v>4.72</v>
      </c>
      <c r="AV48">
        <v>5.41</v>
      </c>
      <c r="AW48">
        <v>1.59</v>
      </c>
      <c r="AX48">
        <v>4.9000000000000004</v>
      </c>
      <c r="AY48">
        <v>5.8</v>
      </c>
      <c r="AZ48">
        <v>1.44</v>
      </c>
      <c r="BA48">
        <v>2.75</v>
      </c>
      <c r="BB48">
        <v>1.44</v>
      </c>
      <c r="BC48">
        <v>2.89</v>
      </c>
      <c r="BD48">
        <v>1.45</v>
      </c>
      <c r="BE48">
        <v>2.93</v>
      </c>
      <c r="BF48">
        <v>1.42</v>
      </c>
      <c r="BG48">
        <v>2.81</v>
      </c>
      <c r="BH48">
        <v>1.47</v>
      </c>
      <c r="BI48">
        <v>3.05</v>
      </c>
      <c r="BJ48">
        <v>-1</v>
      </c>
      <c r="BK48">
        <v>1.89</v>
      </c>
      <c r="BL48">
        <v>2.0099999999999998</v>
      </c>
      <c r="BM48">
        <v>1.88</v>
      </c>
      <c r="BN48">
        <v>2.04</v>
      </c>
      <c r="BO48">
        <v>1.91</v>
      </c>
      <c r="BP48">
        <v>2.0499999999999998</v>
      </c>
      <c r="BQ48">
        <v>1.86</v>
      </c>
      <c r="BR48">
        <v>2</v>
      </c>
      <c r="BS48">
        <v>1.92</v>
      </c>
      <c r="BT48">
        <v>2.0299999999999998</v>
      </c>
      <c r="BU48">
        <v>1.48</v>
      </c>
      <c r="BV48">
        <v>5</v>
      </c>
      <c r="BW48">
        <v>6</v>
      </c>
      <c r="BX48">
        <v>1.47</v>
      </c>
      <c r="BY48">
        <v>4.8</v>
      </c>
      <c r="BZ48">
        <v>6</v>
      </c>
      <c r="CA48">
        <v>1.44</v>
      </c>
      <c r="CB48">
        <v>5</v>
      </c>
      <c r="CC48">
        <v>6.5</v>
      </c>
      <c r="CD48">
        <v>1.48</v>
      </c>
      <c r="CE48">
        <v>5.0999999999999996</v>
      </c>
      <c r="CF48">
        <v>6.23</v>
      </c>
      <c r="CG48">
        <v>1.5</v>
      </c>
      <c r="CH48">
        <v>4.8</v>
      </c>
      <c r="CI48">
        <v>6</v>
      </c>
      <c r="CJ48">
        <v>1.48</v>
      </c>
      <c r="CK48">
        <v>5.12</v>
      </c>
      <c r="CL48">
        <v>6.37</v>
      </c>
      <c r="CM48">
        <v>1.5</v>
      </c>
      <c r="CN48">
        <v>5.33</v>
      </c>
      <c r="CO48">
        <v>6.5</v>
      </c>
      <c r="CP48">
        <v>1.47</v>
      </c>
      <c r="CQ48">
        <v>4.99</v>
      </c>
      <c r="CR48">
        <v>6.19</v>
      </c>
      <c r="CS48">
        <v>1.49</v>
      </c>
      <c r="CT48">
        <v>5.2</v>
      </c>
      <c r="CU48">
        <v>7.2</v>
      </c>
      <c r="CV48">
        <v>1.36</v>
      </c>
      <c r="CW48">
        <v>3.2</v>
      </c>
      <c r="CX48">
        <v>1.39</v>
      </c>
      <c r="CY48">
        <v>3.14</v>
      </c>
      <c r="CZ48">
        <v>1.45</v>
      </c>
      <c r="DA48">
        <v>3.2</v>
      </c>
      <c r="DB48">
        <v>1.4</v>
      </c>
      <c r="DC48">
        <v>3</v>
      </c>
      <c r="DD48">
        <v>1.44</v>
      </c>
      <c r="DE48">
        <v>3.2</v>
      </c>
      <c r="DF48">
        <v>-1.25</v>
      </c>
      <c r="DG48">
        <v>2</v>
      </c>
      <c r="DH48">
        <v>1.93</v>
      </c>
      <c r="DI48">
        <v>2.0099999999999998</v>
      </c>
      <c r="DJ48">
        <v>1.91</v>
      </c>
      <c r="DK48">
        <v>2.0299999999999998</v>
      </c>
      <c r="DL48">
        <v>1.95</v>
      </c>
      <c r="DM48">
        <v>1.97</v>
      </c>
      <c r="DN48">
        <v>1.89</v>
      </c>
      <c r="DO48">
        <v>2.06</v>
      </c>
      <c r="DP48">
        <v>1.93</v>
      </c>
    </row>
    <row r="49" spans="1:120" x14ac:dyDescent="0.3">
      <c r="A49" t="s">
        <v>120</v>
      </c>
      <c r="B49" t="s">
        <v>170</v>
      </c>
      <c r="C49" s="1">
        <v>0.72916666666666663</v>
      </c>
      <c r="D49" t="s">
        <v>149</v>
      </c>
      <c r="E49" t="s">
        <v>122</v>
      </c>
      <c r="F49">
        <v>0</v>
      </c>
      <c r="G49">
        <v>0</v>
      </c>
      <c r="H49" t="s">
        <v>125</v>
      </c>
      <c r="I49">
        <v>0</v>
      </c>
      <c r="J49">
        <v>0</v>
      </c>
      <c r="K49" t="s">
        <v>125</v>
      </c>
      <c r="L49" t="s">
        <v>162</v>
      </c>
      <c r="M49">
        <v>9</v>
      </c>
      <c r="N49">
        <v>15</v>
      </c>
      <c r="O49">
        <v>4</v>
      </c>
      <c r="P49">
        <v>6</v>
      </c>
      <c r="Q49">
        <v>7</v>
      </c>
      <c r="R49">
        <v>12</v>
      </c>
      <c r="S49">
        <v>4</v>
      </c>
      <c r="T49">
        <v>11</v>
      </c>
      <c r="U49">
        <v>3</v>
      </c>
      <c r="V49">
        <v>1</v>
      </c>
      <c r="W49">
        <v>0</v>
      </c>
      <c r="X49">
        <v>0</v>
      </c>
      <c r="Y49">
        <v>2.88</v>
      </c>
      <c r="Z49">
        <v>3.75</v>
      </c>
      <c r="AA49">
        <v>2.2999999999999998</v>
      </c>
      <c r="AB49">
        <v>2.75</v>
      </c>
      <c r="AC49">
        <v>3.7</v>
      </c>
      <c r="AD49">
        <v>2.4</v>
      </c>
      <c r="AE49">
        <v>2.8</v>
      </c>
      <c r="AF49">
        <v>3.7</v>
      </c>
      <c r="AG49">
        <v>2.38</v>
      </c>
      <c r="AH49">
        <v>2.92</v>
      </c>
      <c r="AI49">
        <v>3.76</v>
      </c>
      <c r="AJ49">
        <v>2.35</v>
      </c>
      <c r="AK49">
        <v>2.88</v>
      </c>
      <c r="AL49">
        <v>3.6</v>
      </c>
      <c r="AM49">
        <v>2.38</v>
      </c>
      <c r="AN49">
        <v>2.92</v>
      </c>
      <c r="AO49">
        <v>3.88</v>
      </c>
      <c r="AP49">
        <v>2.35</v>
      </c>
      <c r="AQ49">
        <v>2.96</v>
      </c>
      <c r="AR49">
        <v>3.88</v>
      </c>
      <c r="AS49">
        <v>2.42</v>
      </c>
      <c r="AT49">
        <v>2.85</v>
      </c>
      <c r="AU49">
        <v>3.72</v>
      </c>
      <c r="AV49">
        <v>2.36</v>
      </c>
      <c r="AW49">
        <v>2.96</v>
      </c>
      <c r="AX49">
        <v>3.85</v>
      </c>
      <c r="AY49">
        <v>2.46</v>
      </c>
      <c r="AZ49">
        <v>1.57</v>
      </c>
      <c r="BA49">
        <v>2.38</v>
      </c>
      <c r="BB49">
        <v>1.62</v>
      </c>
      <c r="BC49">
        <v>2.41</v>
      </c>
      <c r="BD49">
        <v>1.64</v>
      </c>
      <c r="BE49">
        <v>2.4500000000000002</v>
      </c>
      <c r="BF49">
        <v>1.6</v>
      </c>
      <c r="BG49">
        <v>2.39</v>
      </c>
      <c r="BH49">
        <v>1.64</v>
      </c>
      <c r="BI49">
        <v>2.5</v>
      </c>
      <c r="BJ49">
        <v>0.25</v>
      </c>
      <c r="BK49">
        <v>1.85</v>
      </c>
      <c r="BL49">
        <v>2.0499999999999998</v>
      </c>
      <c r="BM49">
        <v>1.85</v>
      </c>
      <c r="BN49">
        <v>2.06</v>
      </c>
      <c r="BO49">
        <v>1.85</v>
      </c>
      <c r="BP49">
        <v>2.09</v>
      </c>
      <c r="BQ49">
        <v>1.82</v>
      </c>
      <c r="BR49">
        <v>2.0299999999999998</v>
      </c>
      <c r="BS49">
        <v>1.86</v>
      </c>
      <c r="BT49">
        <v>2.14</v>
      </c>
      <c r="BU49">
        <v>2.75</v>
      </c>
      <c r="BV49">
        <v>3.5</v>
      </c>
      <c r="BW49">
        <v>2.4500000000000002</v>
      </c>
      <c r="BX49">
        <v>2.8</v>
      </c>
      <c r="BY49">
        <v>3.5</v>
      </c>
      <c r="BZ49">
        <v>2.4500000000000002</v>
      </c>
      <c r="CA49">
        <v>2.8</v>
      </c>
      <c r="CB49">
        <v>3.5</v>
      </c>
      <c r="CC49">
        <v>2.4</v>
      </c>
      <c r="CD49">
        <v>2.8</v>
      </c>
      <c r="CE49">
        <v>3.55</v>
      </c>
      <c r="CF49">
        <v>2.57</v>
      </c>
      <c r="CG49">
        <v>3</v>
      </c>
      <c r="CH49">
        <v>3.4</v>
      </c>
      <c r="CI49">
        <v>2.38</v>
      </c>
      <c r="CJ49">
        <v>2.8</v>
      </c>
      <c r="CK49">
        <v>3.8</v>
      </c>
      <c r="CL49">
        <v>2.4700000000000002</v>
      </c>
      <c r="CM49">
        <v>3</v>
      </c>
      <c r="CN49">
        <v>3.8</v>
      </c>
      <c r="CO49">
        <v>2.5299999999999998</v>
      </c>
      <c r="CP49">
        <v>2.85</v>
      </c>
      <c r="CQ49">
        <v>3.58</v>
      </c>
      <c r="CR49">
        <v>2.44</v>
      </c>
      <c r="CS49">
        <v>2.98</v>
      </c>
      <c r="CT49">
        <v>3.7</v>
      </c>
      <c r="CU49">
        <v>2.5</v>
      </c>
      <c r="CV49">
        <v>1.67</v>
      </c>
      <c r="CW49">
        <v>2.2000000000000002</v>
      </c>
      <c r="CX49">
        <v>1.68</v>
      </c>
      <c r="CY49">
        <v>2.27</v>
      </c>
      <c r="CZ49">
        <v>1.71</v>
      </c>
      <c r="DA49">
        <v>2.37</v>
      </c>
      <c r="DB49">
        <v>1.68</v>
      </c>
      <c r="DC49">
        <v>2.25</v>
      </c>
      <c r="DD49">
        <v>1.71</v>
      </c>
      <c r="DE49">
        <v>2.38</v>
      </c>
      <c r="DF49">
        <v>0.25</v>
      </c>
      <c r="DG49">
        <v>1.73</v>
      </c>
      <c r="DH49">
        <v>2.08</v>
      </c>
      <c r="DI49">
        <v>1.74</v>
      </c>
      <c r="DJ49">
        <v>2.21</v>
      </c>
      <c r="DK49">
        <v>1.85</v>
      </c>
      <c r="DL49">
        <v>2.17</v>
      </c>
      <c r="DM49">
        <v>1.78</v>
      </c>
      <c r="DN49">
        <v>2.08</v>
      </c>
      <c r="DO49">
        <v>1.84</v>
      </c>
      <c r="DP49">
        <v>2.16</v>
      </c>
    </row>
    <row r="50" spans="1:120" x14ac:dyDescent="0.3">
      <c r="A50" t="s">
        <v>120</v>
      </c>
      <c r="B50" t="s">
        <v>174</v>
      </c>
      <c r="C50" s="1">
        <v>0.58333333333333337</v>
      </c>
      <c r="D50" t="s">
        <v>136</v>
      </c>
      <c r="E50" t="s">
        <v>141</v>
      </c>
      <c r="F50">
        <v>2</v>
      </c>
      <c r="G50">
        <v>2</v>
      </c>
      <c r="H50" t="s">
        <v>125</v>
      </c>
      <c r="I50">
        <v>2</v>
      </c>
      <c r="J50">
        <v>1</v>
      </c>
      <c r="K50" t="s">
        <v>124</v>
      </c>
      <c r="L50" t="s">
        <v>126</v>
      </c>
      <c r="M50">
        <v>14</v>
      </c>
      <c r="N50">
        <v>4</v>
      </c>
      <c r="O50">
        <v>3</v>
      </c>
      <c r="P50">
        <v>3</v>
      </c>
      <c r="Q50">
        <v>12</v>
      </c>
      <c r="R50">
        <v>11</v>
      </c>
      <c r="S50">
        <v>9</v>
      </c>
      <c r="T50">
        <v>1</v>
      </c>
      <c r="U50">
        <v>3</v>
      </c>
      <c r="V50">
        <v>4</v>
      </c>
      <c r="W50">
        <v>0</v>
      </c>
      <c r="X50">
        <v>1</v>
      </c>
      <c r="Y50">
        <v>1.75</v>
      </c>
      <c r="Z50">
        <v>3.75</v>
      </c>
      <c r="AA50">
        <v>4.75</v>
      </c>
      <c r="AB50">
        <v>1.78</v>
      </c>
      <c r="AC50">
        <v>3.8</v>
      </c>
      <c r="AD50">
        <v>4.4000000000000004</v>
      </c>
      <c r="AE50">
        <v>1.75</v>
      </c>
      <c r="AF50">
        <v>3.9</v>
      </c>
      <c r="AG50">
        <v>4.5999999999999996</v>
      </c>
      <c r="AH50">
        <v>1.79</v>
      </c>
      <c r="AI50">
        <v>3.91</v>
      </c>
      <c r="AJ50">
        <v>4.51</v>
      </c>
      <c r="AK50">
        <v>1.8</v>
      </c>
      <c r="AL50">
        <v>3.8</v>
      </c>
      <c r="AM50">
        <v>4.5</v>
      </c>
      <c r="AN50">
        <v>1.8</v>
      </c>
      <c r="AO50">
        <v>3.98</v>
      </c>
      <c r="AP50">
        <v>4.57</v>
      </c>
      <c r="AQ50">
        <v>2.44</v>
      </c>
      <c r="AR50">
        <v>3.99</v>
      </c>
      <c r="AS50">
        <v>4.75</v>
      </c>
      <c r="AT50">
        <v>1.86</v>
      </c>
      <c r="AU50">
        <v>3.83</v>
      </c>
      <c r="AV50">
        <v>4.21</v>
      </c>
      <c r="AW50">
        <v>1.79</v>
      </c>
      <c r="AX50">
        <v>4</v>
      </c>
      <c r="AY50">
        <v>4.9000000000000004</v>
      </c>
      <c r="AZ50">
        <v>1.86</v>
      </c>
      <c r="BA50">
        <v>2.04</v>
      </c>
      <c r="BB50">
        <v>1.85</v>
      </c>
      <c r="BC50">
        <v>2.04</v>
      </c>
      <c r="BD50">
        <v>1.87</v>
      </c>
      <c r="BE50">
        <v>2.0699999999999998</v>
      </c>
      <c r="BF50">
        <v>1.83</v>
      </c>
      <c r="BG50">
        <v>2.02</v>
      </c>
      <c r="BH50">
        <v>1.93</v>
      </c>
      <c r="BI50">
        <v>2.06</v>
      </c>
      <c r="BJ50">
        <v>-0.75</v>
      </c>
      <c r="BK50">
        <v>2.04</v>
      </c>
      <c r="BL50">
        <v>1.86</v>
      </c>
      <c r="BM50">
        <v>2.0299999999999998</v>
      </c>
      <c r="BN50">
        <v>1.88</v>
      </c>
      <c r="BO50">
        <v>2.0499999999999998</v>
      </c>
      <c r="BP50">
        <v>1.91</v>
      </c>
      <c r="BQ50">
        <v>1.98</v>
      </c>
      <c r="BR50">
        <v>1.85</v>
      </c>
      <c r="BS50">
        <v>2.02</v>
      </c>
      <c r="BT50">
        <v>1.96</v>
      </c>
      <c r="BU50">
        <v>1.8</v>
      </c>
      <c r="BV50">
        <v>3.7</v>
      </c>
      <c r="BW50">
        <v>4.33</v>
      </c>
      <c r="BX50">
        <v>1.85</v>
      </c>
      <c r="BY50">
        <v>3.7</v>
      </c>
      <c r="BZ50">
        <v>4.2</v>
      </c>
      <c r="CA50">
        <v>1.8</v>
      </c>
      <c r="CB50">
        <v>3.75</v>
      </c>
      <c r="CC50">
        <v>4.4000000000000004</v>
      </c>
      <c r="CD50">
        <v>1.84</v>
      </c>
      <c r="CE50">
        <v>3.82</v>
      </c>
      <c r="CF50">
        <v>4.45</v>
      </c>
      <c r="CG50">
        <v>1.83</v>
      </c>
      <c r="CH50">
        <v>3.7</v>
      </c>
      <c r="CI50">
        <v>4.4000000000000004</v>
      </c>
      <c r="CJ50">
        <v>1.82</v>
      </c>
      <c r="CK50">
        <v>3.79</v>
      </c>
      <c r="CL50">
        <v>4.63</v>
      </c>
      <c r="CM50">
        <v>1.89</v>
      </c>
      <c r="CN50">
        <v>3.85</v>
      </c>
      <c r="CO50">
        <v>4.63</v>
      </c>
      <c r="CP50">
        <v>1.84</v>
      </c>
      <c r="CQ50">
        <v>3.75</v>
      </c>
      <c r="CR50">
        <v>4.33</v>
      </c>
      <c r="CS50">
        <v>1.87</v>
      </c>
      <c r="CT50">
        <v>3.95</v>
      </c>
      <c r="CU50">
        <v>4.5999999999999996</v>
      </c>
      <c r="CV50">
        <v>1.8</v>
      </c>
      <c r="CW50">
        <v>2</v>
      </c>
      <c r="CX50">
        <v>1.83</v>
      </c>
      <c r="CY50">
        <v>2.0699999999999998</v>
      </c>
      <c r="CZ50">
        <v>1.99</v>
      </c>
      <c r="DA50">
        <v>2.12</v>
      </c>
      <c r="DB50">
        <v>1.82</v>
      </c>
      <c r="DC50">
        <v>2.0299999999999998</v>
      </c>
      <c r="DD50">
        <v>1.85</v>
      </c>
      <c r="DE50">
        <v>2.16</v>
      </c>
      <c r="DF50">
        <v>-0.75</v>
      </c>
      <c r="DG50">
        <v>2.0299999999999998</v>
      </c>
      <c r="DH50">
        <v>1.78</v>
      </c>
      <c r="DI50">
        <v>2.09</v>
      </c>
      <c r="DJ50">
        <v>1.83</v>
      </c>
      <c r="DK50">
        <v>2.12</v>
      </c>
      <c r="DL50">
        <v>1.86</v>
      </c>
      <c r="DM50">
        <v>2.0699999999999998</v>
      </c>
      <c r="DN50">
        <v>1.8</v>
      </c>
      <c r="DO50">
        <v>2.13</v>
      </c>
      <c r="DP50">
        <v>1.87</v>
      </c>
    </row>
    <row r="51" spans="1:120" x14ac:dyDescent="0.3">
      <c r="A51" t="s">
        <v>120</v>
      </c>
      <c r="B51" t="s">
        <v>174</v>
      </c>
      <c r="C51" s="1">
        <v>0.6875</v>
      </c>
      <c r="D51" t="s">
        <v>152</v>
      </c>
      <c r="E51" t="s">
        <v>132</v>
      </c>
      <c r="F51">
        <v>2</v>
      </c>
      <c r="G51">
        <v>2</v>
      </c>
      <c r="H51" t="s">
        <v>125</v>
      </c>
      <c r="I51">
        <v>1</v>
      </c>
      <c r="J51">
        <v>2</v>
      </c>
      <c r="K51" t="s">
        <v>130</v>
      </c>
      <c r="L51" t="s">
        <v>143</v>
      </c>
      <c r="M51">
        <v>33</v>
      </c>
      <c r="N51">
        <v>5</v>
      </c>
      <c r="O51">
        <v>11</v>
      </c>
      <c r="P51">
        <v>3</v>
      </c>
      <c r="Q51">
        <v>7</v>
      </c>
      <c r="R51">
        <v>10</v>
      </c>
      <c r="S51">
        <v>8</v>
      </c>
      <c r="T51">
        <v>2</v>
      </c>
      <c r="U51">
        <v>3</v>
      </c>
      <c r="V51">
        <v>4</v>
      </c>
      <c r="W51">
        <v>0</v>
      </c>
      <c r="X51">
        <v>1</v>
      </c>
      <c r="Y51">
        <v>1.8</v>
      </c>
      <c r="Z51">
        <v>3.6</v>
      </c>
      <c r="AA51">
        <v>4.5</v>
      </c>
      <c r="AB51">
        <v>1.8</v>
      </c>
      <c r="AC51">
        <v>3.6</v>
      </c>
      <c r="AD51">
        <v>4.5999999999999996</v>
      </c>
      <c r="AE51">
        <v>1.83</v>
      </c>
      <c r="AF51">
        <v>3.5</v>
      </c>
      <c r="AG51">
        <v>4.75</v>
      </c>
      <c r="AH51">
        <v>1.85</v>
      </c>
      <c r="AI51">
        <v>3.66</v>
      </c>
      <c r="AJ51">
        <v>4.54</v>
      </c>
      <c r="AK51">
        <v>1.85</v>
      </c>
      <c r="AL51">
        <v>3.5</v>
      </c>
      <c r="AM51">
        <v>4.5</v>
      </c>
      <c r="AN51">
        <v>1.85</v>
      </c>
      <c r="AO51">
        <v>3.71</v>
      </c>
      <c r="AP51">
        <v>4.63</v>
      </c>
      <c r="AQ51">
        <v>1.87</v>
      </c>
      <c r="AR51">
        <v>3.75</v>
      </c>
      <c r="AS51">
        <v>4.75</v>
      </c>
      <c r="AT51">
        <v>1.83</v>
      </c>
      <c r="AU51">
        <v>3.62</v>
      </c>
      <c r="AV51">
        <v>4.5199999999999996</v>
      </c>
      <c r="AW51">
        <v>1.88</v>
      </c>
      <c r="AX51">
        <v>3.65</v>
      </c>
      <c r="AY51">
        <v>4.9000000000000004</v>
      </c>
      <c r="AZ51">
        <v>2.04</v>
      </c>
      <c r="BA51">
        <v>1.86</v>
      </c>
      <c r="BB51">
        <v>2.0499999999999998</v>
      </c>
      <c r="BC51">
        <v>1.85</v>
      </c>
      <c r="BD51">
        <v>2.08</v>
      </c>
      <c r="BE51">
        <v>1.87</v>
      </c>
      <c r="BF51">
        <v>2.02</v>
      </c>
      <c r="BG51">
        <v>1.82</v>
      </c>
      <c r="BH51">
        <v>2.14</v>
      </c>
      <c r="BI51">
        <v>1.86</v>
      </c>
      <c r="BJ51">
        <v>-0.75</v>
      </c>
      <c r="BK51">
        <v>2.0699999999999998</v>
      </c>
      <c r="BL51">
        <v>1.83</v>
      </c>
      <c r="BM51">
        <v>2.11</v>
      </c>
      <c r="BN51">
        <v>1.79</v>
      </c>
      <c r="BO51">
        <v>2.11</v>
      </c>
      <c r="BP51">
        <v>1.83</v>
      </c>
      <c r="BQ51">
        <v>2.06</v>
      </c>
      <c r="BR51">
        <v>1.79</v>
      </c>
      <c r="BS51">
        <v>2.15</v>
      </c>
      <c r="BT51">
        <v>1.85</v>
      </c>
      <c r="BU51">
        <v>1.75</v>
      </c>
      <c r="BV51">
        <v>3.5</v>
      </c>
      <c r="BW51">
        <v>5</v>
      </c>
      <c r="BX51">
        <v>1.8</v>
      </c>
      <c r="BY51">
        <v>3.5</v>
      </c>
      <c r="BZ51">
        <v>4.8</v>
      </c>
      <c r="CA51">
        <v>1.73</v>
      </c>
      <c r="CB51">
        <v>3.4</v>
      </c>
      <c r="CC51">
        <v>5</v>
      </c>
      <c r="CD51">
        <v>1.81</v>
      </c>
      <c r="CE51">
        <v>3.66</v>
      </c>
      <c r="CF51">
        <v>4.91</v>
      </c>
      <c r="CG51">
        <v>1.75</v>
      </c>
      <c r="CH51">
        <v>3.5</v>
      </c>
      <c r="CI51">
        <v>5</v>
      </c>
      <c r="CJ51">
        <v>1.77</v>
      </c>
      <c r="CK51">
        <v>3.59</v>
      </c>
      <c r="CL51">
        <v>5.37</v>
      </c>
      <c r="CM51">
        <v>1.83</v>
      </c>
      <c r="CN51">
        <v>3.75</v>
      </c>
      <c r="CO51">
        <v>5.37</v>
      </c>
      <c r="CP51">
        <v>1.78</v>
      </c>
      <c r="CQ51">
        <v>3.58</v>
      </c>
      <c r="CR51">
        <v>4.9800000000000004</v>
      </c>
      <c r="CS51">
        <v>1.84</v>
      </c>
      <c r="CT51">
        <v>3.7</v>
      </c>
      <c r="CU51">
        <v>5.0999999999999996</v>
      </c>
      <c r="CV51">
        <v>2.0499999999999998</v>
      </c>
      <c r="CW51">
        <v>1.85</v>
      </c>
      <c r="CX51">
        <v>2.0299999999999998</v>
      </c>
      <c r="CY51">
        <v>1.88</v>
      </c>
      <c r="CZ51">
        <v>2.0699999999999998</v>
      </c>
      <c r="DA51">
        <v>1.9</v>
      </c>
      <c r="DB51">
        <v>2</v>
      </c>
      <c r="DC51">
        <v>1.85</v>
      </c>
      <c r="DD51">
        <v>2.08</v>
      </c>
      <c r="DE51">
        <v>1.91</v>
      </c>
      <c r="DF51">
        <v>-0.75</v>
      </c>
      <c r="DG51">
        <v>2.06</v>
      </c>
      <c r="DH51">
        <v>1.87</v>
      </c>
      <c r="DI51">
        <v>2.06</v>
      </c>
      <c r="DJ51">
        <v>1.87</v>
      </c>
      <c r="DK51">
        <v>2.11</v>
      </c>
      <c r="DL51">
        <v>1.89</v>
      </c>
      <c r="DM51">
        <v>2.02</v>
      </c>
      <c r="DN51">
        <v>1.85</v>
      </c>
      <c r="DO51">
        <v>2.1</v>
      </c>
      <c r="DP51">
        <v>1.89</v>
      </c>
    </row>
    <row r="52" spans="1:120" x14ac:dyDescent="0.3">
      <c r="A52" t="s">
        <v>120</v>
      </c>
      <c r="B52" t="s">
        <v>175</v>
      </c>
      <c r="C52" s="1">
        <v>0.52083333333333337</v>
      </c>
      <c r="D52" t="s">
        <v>138</v>
      </c>
      <c r="E52" t="s">
        <v>152</v>
      </c>
      <c r="F52">
        <v>1</v>
      </c>
      <c r="G52">
        <v>1</v>
      </c>
      <c r="H52" t="s">
        <v>125</v>
      </c>
      <c r="I52">
        <v>0</v>
      </c>
      <c r="J52">
        <v>1</v>
      </c>
      <c r="K52" t="s">
        <v>130</v>
      </c>
      <c r="L52" t="s">
        <v>134</v>
      </c>
      <c r="M52">
        <v>11</v>
      </c>
      <c r="N52">
        <v>16</v>
      </c>
      <c r="O52">
        <v>4</v>
      </c>
      <c r="P52">
        <v>6</v>
      </c>
      <c r="Q52">
        <v>14</v>
      </c>
      <c r="R52">
        <v>10</v>
      </c>
      <c r="S52">
        <v>5</v>
      </c>
      <c r="T52">
        <v>6</v>
      </c>
      <c r="U52">
        <v>4</v>
      </c>
      <c r="V52">
        <v>4</v>
      </c>
      <c r="W52">
        <v>0</v>
      </c>
      <c r="X52">
        <v>0</v>
      </c>
      <c r="Y52">
        <v>5.25</v>
      </c>
      <c r="Z52">
        <v>4.33</v>
      </c>
      <c r="AA52">
        <v>1.6</v>
      </c>
      <c r="AB52">
        <v>5</v>
      </c>
      <c r="AC52">
        <v>4.33</v>
      </c>
      <c r="AD52">
        <v>1.61</v>
      </c>
      <c r="AE52">
        <v>5</v>
      </c>
      <c r="AF52">
        <v>4.5</v>
      </c>
      <c r="AG52">
        <v>1.57</v>
      </c>
      <c r="AH52">
        <v>5.18</v>
      </c>
      <c r="AI52">
        <v>4.54</v>
      </c>
      <c r="AJ52">
        <v>1.6</v>
      </c>
      <c r="AK52">
        <v>5</v>
      </c>
      <c r="AL52">
        <v>4.33</v>
      </c>
      <c r="AM52">
        <v>1.62</v>
      </c>
      <c r="AN52">
        <v>5.14</v>
      </c>
      <c r="AO52">
        <v>4.59</v>
      </c>
      <c r="AP52">
        <v>1.63</v>
      </c>
      <c r="AQ52">
        <v>5.3</v>
      </c>
      <c r="AR52">
        <v>4.7</v>
      </c>
      <c r="AS52">
        <v>1.63</v>
      </c>
      <c r="AT52">
        <v>5.09</v>
      </c>
      <c r="AU52">
        <v>4.47</v>
      </c>
      <c r="AV52">
        <v>1.61</v>
      </c>
      <c r="AW52">
        <v>5.6</v>
      </c>
      <c r="AX52">
        <v>4.7</v>
      </c>
      <c r="AY52">
        <v>1.64</v>
      </c>
      <c r="AZ52">
        <v>1.5</v>
      </c>
      <c r="BA52">
        <v>2.63</v>
      </c>
      <c r="BB52">
        <v>1.5</v>
      </c>
      <c r="BC52">
        <v>2.67</v>
      </c>
      <c r="BD52">
        <v>1.53</v>
      </c>
      <c r="BE52">
        <v>2.8</v>
      </c>
      <c r="BF52">
        <v>1.49</v>
      </c>
      <c r="BG52">
        <v>2.64</v>
      </c>
      <c r="BH52">
        <v>1.52</v>
      </c>
      <c r="BI52">
        <v>2.84</v>
      </c>
      <c r="BJ52">
        <v>1</v>
      </c>
      <c r="BK52">
        <v>1.89</v>
      </c>
      <c r="BL52">
        <v>2.0099999999999998</v>
      </c>
      <c r="BM52">
        <v>1.93</v>
      </c>
      <c r="BN52">
        <v>1.96</v>
      </c>
      <c r="BO52">
        <v>1.94</v>
      </c>
      <c r="BP52">
        <v>2.0499999999999998</v>
      </c>
      <c r="BQ52">
        <v>1.88</v>
      </c>
      <c r="BR52">
        <v>1.98</v>
      </c>
      <c r="BS52">
        <v>1.92</v>
      </c>
      <c r="BT52">
        <v>2.06</v>
      </c>
      <c r="BU52">
        <v>4.75</v>
      </c>
      <c r="BV52">
        <v>4.0999999999999996</v>
      </c>
      <c r="BW52">
        <v>1.67</v>
      </c>
      <c r="BX52">
        <v>5</v>
      </c>
      <c r="BY52">
        <v>4.2</v>
      </c>
      <c r="BZ52">
        <v>1.65</v>
      </c>
      <c r="CA52">
        <v>4.75</v>
      </c>
      <c r="CB52">
        <v>4.2</v>
      </c>
      <c r="CC52">
        <v>1.67</v>
      </c>
      <c r="CD52">
        <v>4.9000000000000004</v>
      </c>
      <c r="CE52">
        <v>4.2300000000000004</v>
      </c>
      <c r="CF52">
        <v>1.69</v>
      </c>
      <c r="CG52">
        <v>4.8</v>
      </c>
      <c r="CH52">
        <v>4</v>
      </c>
      <c r="CI52">
        <v>1.7</v>
      </c>
      <c r="CJ52">
        <v>5.17</v>
      </c>
      <c r="CK52">
        <v>4.1900000000000004</v>
      </c>
      <c r="CL52">
        <v>1.67</v>
      </c>
      <c r="CM52">
        <v>5.5</v>
      </c>
      <c r="CN52">
        <v>4.3499999999999996</v>
      </c>
      <c r="CO52">
        <v>1.7</v>
      </c>
      <c r="CP52">
        <v>4.95</v>
      </c>
      <c r="CQ52">
        <v>4.2</v>
      </c>
      <c r="CR52">
        <v>1.67</v>
      </c>
      <c r="CS52">
        <v>5.0999999999999996</v>
      </c>
      <c r="CT52">
        <v>4.4000000000000004</v>
      </c>
      <c r="CU52">
        <v>1.71</v>
      </c>
      <c r="CV52">
        <v>1.57</v>
      </c>
      <c r="CW52">
        <v>2.38</v>
      </c>
      <c r="CX52">
        <v>1.62</v>
      </c>
      <c r="CY52">
        <v>2.42</v>
      </c>
      <c r="CZ52">
        <v>1.63</v>
      </c>
      <c r="DA52">
        <v>2.4900000000000002</v>
      </c>
      <c r="DB52">
        <v>1.59</v>
      </c>
      <c r="DC52">
        <v>2.42</v>
      </c>
      <c r="DD52">
        <v>1.63</v>
      </c>
      <c r="DE52">
        <v>2.54</v>
      </c>
      <c r="DF52">
        <v>0.75</v>
      </c>
      <c r="DG52">
        <v>2.0499999999999998</v>
      </c>
      <c r="DH52">
        <v>1.88</v>
      </c>
      <c r="DI52">
        <v>2.04</v>
      </c>
      <c r="DJ52">
        <v>1.88</v>
      </c>
      <c r="DK52">
        <v>2.11</v>
      </c>
      <c r="DL52">
        <v>1.89</v>
      </c>
      <c r="DM52">
        <v>2.04</v>
      </c>
      <c r="DN52">
        <v>1.83</v>
      </c>
      <c r="DO52">
        <v>2.08</v>
      </c>
      <c r="DP52">
        <v>1.91</v>
      </c>
    </row>
    <row r="53" spans="1:120" x14ac:dyDescent="0.3">
      <c r="A53" t="s">
        <v>120</v>
      </c>
      <c r="B53" t="s">
        <v>175</v>
      </c>
      <c r="C53" s="1">
        <v>0.625</v>
      </c>
      <c r="D53" t="s">
        <v>132</v>
      </c>
      <c r="E53" t="s">
        <v>155</v>
      </c>
      <c r="F53">
        <v>4</v>
      </c>
      <c r="G53">
        <v>2</v>
      </c>
      <c r="H53" t="s">
        <v>124</v>
      </c>
      <c r="I53">
        <v>2</v>
      </c>
      <c r="J53">
        <v>0</v>
      </c>
      <c r="K53" t="s">
        <v>124</v>
      </c>
      <c r="L53" t="s">
        <v>150</v>
      </c>
      <c r="M53">
        <v>36</v>
      </c>
      <c r="N53">
        <v>5</v>
      </c>
      <c r="O53">
        <v>16</v>
      </c>
      <c r="P53">
        <v>3</v>
      </c>
      <c r="Q53">
        <v>11</v>
      </c>
      <c r="R53">
        <v>6</v>
      </c>
      <c r="S53">
        <v>17</v>
      </c>
      <c r="T53">
        <v>0</v>
      </c>
      <c r="U53">
        <v>2</v>
      </c>
      <c r="V53">
        <v>4</v>
      </c>
      <c r="W53">
        <v>0</v>
      </c>
      <c r="X53">
        <v>0</v>
      </c>
      <c r="Y53">
        <v>1.17</v>
      </c>
      <c r="Z53">
        <v>8</v>
      </c>
      <c r="AA53">
        <v>15</v>
      </c>
      <c r="AB53">
        <v>1.19</v>
      </c>
      <c r="AC53">
        <v>7.75</v>
      </c>
      <c r="AD53">
        <v>14</v>
      </c>
      <c r="AE53">
        <v>1.17</v>
      </c>
      <c r="AF53">
        <v>8</v>
      </c>
      <c r="AG53">
        <v>16</v>
      </c>
      <c r="AH53">
        <v>1.18</v>
      </c>
      <c r="AI53">
        <v>8.27</v>
      </c>
      <c r="AJ53">
        <v>14.09</v>
      </c>
      <c r="AK53">
        <v>1.2</v>
      </c>
      <c r="AL53">
        <v>7</v>
      </c>
      <c r="AM53">
        <v>15</v>
      </c>
      <c r="AN53">
        <v>1.21</v>
      </c>
      <c r="AO53">
        <v>7.43</v>
      </c>
      <c r="AP53">
        <v>16</v>
      </c>
      <c r="AQ53">
        <v>1.21</v>
      </c>
      <c r="AR53">
        <v>8.8000000000000007</v>
      </c>
      <c r="AS53">
        <v>18</v>
      </c>
      <c r="AT53">
        <v>1.18</v>
      </c>
      <c r="AU53">
        <v>7.82</v>
      </c>
      <c r="AV53">
        <v>15.12</v>
      </c>
      <c r="AW53">
        <v>1.19</v>
      </c>
      <c r="AX53">
        <v>9</v>
      </c>
      <c r="AY53">
        <v>19</v>
      </c>
      <c r="AZ53">
        <v>1.5</v>
      </c>
      <c r="BA53">
        <v>2.63</v>
      </c>
      <c r="BB53">
        <v>1.54</v>
      </c>
      <c r="BC53">
        <v>2.57</v>
      </c>
      <c r="BD53">
        <v>1.55</v>
      </c>
      <c r="BE53">
        <v>2.75</v>
      </c>
      <c r="BF53">
        <v>1.49</v>
      </c>
      <c r="BG53">
        <v>2.5499999999999998</v>
      </c>
      <c r="BH53">
        <v>1.54</v>
      </c>
      <c r="BI53">
        <v>2.74</v>
      </c>
      <c r="BJ53">
        <v>-2</v>
      </c>
      <c r="BK53">
        <v>1.98</v>
      </c>
      <c r="BL53">
        <v>1.92</v>
      </c>
      <c r="BM53">
        <v>2</v>
      </c>
      <c r="BN53">
        <v>1.88</v>
      </c>
      <c r="BO53">
        <v>2.0099999999999998</v>
      </c>
      <c r="BP53">
        <v>1.96</v>
      </c>
      <c r="BQ53">
        <v>1.95</v>
      </c>
      <c r="BR53">
        <v>1.91</v>
      </c>
      <c r="BS53">
        <v>1.97</v>
      </c>
      <c r="BT53">
        <v>1.97</v>
      </c>
      <c r="BU53">
        <v>1.2</v>
      </c>
      <c r="BV53">
        <v>7.5</v>
      </c>
      <c r="BW53">
        <v>13</v>
      </c>
      <c r="BX53">
        <v>1.21</v>
      </c>
      <c r="BY53">
        <v>7</v>
      </c>
      <c r="BZ53">
        <v>14.5</v>
      </c>
      <c r="CA53">
        <v>1.18</v>
      </c>
      <c r="CB53">
        <v>7</v>
      </c>
      <c r="CC53">
        <v>17</v>
      </c>
      <c r="CD53">
        <v>1.2</v>
      </c>
      <c r="CE53">
        <v>6.8</v>
      </c>
      <c r="CF53">
        <v>17.5</v>
      </c>
      <c r="CG53">
        <v>1.18</v>
      </c>
      <c r="CH53">
        <v>7</v>
      </c>
      <c r="CI53">
        <v>17</v>
      </c>
      <c r="CJ53">
        <v>1.21</v>
      </c>
      <c r="CK53">
        <v>7.59</v>
      </c>
      <c r="CL53">
        <v>13.7</v>
      </c>
      <c r="CM53">
        <v>1.22</v>
      </c>
      <c r="CN53">
        <v>7.8</v>
      </c>
      <c r="CO53">
        <v>17.5</v>
      </c>
      <c r="CP53">
        <v>1.2</v>
      </c>
      <c r="CQ53">
        <v>7.13</v>
      </c>
      <c r="CR53">
        <v>15.65</v>
      </c>
      <c r="CS53">
        <v>1.23</v>
      </c>
      <c r="CT53">
        <v>7.2</v>
      </c>
      <c r="CU53">
        <v>19.5</v>
      </c>
      <c r="CV53">
        <v>1.57</v>
      </c>
      <c r="CW53">
        <v>2.38</v>
      </c>
      <c r="CX53">
        <v>1.6</v>
      </c>
      <c r="CY53">
        <v>2.42</v>
      </c>
      <c r="CZ53">
        <v>1.63</v>
      </c>
      <c r="DA53">
        <v>2.5</v>
      </c>
      <c r="DB53">
        <v>1.59</v>
      </c>
      <c r="DC53">
        <v>2.4</v>
      </c>
      <c r="DD53">
        <v>1.63</v>
      </c>
      <c r="DE53">
        <v>2.56</v>
      </c>
      <c r="DF53">
        <v>-1.75</v>
      </c>
      <c r="DG53">
        <v>1.84</v>
      </c>
      <c r="DH53">
        <v>2.09</v>
      </c>
      <c r="DI53">
        <v>1.85</v>
      </c>
      <c r="DJ53">
        <v>2.0699999999999998</v>
      </c>
      <c r="DK53">
        <v>1.86</v>
      </c>
      <c r="DL53">
        <v>2.13</v>
      </c>
      <c r="DM53">
        <v>1.81</v>
      </c>
      <c r="DN53">
        <v>2.06</v>
      </c>
      <c r="DO53">
        <v>1.86</v>
      </c>
      <c r="DP53">
        <v>2.13</v>
      </c>
    </row>
    <row r="54" spans="1:120" x14ac:dyDescent="0.3">
      <c r="A54" t="s">
        <v>120</v>
      </c>
      <c r="B54" t="s">
        <v>175</v>
      </c>
      <c r="C54" s="1">
        <v>0.625</v>
      </c>
      <c r="D54" t="s">
        <v>148</v>
      </c>
      <c r="E54" t="s">
        <v>144</v>
      </c>
      <c r="F54">
        <v>1</v>
      </c>
      <c r="G54">
        <v>1</v>
      </c>
      <c r="H54" t="s">
        <v>125</v>
      </c>
      <c r="I54">
        <v>1</v>
      </c>
      <c r="J54">
        <v>0</v>
      </c>
      <c r="K54" t="s">
        <v>124</v>
      </c>
      <c r="L54" t="s">
        <v>137</v>
      </c>
      <c r="M54">
        <v>8</v>
      </c>
      <c r="N54">
        <v>19</v>
      </c>
      <c r="O54">
        <v>3</v>
      </c>
      <c r="P54">
        <v>3</v>
      </c>
      <c r="Q54">
        <v>2</v>
      </c>
      <c r="R54">
        <v>11</v>
      </c>
      <c r="S54">
        <v>7</v>
      </c>
      <c r="T54">
        <v>7</v>
      </c>
      <c r="U54">
        <v>2</v>
      </c>
      <c r="V54">
        <v>3</v>
      </c>
      <c r="W54">
        <v>0</v>
      </c>
      <c r="X54">
        <v>0</v>
      </c>
      <c r="Y54">
        <v>2.2000000000000002</v>
      </c>
      <c r="Z54">
        <v>3.5</v>
      </c>
      <c r="AA54">
        <v>3.2</v>
      </c>
      <c r="AB54">
        <v>2.2000000000000002</v>
      </c>
      <c r="AC54">
        <v>3.6</v>
      </c>
      <c r="AD54">
        <v>3.1</v>
      </c>
      <c r="AE54">
        <v>2.2000000000000002</v>
      </c>
      <c r="AF54">
        <v>3.5</v>
      </c>
      <c r="AG54">
        <v>3.25</v>
      </c>
      <c r="AH54">
        <v>2.23</v>
      </c>
      <c r="AI54">
        <v>3.63</v>
      </c>
      <c r="AJ54">
        <v>3.22</v>
      </c>
      <c r="AK54">
        <v>2.25</v>
      </c>
      <c r="AL54">
        <v>3.6</v>
      </c>
      <c r="AM54">
        <v>3.1</v>
      </c>
      <c r="AN54">
        <v>2.23</v>
      </c>
      <c r="AO54">
        <v>3.82</v>
      </c>
      <c r="AP54">
        <v>3.16</v>
      </c>
      <c r="AQ54">
        <v>2.27</v>
      </c>
      <c r="AR54">
        <v>3.82</v>
      </c>
      <c r="AS54">
        <v>3.26</v>
      </c>
      <c r="AT54">
        <v>2.23</v>
      </c>
      <c r="AU54">
        <v>3.62</v>
      </c>
      <c r="AV54">
        <v>3.16</v>
      </c>
      <c r="AW54">
        <v>2.3199999999999998</v>
      </c>
      <c r="AX54">
        <v>3.7</v>
      </c>
      <c r="AY54">
        <v>3.3</v>
      </c>
      <c r="AZ54">
        <v>1.67</v>
      </c>
      <c r="BA54">
        <v>2.2000000000000002</v>
      </c>
      <c r="BB54">
        <v>1.65</v>
      </c>
      <c r="BC54">
        <v>2.33</v>
      </c>
      <c r="BD54">
        <v>1.71</v>
      </c>
      <c r="BE54">
        <v>2.34</v>
      </c>
      <c r="BF54">
        <v>1.66</v>
      </c>
      <c r="BG54">
        <v>2.27</v>
      </c>
      <c r="BH54">
        <v>1.75</v>
      </c>
      <c r="BI54">
        <v>2.2999999999999998</v>
      </c>
      <c r="BJ54">
        <v>-0.25</v>
      </c>
      <c r="BK54">
        <v>1.93</v>
      </c>
      <c r="BL54">
        <v>1.97</v>
      </c>
      <c r="BM54">
        <v>1.94</v>
      </c>
      <c r="BN54">
        <v>1.96</v>
      </c>
      <c r="BO54">
        <v>1.95</v>
      </c>
      <c r="BP54">
        <v>1.98</v>
      </c>
      <c r="BQ54">
        <v>1.91</v>
      </c>
      <c r="BR54">
        <v>1.93</v>
      </c>
      <c r="BS54">
        <v>2</v>
      </c>
      <c r="BT54">
        <v>1.98</v>
      </c>
      <c r="BU54">
        <v>2.2000000000000002</v>
      </c>
      <c r="BV54">
        <v>3.5</v>
      </c>
      <c r="BW54">
        <v>3.1</v>
      </c>
      <c r="BX54">
        <v>2.2000000000000002</v>
      </c>
      <c r="BY54">
        <v>3.6</v>
      </c>
      <c r="BZ54">
        <v>3.1</v>
      </c>
      <c r="CA54">
        <v>2.25</v>
      </c>
      <c r="CB54">
        <v>3.5</v>
      </c>
      <c r="CC54">
        <v>3.2</v>
      </c>
      <c r="CD54">
        <v>2.2599999999999998</v>
      </c>
      <c r="CE54">
        <v>3.56</v>
      </c>
      <c r="CF54">
        <v>3.27</v>
      </c>
      <c r="CG54">
        <v>2.2000000000000002</v>
      </c>
      <c r="CH54">
        <v>3.7</v>
      </c>
      <c r="CI54">
        <v>3.1</v>
      </c>
      <c r="CJ54">
        <v>2.33</v>
      </c>
      <c r="CK54">
        <v>3.61</v>
      </c>
      <c r="CL54">
        <v>3.09</v>
      </c>
      <c r="CM54">
        <v>2.33</v>
      </c>
      <c r="CN54">
        <v>3.7</v>
      </c>
      <c r="CO54">
        <v>3.4</v>
      </c>
      <c r="CP54">
        <v>2.23</v>
      </c>
      <c r="CQ54">
        <v>3.57</v>
      </c>
      <c r="CR54">
        <v>3.2</v>
      </c>
      <c r="CS54">
        <v>2.2999999999999998</v>
      </c>
      <c r="CT54">
        <v>3.75</v>
      </c>
      <c r="CU54">
        <v>3.3</v>
      </c>
      <c r="CV54">
        <v>1.62</v>
      </c>
      <c r="CW54">
        <v>2.2999999999999998</v>
      </c>
      <c r="CX54">
        <v>1.67</v>
      </c>
      <c r="CY54">
        <v>2.3199999999999998</v>
      </c>
      <c r="CZ54">
        <v>1.67</v>
      </c>
      <c r="DA54">
        <v>2.4</v>
      </c>
      <c r="DB54">
        <v>1.63</v>
      </c>
      <c r="DC54">
        <v>2.3199999999999998</v>
      </c>
      <c r="DD54">
        <v>1.69</v>
      </c>
      <c r="DE54">
        <v>2.44</v>
      </c>
      <c r="DF54">
        <v>-0.25</v>
      </c>
      <c r="DG54">
        <v>1.98</v>
      </c>
      <c r="DH54">
        <v>1.95</v>
      </c>
      <c r="DI54">
        <v>1.96</v>
      </c>
      <c r="DJ54">
        <v>1.96</v>
      </c>
      <c r="DK54">
        <v>2.0099999999999998</v>
      </c>
      <c r="DL54">
        <v>1.99</v>
      </c>
      <c r="DM54">
        <v>1.93</v>
      </c>
      <c r="DN54">
        <v>1.94</v>
      </c>
      <c r="DO54">
        <v>2</v>
      </c>
      <c r="DP54">
        <v>1.98</v>
      </c>
    </row>
    <row r="55" spans="1:120" x14ac:dyDescent="0.3">
      <c r="A55" t="s">
        <v>120</v>
      </c>
      <c r="B55" t="s">
        <v>175</v>
      </c>
      <c r="C55" s="1">
        <v>0.625</v>
      </c>
      <c r="D55" t="s">
        <v>151</v>
      </c>
      <c r="E55" t="s">
        <v>136</v>
      </c>
      <c r="F55">
        <v>4</v>
      </c>
      <c r="G55">
        <v>2</v>
      </c>
      <c r="H55" t="s">
        <v>124</v>
      </c>
      <c r="I55">
        <v>4</v>
      </c>
      <c r="J55">
        <v>2</v>
      </c>
      <c r="K55" t="s">
        <v>124</v>
      </c>
      <c r="L55" t="s">
        <v>171</v>
      </c>
      <c r="M55">
        <v>15</v>
      </c>
      <c r="N55">
        <v>15</v>
      </c>
      <c r="O55">
        <v>7</v>
      </c>
      <c r="P55">
        <v>5</v>
      </c>
      <c r="Q55">
        <v>11</v>
      </c>
      <c r="R55">
        <v>8</v>
      </c>
      <c r="S55">
        <v>8</v>
      </c>
      <c r="T55">
        <v>2</v>
      </c>
      <c r="U55">
        <v>3</v>
      </c>
      <c r="V55">
        <v>2</v>
      </c>
      <c r="W55">
        <v>0</v>
      </c>
      <c r="X55">
        <v>0</v>
      </c>
      <c r="Y55">
        <v>1.73</v>
      </c>
      <c r="Z55">
        <v>4.2</v>
      </c>
      <c r="AA55">
        <v>4.2</v>
      </c>
      <c r="AB55">
        <v>1.71</v>
      </c>
      <c r="AC55">
        <v>4.0999999999999996</v>
      </c>
      <c r="AD55">
        <v>4.5</v>
      </c>
      <c r="AE55">
        <v>1.7</v>
      </c>
      <c r="AF55">
        <v>4.2</v>
      </c>
      <c r="AG55">
        <v>4.5</v>
      </c>
      <c r="AH55">
        <v>1.75</v>
      </c>
      <c r="AI55">
        <v>4.3</v>
      </c>
      <c r="AJ55">
        <v>4.32</v>
      </c>
      <c r="AK55">
        <v>1.75</v>
      </c>
      <c r="AL55">
        <v>4.2</v>
      </c>
      <c r="AM55">
        <v>4.33</v>
      </c>
      <c r="AN55">
        <v>1.76</v>
      </c>
      <c r="AO55">
        <v>4.33</v>
      </c>
      <c r="AP55">
        <v>4.3899999999999997</v>
      </c>
      <c r="AQ55">
        <v>1.77</v>
      </c>
      <c r="AR55">
        <v>4.3499999999999996</v>
      </c>
      <c r="AS55">
        <v>4.5</v>
      </c>
      <c r="AT55">
        <v>1.74</v>
      </c>
      <c r="AU55">
        <v>4.2300000000000004</v>
      </c>
      <c r="AV55">
        <v>4.3499999999999996</v>
      </c>
      <c r="AW55">
        <v>1.77</v>
      </c>
      <c r="AX55">
        <v>4.4000000000000004</v>
      </c>
      <c r="AY55">
        <v>4.7</v>
      </c>
      <c r="AZ55">
        <v>1.5</v>
      </c>
      <c r="BA55">
        <v>2.63</v>
      </c>
      <c r="BB55">
        <v>1.51</v>
      </c>
      <c r="BC55">
        <v>2.66</v>
      </c>
      <c r="BD55">
        <v>1.54</v>
      </c>
      <c r="BE55">
        <v>2.69</v>
      </c>
      <c r="BF55">
        <v>1.5</v>
      </c>
      <c r="BG55">
        <v>2.58</v>
      </c>
      <c r="BH55">
        <v>1.54</v>
      </c>
      <c r="BI55">
        <v>2.78</v>
      </c>
      <c r="BJ55">
        <v>-0.75</v>
      </c>
      <c r="BK55">
        <v>1.95</v>
      </c>
      <c r="BL55">
        <v>1.95</v>
      </c>
      <c r="BM55">
        <v>1.95</v>
      </c>
      <c r="BN55">
        <v>1.95</v>
      </c>
      <c r="BO55">
        <v>1.98</v>
      </c>
      <c r="BP55">
        <v>2.0099999999999998</v>
      </c>
      <c r="BQ55">
        <v>1.92</v>
      </c>
      <c r="BR55">
        <v>1.93</v>
      </c>
      <c r="BS55">
        <v>1.96</v>
      </c>
      <c r="BT55">
        <v>2.0099999999999998</v>
      </c>
      <c r="BU55">
        <v>1.75</v>
      </c>
      <c r="BV55">
        <v>4.2</v>
      </c>
      <c r="BW55">
        <v>4</v>
      </c>
      <c r="BX55">
        <v>1.77</v>
      </c>
      <c r="BY55">
        <v>4.0999999999999996</v>
      </c>
      <c r="BZ55">
        <v>4.2</v>
      </c>
      <c r="CA55">
        <v>1.75</v>
      </c>
      <c r="CB55">
        <v>4.2</v>
      </c>
      <c r="CC55">
        <v>4.33</v>
      </c>
      <c r="CD55">
        <v>1.81</v>
      </c>
      <c r="CE55">
        <v>4.2</v>
      </c>
      <c r="CF55">
        <v>4.1500000000000004</v>
      </c>
      <c r="CG55">
        <v>1.75</v>
      </c>
      <c r="CH55">
        <v>4.2</v>
      </c>
      <c r="CI55">
        <v>4.33</v>
      </c>
      <c r="CJ55">
        <v>1.74</v>
      </c>
      <c r="CK55">
        <v>4.3</v>
      </c>
      <c r="CL55">
        <v>4.5</v>
      </c>
      <c r="CM55">
        <v>1.81</v>
      </c>
      <c r="CN55">
        <v>4.3</v>
      </c>
      <c r="CO55">
        <v>4.5</v>
      </c>
      <c r="CP55">
        <v>1.77</v>
      </c>
      <c r="CQ55">
        <v>4.18</v>
      </c>
      <c r="CR55">
        <v>4.26</v>
      </c>
      <c r="CS55">
        <v>1.82</v>
      </c>
      <c r="CT55">
        <v>4.3</v>
      </c>
      <c r="CU55">
        <v>4.5</v>
      </c>
      <c r="CV55">
        <v>1.44</v>
      </c>
      <c r="CW55">
        <v>2.75</v>
      </c>
      <c r="CX55">
        <v>1.48</v>
      </c>
      <c r="CY55">
        <v>2.77</v>
      </c>
      <c r="CZ55">
        <v>1.53</v>
      </c>
      <c r="DA55">
        <v>2.88</v>
      </c>
      <c r="DB55">
        <v>1.48</v>
      </c>
      <c r="DC55">
        <v>2.71</v>
      </c>
      <c r="DD55">
        <v>1.51</v>
      </c>
      <c r="DE55">
        <v>2.94</v>
      </c>
      <c r="DF55">
        <v>-0.75</v>
      </c>
      <c r="DG55">
        <v>2.0299999999999998</v>
      </c>
      <c r="DH55">
        <v>1.9</v>
      </c>
      <c r="DI55">
        <v>2.04</v>
      </c>
      <c r="DJ55">
        <v>1.89</v>
      </c>
      <c r="DK55">
        <v>2.04</v>
      </c>
      <c r="DL55">
        <v>1.94</v>
      </c>
      <c r="DM55">
        <v>1.95</v>
      </c>
      <c r="DN55">
        <v>1.91</v>
      </c>
      <c r="DO55">
        <v>2.0299999999999998</v>
      </c>
      <c r="DP55">
        <v>1.95</v>
      </c>
    </row>
    <row r="56" spans="1:120" x14ac:dyDescent="0.3">
      <c r="A56" t="s">
        <v>120</v>
      </c>
      <c r="B56" t="s">
        <v>175</v>
      </c>
      <c r="C56" s="1">
        <v>0.625</v>
      </c>
      <c r="D56" t="s">
        <v>135</v>
      </c>
      <c r="E56" t="s">
        <v>149</v>
      </c>
      <c r="F56">
        <v>2</v>
      </c>
      <c r="G56">
        <v>1</v>
      </c>
      <c r="H56" t="s">
        <v>124</v>
      </c>
      <c r="I56">
        <v>0</v>
      </c>
      <c r="J56">
        <v>1</v>
      </c>
      <c r="K56" t="s">
        <v>130</v>
      </c>
      <c r="L56" t="s">
        <v>176</v>
      </c>
      <c r="M56">
        <v>8</v>
      </c>
      <c r="N56">
        <v>17</v>
      </c>
      <c r="O56">
        <v>2</v>
      </c>
      <c r="P56">
        <v>5</v>
      </c>
      <c r="Q56">
        <v>13</v>
      </c>
      <c r="R56">
        <v>11</v>
      </c>
      <c r="S56">
        <v>5</v>
      </c>
      <c r="T56">
        <v>8</v>
      </c>
      <c r="U56">
        <v>2</v>
      </c>
      <c r="V56">
        <v>1</v>
      </c>
      <c r="W56">
        <v>0</v>
      </c>
      <c r="X56">
        <v>0</v>
      </c>
      <c r="Y56">
        <v>2.7</v>
      </c>
      <c r="Z56">
        <v>3.3</v>
      </c>
      <c r="AA56">
        <v>2.63</v>
      </c>
      <c r="AB56">
        <v>2.7</v>
      </c>
      <c r="AC56">
        <v>3.4</v>
      </c>
      <c r="AD56">
        <v>2.5499999999999998</v>
      </c>
      <c r="AE56">
        <v>2.7</v>
      </c>
      <c r="AF56">
        <v>3.4</v>
      </c>
      <c r="AG56">
        <v>2.63</v>
      </c>
      <c r="AH56">
        <v>2.76</v>
      </c>
      <c r="AI56">
        <v>3.35</v>
      </c>
      <c r="AJ56">
        <v>2.69</v>
      </c>
      <c r="AK56">
        <v>2.75</v>
      </c>
      <c r="AL56">
        <v>3.4</v>
      </c>
      <c r="AM56">
        <v>2.6</v>
      </c>
      <c r="AN56">
        <v>2.75</v>
      </c>
      <c r="AO56">
        <v>3.59</v>
      </c>
      <c r="AP56">
        <v>2.61</v>
      </c>
      <c r="AQ56">
        <v>2.8</v>
      </c>
      <c r="AR56">
        <v>3.59</v>
      </c>
      <c r="AS56">
        <v>2.71</v>
      </c>
      <c r="AT56">
        <v>2.73</v>
      </c>
      <c r="AU56">
        <v>3.39</v>
      </c>
      <c r="AV56">
        <v>2.63</v>
      </c>
      <c r="AW56">
        <v>2.84</v>
      </c>
      <c r="AX56">
        <v>3.5</v>
      </c>
      <c r="AY56">
        <v>2.74</v>
      </c>
      <c r="AZ56">
        <v>1.88</v>
      </c>
      <c r="BA56">
        <v>2.02</v>
      </c>
      <c r="BB56">
        <v>1.86</v>
      </c>
      <c r="BC56">
        <v>2.0299999999999998</v>
      </c>
      <c r="BD56">
        <v>1.92</v>
      </c>
      <c r="BE56">
        <v>2.04</v>
      </c>
      <c r="BF56">
        <v>1.87</v>
      </c>
      <c r="BG56">
        <v>1.97</v>
      </c>
      <c r="BH56">
        <v>1.96</v>
      </c>
      <c r="BI56">
        <v>2.02</v>
      </c>
      <c r="BJ56">
        <v>0</v>
      </c>
      <c r="BK56">
        <v>1.98</v>
      </c>
      <c r="BL56">
        <v>1.92</v>
      </c>
      <c r="BM56">
        <v>1.98</v>
      </c>
      <c r="BN56">
        <v>1.93</v>
      </c>
      <c r="BO56">
        <v>2</v>
      </c>
      <c r="BP56">
        <v>1.94</v>
      </c>
      <c r="BQ56">
        <v>1.98</v>
      </c>
      <c r="BR56">
        <v>1.9</v>
      </c>
      <c r="BS56">
        <v>2.0299999999999998</v>
      </c>
      <c r="BT56">
        <v>1.95</v>
      </c>
      <c r="BU56">
        <v>2.7</v>
      </c>
      <c r="BV56">
        <v>3.25</v>
      </c>
      <c r="BW56">
        <v>2.6</v>
      </c>
      <c r="BX56">
        <v>2.7</v>
      </c>
      <c r="BY56">
        <v>3.3</v>
      </c>
      <c r="BZ56">
        <v>2.65</v>
      </c>
      <c r="CA56">
        <v>2.75</v>
      </c>
      <c r="CB56">
        <v>3.4</v>
      </c>
      <c r="CC56">
        <v>2.63</v>
      </c>
      <c r="CD56">
        <v>2.79</v>
      </c>
      <c r="CE56">
        <v>3.35</v>
      </c>
      <c r="CF56">
        <v>2.7</v>
      </c>
      <c r="CG56">
        <v>2.7</v>
      </c>
      <c r="CH56">
        <v>3.4</v>
      </c>
      <c r="CI56">
        <v>2.6</v>
      </c>
      <c r="CJ56">
        <v>2.78</v>
      </c>
      <c r="CK56">
        <v>3.35</v>
      </c>
      <c r="CL56">
        <v>2.68</v>
      </c>
      <c r="CM56">
        <v>2.81</v>
      </c>
      <c r="CN56">
        <v>3.5</v>
      </c>
      <c r="CO56">
        <v>2.71</v>
      </c>
      <c r="CP56">
        <v>2.75</v>
      </c>
      <c r="CQ56">
        <v>3.34</v>
      </c>
      <c r="CR56">
        <v>2.65</v>
      </c>
      <c r="CS56">
        <v>2.9</v>
      </c>
      <c r="CT56">
        <v>3.45</v>
      </c>
      <c r="CU56">
        <v>2.72</v>
      </c>
      <c r="CV56">
        <v>1.91</v>
      </c>
      <c r="CW56">
        <v>1.99</v>
      </c>
      <c r="CX56">
        <v>1.93</v>
      </c>
      <c r="CY56">
        <v>1.98</v>
      </c>
      <c r="CZ56">
        <v>1.93</v>
      </c>
      <c r="DA56">
        <v>2</v>
      </c>
      <c r="DB56">
        <v>1.89</v>
      </c>
      <c r="DC56">
        <v>1.95</v>
      </c>
      <c r="DD56">
        <v>1.95</v>
      </c>
      <c r="DE56">
        <v>2.04</v>
      </c>
      <c r="DF56">
        <v>0</v>
      </c>
      <c r="DG56">
        <v>2.02</v>
      </c>
      <c r="DH56">
        <v>1.91</v>
      </c>
      <c r="DI56">
        <v>1.99</v>
      </c>
      <c r="DJ56">
        <v>1.93</v>
      </c>
      <c r="DK56">
        <v>2.0499999999999998</v>
      </c>
      <c r="DL56">
        <v>1.93</v>
      </c>
      <c r="DM56">
        <v>1.99</v>
      </c>
      <c r="DN56">
        <v>1.9</v>
      </c>
      <c r="DO56">
        <v>2.06</v>
      </c>
      <c r="DP56">
        <v>1.93</v>
      </c>
    </row>
    <row r="57" spans="1:120" x14ac:dyDescent="0.3">
      <c r="A57" t="s">
        <v>120</v>
      </c>
      <c r="B57" t="s">
        <v>175</v>
      </c>
      <c r="C57" s="1">
        <v>0.625</v>
      </c>
      <c r="D57" t="s">
        <v>141</v>
      </c>
      <c r="E57" t="s">
        <v>123</v>
      </c>
      <c r="F57">
        <v>0</v>
      </c>
      <c r="G57">
        <v>1</v>
      </c>
      <c r="H57" t="s">
        <v>130</v>
      </c>
      <c r="I57">
        <v>0</v>
      </c>
      <c r="J57">
        <v>0</v>
      </c>
      <c r="K57" t="s">
        <v>125</v>
      </c>
      <c r="L57" t="s">
        <v>166</v>
      </c>
      <c r="M57">
        <v>11</v>
      </c>
      <c r="N57">
        <v>14</v>
      </c>
      <c r="O57">
        <v>1</v>
      </c>
      <c r="P57">
        <v>2</v>
      </c>
      <c r="Q57">
        <v>11</v>
      </c>
      <c r="R57">
        <v>15</v>
      </c>
      <c r="S57">
        <v>6</v>
      </c>
      <c r="T57">
        <v>5</v>
      </c>
      <c r="U57">
        <v>2</v>
      </c>
      <c r="V57">
        <v>4</v>
      </c>
      <c r="W57">
        <v>0</v>
      </c>
      <c r="X57">
        <v>0</v>
      </c>
      <c r="Y57">
        <v>2.38</v>
      </c>
      <c r="Z57">
        <v>3.3</v>
      </c>
      <c r="AA57">
        <v>3</v>
      </c>
      <c r="AB57">
        <v>2.37</v>
      </c>
      <c r="AC57">
        <v>3.3</v>
      </c>
      <c r="AD57">
        <v>3</v>
      </c>
      <c r="AE57">
        <v>2.2999999999999998</v>
      </c>
      <c r="AF57">
        <v>3.3</v>
      </c>
      <c r="AG57">
        <v>3.1</v>
      </c>
      <c r="AH57">
        <v>2.4900000000000002</v>
      </c>
      <c r="AI57">
        <v>3.32</v>
      </c>
      <c r="AJ57">
        <v>3.03</v>
      </c>
      <c r="AK57">
        <v>2.38</v>
      </c>
      <c r="AL57">
        <v>3.3</v>
      </c>
      <c r="AM57">
        <v>3.1</v>
      </c>
      <c r="AN57">
        <v>2.37</v>
      </c>
      <c r="AO57">
        <v>3.52</v>
      </c>
      <c r="AP57">
        <v>3.14</v>
      </c>
      <c r="AQ57">
        <v>2.5099999999999998</v>
      </c>
      <c r="AR57">
        <v>3.52</v>
      </c>
      <c r="AS57">
        <v>3.23</v>
      </c>
      <c r="AT57">
        <v>2.4</v>
      </c>
      <c r="AU57">
        <v>3.34</v>
      </c>
      <c r="AV57">
        <v>3.07</v>
      </c>
      <c r="AW57">
        <v>2.44</v>
      </c>
      <c r="AX57">
        <v>3.45</v>
      </c>
      <c r="AY57">
        <v>3.25</v>
      </c>
      <c r="AZ57">
        <v>2.02</v>
      </c>
      <c r="BA57">
        <v>1.88</v>
      </c>
      <c r="BB57">
        <v>2.0099999999999998</v>
      </c>
      <c r="BC57">
        <v>1.88</v>
      </c>
      <c r="BD57">
        <v>2.04</v>
      </c>
      <c r="BE57">
        <v>1.89</v>
      </c>
      <c r="BF57">
        <v>2</v>
      </c>
      <c r="BG57">
        <v>1.85</v>
      </c>
      <c r="BH57">
        <v>2.08</v>
      </c>
      <c r="BI57">
        <v>1.9</v>
      </c>
      <c r="BJ57">
        <v>-0.25</v>
      </c>
      <c r="BK57">
        <v>2.06</v>
      </c>
      <c r="BL57">
        <v>1.84</v>
      </c>
      <c r="BM57">
        <v>2.08</v>
      </c>
      <c r="BN57">
        <v>1.84</v>
      </c>
      <c r="BO57">
        <v>2.13</v>
      </c>
      <c r="BP57">
        <v>1.86</v>
      </c>
      <c r="BQ57">
        <v>2.04</v>
      </c>
      <c r="BR57">
        <v>1.81</v>
      </c>
      <c r="BS57">
        <v>2.08</v>
      </c>
      <c r="BT57">
        <v>1.9</v>
      </c>
      <c r="BU57">
        <v>2.5499999999999998</v>
      </c>
      <c r="BV57">
        <v>3.1</v>
      </c>
      <c r="BW57">
        <v>2.9</v>
      </c>
      <c r="BX57">
        <v>2.5</v>
      </c>
      <c r="BY57">
        <v>3.2</v>
      </c>
      <c r="BZ57">
        <v>3</v>
      </c>
      <c r="CA57">
        <v>2.5</v>
      </c>
      <c r="CB57">
        <v>3.1</v>
      </c>
      <c r="CC57">
        <v>3.1</v>
      </c>
      <c r="CD57">
        <v>2.65</v>
      </c>
      <c r="CE57">
        <v>3.16</v>
      </c>
      <c r="CF57">
        <v>3</v>
      </c>
      <c r="CG57">
        <v>2.5</v>
      </c>
      <c r="CH57">
        <v>3.2</v>
      </c>
      <c r="CI57">
        <v>3</v>
      </c>
      <c r="CJ57">
        <v>2.64</v>
      </c>
      <c r="CK57">
        <v>3.18</v>
      </c>
      <c r="CL57">
        <v>2.97</v>
      </c>
      <c r="CM57">
        <v>2.66</v>
      </c>
      <c r="CN57">
        <v>3.23</v>
      </c>
      <c r="CO57">
        <v>3.2</v>
      </c>
      <c r="CP57">
        <v>2.54</v>
      </c>
      <c r="CQ57">
        <v>3.17</v>
      </c>
      <c r="CR57">
        <v>3.03</v>
      </c>
      <c r="CS57">
        <v>2.6</v>
      </c>
      <c r="CT57">
        <v>3.25</v>
      </c>
      <c r="CU57">
        <v>3.2</v>
      </c>
      <c r="CV57">
        <v>2.2000000000000002</v>
      </c>
      <c r="CW57">
        <v>1.67</v>
      </c>
      <c r="CX57">
        <v>2.29</v>
      </c>
      <c r="CY57">
        <v>1.69</v>
      </c>
      <c r="CZ57">
        <v>2.3199999999999998</v>
      </c>
      <c r="DA57">
        <v>1.73</v>
      </c>
      <c r="DB57">
        <v>2.19</v>
      </c>
      <c r="DC57">
        <v>1.68</v>
      </c>
      <c r="DD57">
        <v>2.2799999999999998</v>
      </c>
      <c r="DE57">
        <v>1.76</v>
      </c>
      <c r="DF57">
        <v>0</v>
      </c>
      <c r="DG57">
        <v>1.83</v>
      </c>
      <c r="DH57">
        <v>2.1</v>
      </c>
      <c r="DI57">
        <v>1.85</v>
      </c>
      <c r="DJ57">
        <v>2.09</v>
      </c>
      <c r="DK57">
        <v>1.85</v>
      </c>
      <c r="DL57">
        <v>2.15</v>
      </c>
      <c r="DM57">
        <v>1.81</v>
      </c>
      <c r="DN57">
        <v>2.11</v>
      </c>
      <c r="DO57">
        <v>1.8</v>
      </c>
      <c r="DP57">
        <v>2.2200000000000002</v>
      </c>
    </row>
    <row r="58" spans="1:120" x14ac:dyDescent="0.3">
      <c r="A58" t="s">
        <v>120</v>
      </c>
      <c r="B58" t="s">
        <v>175</v>
      </c>
      <c r="C58" s="1">
        <v>0.72916666666666663</v>
      </c>
      <c r="D58" t="s">
        <v>133</v>
      </c>
      <c r="E58" t="s">
        <v>129</v>
      </c>
      <c r="F58">
        <v>1</v>
      </c>
      <c r="G58">
        <v>2</v>
      </c>
      <c r="H58" t="s">
        <v>130</v>
      </c>
      <c r="I58">
        <v>0</v>
      </c>
      <c r="J58">
        <v>1</v>
      </c>
      <c r="K58" t="s">
        <v>130</v>
      </c>
      <c r="L58" t="s">
        <v>153</v>
      </c>
      <c r="M58">
        <v>8</v>
      </c>
      <c r="N58">
        <v>10</v>
      </c>
      <c r="O58">
        <v>3</v>
      </c>
      <c r="P58">
        <v>6</v>
      </c>
      <c r="Q58">
        <v>16</v>
      </c>
      <c r="R58">
        <v>8</v>
      </c>
      <c r="S58">
        <v>2</v>
      </c>
      <c r="T58">
        <v>10</v>
      </c>
      <c r="U58">
        <v>2</v>
      </c>
      <c r="V58">
        <v>3</v>
      </c>
      <c r="W58">
        <v>0</v>
      </c>
      <c r="X58">
        <v>0</v>
      </c>
      <c r="Y58">
        <v>8</v>
      </c>
      <c r="Z58">
        <v>5.75</v>
      </c>
      <c r="AA58">
        <v>1.33</v>
      </c>
      <c r="AB58">
        <v>7.75</v>
      </c>
      <c r="AC58">
        <v>5.25</v>
      </c>
      <c r="AD58">
        <v>1.38</v>
      </c>
      <c r="AE58">
        <v>8</v>
      </c>
      <c r="AF58">
        <v>5.5</v>
      </c>
      <c r="AG58">
        <v>1.33</v>
      </c>
      <c r="AH58">
        <v>8.09</v>
      </c>
      <c r="AI58">
        <v>5.63</v>
      </c>
      <c r="AJ58">
        <v>1.36</v>
      </c>
      <c r="AK58">
        <v>8</v>
      </c>
      <c r="AL58">
        <v>5.5</v>
      </c>
      <c r="AM58">
        <v>1.35</v>
      </c>
      <c r="AN58">
        <v>8.4499999999999993</v>
      </c>
      <c r="AO58">
        <v>5.7</v>
      </c>
      <c r="AP58">
        <v>1.37</v>
      </c>
      <c r="AQ58">
        <v>8.5</v>
      </c>
      <c r="AR58">
        <v>5.9</v>
      </c>
      <c r="AS58">
        <v>1.38</v>
      </c>
      <c r="AT58">
        <v>8.0500000000000007</v>
      </c>
      <c r="AU58">
        <v>5.55</v>
      </c>
      <c r="AV58">
        <v>1.35</v>
      </c>
      <c r="AW58">
        <v>9</v>
      </c>
      <c r="AX58">
        <v>6</v>
      </c>
      <c r="AY58">
        <v>1.37</v>
      </c>
      <c r="AZ58">
        <v>1.44</v>
      </c>
      <c r="BA58">
        <v>2.75</v>
      </c>
      <c r="BB58">
        <v>1.48</v>
      </c>
      <c r="BC58">
        <v>2.73</v>
      </c>
      <c r="BD58">
        <v>1.49</v>
      </c>
      <c r="BE58">
        <v>2.95</v>
      </c>
      <c r="BF58">
        <v>1.45</v>
      </c>
      <c r="BG58">
        <v>2.77</v>
      </c>
      <c r="BH58">
        <v>1.48</v>
      </c>
      <c r="BI58">
        <v>3</v>
      </c>
      <c r="BJ58">
        <v>1.5</v>
      </c>
      <c r="BK58">
        <v>1.93</v>
      </c>
      <c r="BL58">
        <v>1.97</v>
      </c>
      <c r="BM58">
        <v>1.96</v>
      </c>
      <c r="BN58">
        <v>1.94</v>
      </c>
      <c r="BO58">
        <v>1.96</v>
      </c>
      <c r="BP58">
        <v>2</v>
      </c>
      <c r="BQ58">
        <v>1.91</v>
      </c>
      <c r="BR58">
        <v>1.95</v>
      </c>
      <c r="BS58">
        <v>1.98</v>
      </c>
      <c r="BT58">
        <v>1.98</v>
      </c>
      <c r="BU58">
        <v>8</v>
      </c>
      <c r="BV58">
        <v>5.75</v>
      </c>
      <c r="BW58">
        <v>1.33</v>
      </c>
      <c r="BX58">
        <v>8.5</v>
      </c>
      <c r="BY58">
        <v>6</v>
      </c>
      <c r="BZ58">
        <v>1.32</v>
      </c>
      <c r="CA58">
        <v>9.5</v>
      </c>
      <c r="CB58">
        <v>5.5</v>
      </c>
      <c r="CC58">
        <v>1.3</v>
      </c>
      <c r="CD58">
        <v>8.7200000000000006</v>
      </c>
      <c r="CE58">
        <v>5.95</v>
      </c>
      <c r="CF58">
        <v>1.33</v>
      </c>
      <c r="CG58">
        <v>9.5</v>
      </c>
      <c r="CH58">
        <v>5.8</v>
      </c>
      <c r="CI58">
        <v>1.3</v>
      </c>
      <c r="CJ58">
        <v>8.48</v>
      </c>
      <c r="CK58">
        <v>5.85</v>
      </c>
      <c r="CL58">
        <v>1.35</v>
      </c>
      <c r="CM58">
        <v>9.5</v>
      </c>
      <c r="CN58">
        <v>6.3</v>
      </c>
      <c r="CO58">
        <v>1.35</v>
      </c>
      <c r="CP58">
        <v>8.7100000000000009</v>
      </c>
      <c r="CQ58">
        <v>5.91</v>
      </c>
      <c r="CR58">
        <v>1.32</v>
      </c>
      <c r="CS58">
        <v>9.6</v>
      </c>
      <c r="CT58">
        <v>6.2</v>
      </c>
      <c r="CU58">
        <v>1.35</v>
      </c>
      <c r="CV58">
        <v>1.4</v>
      </c>
      <c r="CW58">
        <v>3</v>
      </c>
      <c r="CX58">
        <v>1.4</v>
      </c>
      <c r="CY58">
        <v>3.06</v>
      </c>
      <c r="CZ58">
        <v>1.42</v>
      </c>
      <c r="DA58">
        <v>3.17</v>
      </c>
      <c r="DB58">
        <v>1.4</v>
      </c>
      <c r="DC58">
        <v>3.03</v>
      </c>
      <c r="DD58">
        <v>1.43</v>
      </c>
      <c r="DE58">
        <v>3.25</v>
      </c>
      <c r="DF58">
        <v>1.5</v>
      </c>
      <c r="DG58">
        <v>2.0299999999999998</v>
      </c>
      <c r="DH58">
        <v>1.9</v>
      </c>
      <c r="DI58">
        <v>2.0099999999999998</v>
      </c>
      <c r="DJ58">
        <v>1.92</v>
      </c>
      <c r="DK58">
        <v>2.0699999999999998</v>
      </c>
      <c r="DL58">
        <v>1.92</v>
      </c>
      <c r="DM58">
        <v>2.0099999999999998</v>
      </c>
      <c r="DN58">
        <v>1.87</v>
      </c>
      <c r="DO58">
        <v>2.08</v>
      </c>
      <c r="DP58">
        <v>1.92</v>
      </c>
    </row>
    <row r="59" spans="1:120" x14ac:dyDescent="0.3">
      <c r="A59" t="s">
        <v>120</v>
      </c>
      <c r="B59" t="s">
        <v>177</v>
      </c>
      <c r="C59" s="1">
        <v>0.58333333333333337</v>
      </c>
      <c r="D59" t="s">
        <v>128</v>
      </c>
      <c r="E59" t="s">
        <v>145</v>
      </c>
      <c r="F59">
        <v>2</v>
      </c>
      <c r="G59">
        <v>2</v>
      </c>
      <c r="H59" t="s">
        <v>125</v>
      </c>
      <c r="I59">
        <v>1</v>
      </c>
      <c r="J59">
        <v>2</v>
      </c>
      <c r="K59" t="s">
        <v>130</v>
      </c>
      <c r="L59" t="s">
        <v>164</v>
      </c>
      <c r="M59">
        <v>15</v>
      </c>
      <c r="N59">
        <v>7</v>
      </c>
      <c r="O59">
        <v>5</v>
      </c>
      <c r="P59">
        <v>3</v>
      </c>
      <c r="Q59">
        <v>10</v>
      </c>
      <c r="R59">
        <v>14</v>
      </c>
      <c r="S59">
        <v>10</v>
      </c>
      <c r="T59">
        <v>0</v>
      </c>
      <c r="U59">
        <v>4</v>
      </c>
      <c r="V59">
        <v>1</v>
      </c>
      <c r="W59">
        <v>0</v>
      </c>
      <c r="X59">
        <v>0</v>
      </c>
      <c r="Y59">
        <v>4</v>
      </c>
      <c r="Z59">
        <v>3.75</v>
      </c>
      <c r="AA59">
        <v>1.85</v>
      </c>
      <c r="AB59">
        <v>3.9</v>
      </c>
      <c r="AC59">
        <v>3.7</v>
      </c>
      <c r="AD59">
        <v>1.9</v>
      </c>
      <c r="AE59">
        <v>4.2</v>
      </c>
      <c r="AF59">
        <v>3.75</v>
      </c>
      <c r="AG59">
        <v>1.87</v>
      </c>
      <c r="AH59">
        <v>4.34</v>
      </c>
      <c r="AI59">
        <v>3.77</v>
      </c>
      <c r="AJ59">
        <v>1.85</v>
      </c>
      <c r="AK59">
        <v>4</v>
      </c>
      <c r="AL59">
        <v>3.7</v>
      </c>
      <c r="AM59">
        <v>1.91</v>
      </c>
      <c r="AN59">
        <v>4.2300000000000004</v>
      </c>
      <c r="AO59">
        <v>4</v>
      </c>
      <c r="AP59">
        <v>1.86</v>
      </c>
      <c r="AQ59">
        <v>4.4000000000000004</v>
      </c>
      <c r="AR59">
        <v>4</v>
      </c>
      <c r="AS59">
        <v>1.91</v>
      </c>
      <c r="AT59">
        <v>4.1500000000000004</v>
      </c>
      <c r="AU59">
        <v>3.77</v>
      </c>
      <c r="AV59">
        <v>1.87</v>
      </c>
      <c r="AW59">
        <v>4.4000000000000004</v>
      </c>
      <c r="AX59">
        <v>3.85</v>
      </c>
      <c r="AY59">
        <v>1.92</v>
      </c>
      <c r="AZ59">
        <v>1.73</v>
      </c>
      <c r="BA59">
        <v>2.1</v>
      </c>
      <c r="BB59">
        <v>1.74</v>
      </c>
      <c r="BC59">
        <v>2.1800000000000002</v>
      </c>
      <c r="BD59">
        <v>1.79</v>
      </c>
      <c r="BE59">
        <v>2.2000000000000002</v>
      </c>
      <c r="BF59">
        <v>1.73</v>
      </c>
      <c r="BG59">
        <v>2.14</v>
      </c>
      <c r="BH59">
        <v>1.77</v>
      </c>
      <c r="BI59">
        <v>2.2599999999999998</v>
      </c>
      <c r="BJ59">
        <v>0.5</v>
      </c>
      <c r="BK59">
        <v>2.0099999999999998</v>
      </c>
      <c r="BL59">
        <v>1.89</v>
      </c>
      <c r="BM59">
        <v>2.0499999999999998</v>
      </c>
      <c r="BN59">
        <v>1.86</v>
      </c>
      <c r="BO59">
        <v>2.0499999999999998</v>
      </c>
      <c r="BP59">
        <v>1.91</v>
      </c>
      <c r="BQ59">
        <v>1.99</v>
      </c>
      <c r="BR59">
        <v>1.87</v>
      </c>
      <c r="BS59">
        <v>2.08</v>
      </c>
      <c r="BT59">
        <v>1.91</v>
      </c>
      <c r="BU59">
        <v>3.5</v>
      </c>
      <c r="BV59">
        <v>3.5</v>
      </c>
      <c r="BW59">
        <v>2.1</v>
      </c>
      <c r="BX59">
        <v>3.6</v>
      </c>
      <c r="BY59">
        <v>3.6</v>
      </c>
      <c r="BZ59">
        <v>2.0499999999999998</v>
      </c>
      <c r="CA59">
        <v>3.6</v>
      </c>
      <c r="CB59">
        <v>3.6</v>
      </c>
      <c r="CC59">
        <v>2.0499999999999998</v>
      </c>
      <c r="CD59">
        <v>3.64</v>
      </c>
      <c r="CE59">
        <v>3.59</v>
      </c>
      <c r="CF59">
        <v>2.1</v>
      </c>
      <c r="CG59">
        <v>3.7</v>
      </c>
      <c r="CH59">
        <v>3.5</v>
      </c>
      <c r="CI59">
        <v>2.0499999999999998</v>
      </c>
      <c r="CJ59">
        <v>3.78</v>
      </c>
      <c r="CK59">
        <v>3.56</v>
      </c>
      <c r="CL59">
        <v>2.06</v>
      </c>
      <c r="CM59">
        <v>3.9</v>
      </c>
      <c r="CN59">
        <v>3.65</v>
      </c>
      <c r="CO59">
        <v>2.11</v>
      </c>
      <c r="CP59">
        <v>3.65</v>
      </c>
      <c r="CQ59">
        <v>3.58</v>
      </c>
      <c r="CR59">
        <v>2.06</v>
      </c>
      <c r="CS59">
        <v>3.75</v>
      </c>
      <c r="CT59">
        <v>3.75</v>
      </c>
      <c r="CU59">
        <v>2.12</v>
      </c>
      <c r="CV59">
        <v>1.8</v>
      </c>
      <c r="CW59">
        <v>2</v>
      </c>
      <c r="CX59">
        <v>1.85</v>
      </c>
      <c r="CY59">
        <v>2.0699999999999998</v>
      </c>
      <c r="CZ59">
        <v>1.85</v>
      </c>
      <c r="DA59">
        <v>2.11</v>
      </c>
      <c r="DB59">
        <v>1.8</v>
      </c>
      <c r="DC59">
        <v>2.0499999999999998</v>
      </c>
      <c r="DD59">
        <v>1.86</v>
      </c>
      <c r="DE59">
        <v>2.14</v>
      </c>
      <c r="DF59">
        <v>0.5</v>
      </c>
      <c r="DG59">
        <v>1.75</v>
      </c>
      <c r="DH59">
        <v>2.0499999999999998</v>
      </c>
      <c r="DI59">
        <v>1.83</v>
      </c>
      <c r="DJ59">
        <v>2.11</v>
      </c>
      <c r="DK59">
        <v>1.87</v>
      </c>
      <c r="DL59">
        <v>2.12</v>
      </c>
      <c r="DM59">
        <v>1.82</v>
      </c>
      <c r="DN59">
        <v>2.0499999999999998</v>
      </c>
      <c r="DO59">
        <v>1.87</v>
      </c>
      <c r="DP59">
        <v>2.13</v>
      </c>
    </row>
    <row r="60" spans="1:120" x14ac:dyDescent="0.3">
      <c r="A60" t="s">
        <v>120</v>
      </c>
      <c r="B60" t="s">
        <v>177</v>
      </c>
      <c r="C60" s="1">
        <v>0.6875</v>
      </c>
      <c r="D60" t="s">
        <v>122</v>
      </c>
      <c r="E60" t="s">
        <v>156</v>
      </c>
      <c r="F60">
        <v>0</v>
      </c>
      <c r="G60">
        <v>3</v>
      </c>
      <c r="H60" t="s">
        <v>130</v>
      </c>
      <c r="I60">
        <v>0</v>
      </c>
      <c r="J60">
        <v>1</v>
      </c>
      <c r="K60" t="s">
        <v>130</v>
      </c>
      <c r="L60" t="s">
        <v>157</v>
      </c>
      <c r="M60">
        <v>11</v>
      </c>
      <c r="N60">
        <v>24</v>
      </c>
      <c r="O60">
        <v>2</v>
      </c>
      <c r="P60">
        <v>10</v>
      </c>
      <c r="Q60">
        <v>16</v>
      </c>
      <c r="R60">
        <v>14</v>
      </c>
      <c r="S60">
        <v>5</v>
      </c>
      <c r="T60">
        <v>3</v>
      </c>
      <c r="U60">
        <v>5</v>
      </c>
      <c r="V60">
        <v>3</v>
      </c>
      <c r="W60">
        <v>1</v>
      </c>
      <c r="X60">
        <v>0</v>
      </c>
      <c r="Y60">
        <v>2.35</v>
      </c>
      <c r="Z60">
        <v>3.75</v>
      </c>
      <c r="AA60">
        <v>2.75</v>
      </c>
      <c r="AB60">
        <v>2.2999999999999998</v>
      </c>
      <c r="AC60">
        <v>3.9</v>
      </c>
      <c r="AD60">
        <v>2.8</v>
      </c>
      <c r="AE60">
        <v>2.38</v>
      </c>
      <c r="AF60">
        <v>3.9</v>
      </c>
      <c r="AG60">
        <v>2.75</v>
      </c>
      <c r="AH60">
        <v>2.42</v>
      </c>
      <c r="AI60">
        <v>3.9</v>
      </c>
      <c r="AJ60">
        <v>2.75</v>
      </c>
      <c r="AK60">
        <v>2.2999999999999998</v>
      </c>
      <c r="AL60">
        <v>4</v>
      </c>
      <c r="AM60">
        <v>2.75</v>
      </c>
      <c r="AN60">
        <v>2.38</v>
      </c>
      <c r="AO60">
        <v>4.13</v>
      </c>
      <c r="AP60">
        <v>2.75</v>
      </c>
      <c r="AQ60">
        <v>2.42</v>
      </c>
      <c r="AR60">
        <v>4.13</v>
      </c>
      <c r="AS60">
        <v>2.8</v>
      </c>
      <c r="AT60">
        <v>2.36</v>
      </c>
      <c r="AU60">
        <v>3.89</v>
      </c>
      <c r="AV60">
        <v>2.77</v>
      </c>
      <c r="AW60">
        <v>2.46</v>
      </c>
      <c r="AX60">
        <v>4</v>
      </c>
      <c r="AY60">
        <v>2.86</v>
      </c>
      <c r="AZ60">
        <v>1.44</v>
      </c>
      <c r="BA60">
        <v>2.75</v>
      </c>
      <c r="BB60">
        <v>1.45</v>
      </c>
      <c r="BC60">
        <v>2.88</v>
      </c>
      <c r="BD60">
        <v>1.45</v>
      </c>
      <c r="BE60">
        <v>3.07</v>
      </c>
      <c r="BF60">
        <v>1.42</v>
      </c>
      <c r="BG60">
        <v>2.87</v>
      </c>
      <c r="BH60">
        <v>1.46</v>
      </c>
      <c r="BI60">
        <v>3.05</v>
      </c>
      <c r="BJ60">
        <v>-0.25</v>
      </c>
      <c r="BK60">
        <v>2.08</v>
      </c>
      <c r="BL60">
        <v>1.82</v>
      </c>
      <c r="BM60">
        <v>2.12</v>
      </c>
      <c r="BN60">
        <v>1.79</v>
      </c>
      <c r="BO60">
        <v>2.12</v>
      </c>
      <c r="BP60">
        <v>1.85</v>
      </c>
      <c r="BQ60">
        <v>2.0499999999999998</v>
      </c>
      <c r="BR60">
        <v>1.8</v>
      </c>
      <c r="BS60">
        <v>2.15</v>
      </c>
      <c r="BT60">
        <v>1.85</v>
      </c>
      <c r="BU60">
        <v>2.0499999999999998</v>
      </c>
      <c r="BV60">
        <v>3.9</v>
      </c>
      <c r="BW60">
        <v>3.2</v>
      </c>
      <c r="BX60">
        <v>2.1</v>
      </c>
      <c r="BY60">
        <v>3.8</v>
      </c>
      <c r="BZ60">
        <v>3.25</v>
      </c>
      <c r="CA60">
        <v>2.0499999999999998</v>
      </c>
      <c r="CB60">
        <v>3.7</v>
      </c>
      <c r="CC60">
        <v>3.25</v>
      </c>
      <c r="CD60">
        <v>2.12</v>
      </c>
      <c r="CE60">
        <v>3.89</v>
      </c>
      <c r="CF60">
        <v>3.27</v>
      </c>
      <c r="CG60">
        <v>2.15</v>
      </c>
      <c r="CH60">
        <v>3.7</v>
      </c>
      <c r="CI60">
        <v>3.25</v>
      </c>
      <c r="CJ60">
        <v>2.04</v>
      </c>
      <c r="CK60">
        <v>4</v>
      </c>
      <c r="CL60">
        <v>3.46</v>
      </c>
      <c r="CM60">
        <v>2.16</v>
      </c>
      <c r="CN60">
        <v>4</v>
      </c>
      <c r="CO60">
        <v>3.46</v>
      </c>
      <c r="CP60">
        <v>2.11</v>
      </c>
      <c r="CQ60">
        <v>3.86</v>
      </c>
      <c r="CR60">
        <v>3.24</v>
      </c>
      <c r="CS60">
        <v>2.16</v>
      </c>
      <c r="CT60">
        <v>3.95</v>
      </c>
      <c r="CU60">
        <v>3.45</v>
      </c>
      <c r="CV60">
        <v>1.44</v>
      </c>
      <c r="CW60">
        <v>2.75</v>
      </c>
      <c r="CX60">
        <v>1.45</v>
      </c>
      <c r="CY60">
        <v>2.91</v>
      </c>
      <c r="CZ60">
        <v>1.46</v>
      </c>
      <c r="DA60">
        <v>2.96</v>
      </c>
      <c r="DB60">
        <v>1.44</v>
      </c>
      <c r="DC60">
        <v>2.86</v>
      </c>
      <c r="DD60">
        <v>1.47</v>
      </c>
      <c r="DE60">
        <v>3.05</v>
      </c>
      <c r="DF60">
        <v>-0.25</v>
      </c>
      <c r="DG60">
        <v>1.87</v>
      </c>
      <c r="DH60">
        <v>2.06</v>
      </c>
      <c r="DI60">
        <v>1.89</v>
      </c>
      <c r="DJ60">
        <v>2.04</v>
      </c>
      <c r="DK60">
        <v>1.91</v>
      </c>
      <c r="DL60">
        <v>2.12</v>
      </c>
      <c r="DM60">
        <v>1.85</v>
      </c>
      <c r="DN60">
        <v>2.02</v>
      </c>
      <c r="DO60">
        <v>1.89</v>
      </c>
      <c r="DP60">
        <v>2.11</v>
      </c>
    </row>
    <row r="61" spans="1:120" x14ac:dyDescent="0.3">
      <c r="A61" t="s">
        <v>120</v>
      </c>
      <c r="B61" t="s">
        <v>178</v>
      </c>
      <c r="C61" s="1">
        <v>0.83333333333333337</v>
      </c>
      <c r="D61" t="s">
        <v>142</v>
      </c>
      <c r="E61" t="s">
        <v>139</v>
      </c>
      <c r="F61">
        <v>3</v>
      </c>
      <c r="G61">
        <v>1</v>
      </c>
      <c r="H61" t="s">
        <v>124</v>
      </c>
      <c r="I61">
        <v>3</v>
      </c>
      <c r="J61">
        <v>0</v>
      </c>
      <c r="K61" t="s">
        <v>124</v>
      </c>
      <c r="L61" t="s">
        <v>143</v>
      </c>
      <c r="M61">
        <v>14</v>
      </c>
      <c r="N61">
        <v>9</v>
      </c>
      <c r="O61">
        <v>6</v>
      </c>
      <c r="P61">
        <v>3</v>
      </c>
      <c r="Q61">
        <v>19</v>
      </c>
      <c r="R61">
        <v>12</v>
      </c>
      <c r="S61">
        <v>7</v>
      </c>
      <c r="T61">
        <v>4</v>
      </c>
      <c r="U61">
        <v>2</v>
      </c>
      <c r="V61">
        <v>5</v>
      </c>
      <c r="W61">
        <v>0</v>
      </c>
      <c r="X61">
        <v>0</v>
      </c>
      <c r="Y61">
        <v>1.65</v>
      </c>
      <c r="Z61">
        <v>4.0999999999999996</v>
      </c>
      <c r="AA61">
        <v>5</v>
      </c>
      <c r="AB61">
        <v>1.65</v>
      </c>
      <c r="AC61">
        <v>4.2</v>
      </c>
      <c r="AD61">
        <v>5</v>
      </c>
      <c r="AE61">
        <v>1.62</v>
      </c>
      <c r="AF61">
        <v>4.0999999999999996</v>
      </c>
      <c r="AG61">
        <v>5</v>
      </c>
      <c r="AH61">
        <v>1.65</v>
      </c>
      <c r="AI61">
        <v>4.37</v>
      </c>
      <c r="AJ61">
        <v>5.01</v>
      </c>
      <c r="AK61">
        <v>1.67</v>
      </c>
      <c r="AL61">
        <v>4.2</v>
      </c>
      <c r="AM61">
        <v>4.8</v>
      </c>
      <c r="AN61">
        <v>1.67</v>
      </c>
      <c r="AO61">
        <v>4.53</v>
      </c>
      <c r="AP61">
        <v>4.84</v>
      </c>
      <c r="AQ61">
        <v>1.68</v>
      </c>
      <c r="AR61">
        <v>4.53</v>
      </c>
      <c r="AS61">
        <v>5.25</v>
      </c>
      <c r="AT61">
        <v>1.65</v>
      </c>
      <c r="AU61">
        <v>4.29</v>
      </c>
      <c r="AV61">
        <v>4.91</v>
      </c>
      <c r="AW61">
        <v>1.68</v>
      </c>
      <c r="AX61">
        <v>4.4000000000000004</v>
      </c>
      <c r="AY61">
        <v>5.5</v>
      </c>
      <c r="AZ61">
        <v>1.5</v>
      </c>
      <c r="BA61">
        <v>2.63</v>
      </c>
      <c r="BB61">
        <v>1.49</v>
      </c>
      <c r="BC61">
        <v>2.7</v>
      </c>
      <c r="BD61">
        <v>1.52</v>
      </c>
      <c r="BE61">
        <v>2.75</v>
      </c>
      <c r="BF61">
        <v>1.49</v>
      </c>
      <c r="BG61">
        <v>2.6</v>
      </c>
      <c r="BH61">
        <v>1.53</v>
      </c>
      <c r="BI61">
        <v>2.72</v>
      </c>
      <c r="BJ61">
        <v>-0.75</v>
      </c>
      <c r="BK61">
        <v>1.83</v>
      </c>
      <c r="BL61">
        <v>2.0699999999999998</v>
      </c>
      <c r="BM61">
        <v>1.8</v>
      </c>
      <c r="BN61">
        <v>2.1</v>
      </c>
      <c r="BO61">
        <v>1.83</v>
      </c>
      <c r="BP61">
        <v>2.13</v>
      </c>
      <c r="BQ61">
        <v>1.79</v>
      </c>
      <c r="BR61">
        <v>2.06</v>
      </c>
      <c r="BS61">
        <v>1.83</v>
      </c>
      <c r="BT61">
        <v>2.15</v>
      </c>
      <c r="BU61">
        <v>1.48</v>
      </c>
      <c r="BV61">
        <v>4.33</v>
      </c>
      <c r="BW61">
        <v>6.5</v>
      </c>
      <c r="BX61">
        <v>1.53</v>
      </c>
      <c r="BY61">
        <v>4.5</v>
      </c>
      <c r="BZ61">
        <v>5.75</v>
      </c>
      <c r="CA61">
        <v>1.5</v>
      </c>
      <c r="CB61">
        <v>4.5</v>
      </c>
      <c r="CC61">
        <v>6</v>
      </c>
      <c r="CD61">
        <v>1.49</v>
      </c>
      <c r="CE61">
        <v>4.6900000000000004</v>
      </c>
      <c r="CF61">
        <v>6.79</v>
      </c>
      <c r="CG61">
        <v>1.57</v>
      </c>
      <c r="CH61">
        <v>4.2</v>
      </c>
      <c r="CI61">
        <v>5.8</v>
      </c>
      <c r="CJ61">
        <v>1.58</v>
      </c>
      <c r="CK61">
        <v>4.34</v>
      </c>
      <c r="CL61">
        <v>5.94</v>
      </c>
      <c r="CM61">
        <v>1.58</v>
      </c>
      <c r="CN61">
        <v>4.75</v>
      </c>
      <c r="CO61">
        <v>6.79</v>
      </c>
      <c r="CP61">
        <v>1.52</v>
      </c>
      <c r="CQ61">
        <v>4.5199999999999996</v>
      </c>
      <c r="CR61">
        <v>6.1</v>
      </c>
      <c r="CS61">
        <v>1.56</v>
      </c>
      <c r="CT61">
        <v>4.7</v>
      </c>
      <c r="CU61">
        <v>6.4</v>
      </c>
      <c r="CV61">
        <v>1.57</v>
      </c>
      <c r="CW61">
        <v>2.38</v>
      </c>
      <c r="CX61">
        <v>1.59</v>
      </c>
      <c r="CY61">
        <v>2.4900000000000002</v>
      </c>
      <c r="CZ61">
        <v>1.64</v>
      </c>
      <c r="DA61">
        <v>2.5499999999999998</v>
      </c>
      <c r="DB61">
        <v>1.57</v>
      </c>
      <c r="DC61">
        <v>2.46</v>
      </c>
      <c r="DD61">
        <v>1.61</v>
      </c>
      <c r="DE61">
        <v>2.62</v>
      </c>
      <c r="DF61">
        <v>-1</v>
      </c>
      <c r="DG61">
        <v>1.78</v>
      </c>
      <c r="DH61">
        <v>2.0299999999999998</v>
      </c>
      <c r="DI61">
        <v>1.77</v>
      </c>
      <c r="DJ61">
        <v>2.17</v>
      </c>
      <c r="DK61">
        <v>1.93</v>
      </c>
      <c r="DL61">
        <v>2.17</v>
      </c>
      <c r="DM61">
        <v>1.83</v>
      </c>
      <c r="DN61">
        <v>2.04</v>
      </c>
      <c r="DO61">
        <v>1.91</v>
      </c>
      <c r="DP61">
        <v>2.08</v>
      </c>
    </row>
    <row r="62" spans="1:120" x14ac:dyDescent="0.3">
      <c r="A62" t="s">
        <v>120</v>
      </c>
      <c r="B62" s="2">
        <v>45422</v>
      </c>
      <c r="C62" s="1">
        <v>0.52083333333333337</v>
      </c>
      <c r="D62" t="s">
        <v>149</v>
      </c>
      <c r="E62" t="s">
        <v>129</v>
      </c>
      <c r="F62">
        <v>0</v>
      </c>
      <c r="G62">
        <v>1</v>
      </c>
      <c r="H62" t="s">
        <v>130</v>
      </c>
      <c r="I62">
        <v>0</v>
      </c>
      <c r="J62">
        <v>1</v>
      </c>
      <c r="K62" t="s">
        <v>130</v>
      </c>
      <c r="L62" t="s">
        <v>137</v>
      </c>
      <c r="M62">
        <v>9</v>
      </c>
      <c r="N62">
        <v>16</v>
      </c>
      <c r="O62">
        <v>5</v>
      </c>
      <c r="P62">
        <v>4</v>
      </c>
      <c r="Q62">
        <v>7</v>
      </c>
      <c r="R62">
        <v>15</v>
      </c>
      <c r="S62">
        <v>3</v>
      </c>
      <c r="T62">
        <v>8</v>
      </c>
      <c r="U62">
        <v>4</v>
      </c>
      <c r="V62">
        <v>2</v>
      </c>
      <c r="W62">
        <v>0</v>
      </c>
      <c r="X62">
        <v>0</v>
      </c>
      <c r="Y62">
        <v>6</v>
      </c>
      <c r="Z62">
        <v>4.5</v>
      </c>
      <c r="AA62">
        <v>1.5</v>
      </c>
      <c r="AB62">
        <v>6</v>
      </c>
      <c r="AC62">
        <v>4.5999999999999996</v>
      </c>
      <c r="AD62">
        <v>1.5</v>
      </c>
      <c r="AE62">
        <v>6.5</v>
      </c>
      <c r="AF62">
        <v>4.5999999999999996</v>
      </c>
      <c r="AG62">
        <v>1.47</v>
      </c>
      <c r="AH62">
        <v>6.38</v>
      </c>
      <c r="AI62">
        <v>4.71</v>
      </c>
      <c r="AJ62">
        <v>1.5</v>
      </c>
      <c r="AK62">
        <v>6.5</v>
      </c>
      <c r="AL62">
        <v>4.4000000000000004</v>
      </c>
      <c r="AM62">
        <v>1.5</v>
      </c>
      <c r="AN62">
        <v>6.67</v>
      </c>
      <c r="AO62">
        <v>4.6900000000000004</v>
      </c>
      <c r="AP62">
        <v>1.51</v>
      </c>
      <c r="AQ62">
        <v>6.67</v>
      </c>
      <c r="AR62">
        <v>4.9000000000000004</v>
      </c>
      <c r="AS62">
        <v>1.52</v>
      </c>
      <c r="AT62">
        <v>6.36</v>
      </c>
      <c r="AU62">
        <v>4.6500000000000004</v>
      </c>
      <c r="AV62">
        <v>1.49</v>
      </c>
      <c r="AW62">
        <v>6.6</v>
      </c>
      <c r="AX62">
        <v>4.9000000000000004</v>
      </c>
      <c r="AY62">
        <v>1.55</v>
      </c>
      <c r="AZ62">
        <v>1.57</v>
      </c>
      <c r="BA62">
        <v>2.38</v>
      </c>
      <c r="BB62">
        <v>1.62</v>
      </c>
      <c r="BC62">
        <v>2.39</v>
      </c>
      <c r="BD62">
        <v>1.64</v>
      </c>
      <c r="BE62">
        <v>2.5</v>
      </c>
      <c r="BF62">
        <v>1.59</v>
      </c>
      <c r="BG62">
        <v>2.4</v>
      </c>
      <c r="BH62">
        <v>1.62</v>
      </c>
      <c r="BI62">
        <v>2.52</v>
      </c>
      <c r="BJ62">
        <v>1</v>
      </c>
      <c r="BK62">
        <v>2.0499999999999998</v>
      </c>
      <c r="BL62">
        <v>1.75</v>
      </c>
      <c r="BM62">
        <v>2.11</v>
      </c>
      <c r="BN62">
        <v>1.82</v>
      </c>
      <c r="BO62">
        <v>2.12</v>
      </c>
      <c r="BP62">
        <v>1.83</v>
      </c>
      <c r="BQ62">
        <v>2.08</v>
      </c>
      <c r="BR62">
        <v>1.79</v>
      </c>
      <c r="BS62">
        <v>2.13</v>
      </c>
      <c r="BT62">
        <v>1.86</v>
      </c>
      <c r="BU62">
        <v>5</v>
      </c>
      <c r="BV62">
        <v>4</v>
      </c>
      <c r="BW62">
        <v>1.67</v>
      </c>
      <c r="BX62">
        <v>4.8</v>
      </c>
      <c r="BY62">
        <v>4.0999999999999996</v>
      </c>
      <c r="BZ62">
        <v>1.66</v>
      </c>
      <c r="CA62">
        <v>5</v>
      </c>
      <c r="CB62">
        <v>4</v>
      </c>
      <c r="CC62">
        <v>1.65</v>
      </c>
      <c r="CD62">
        <v>5.14</v>
      </c>
      <c r="CE62">
        <v>4.0999999999999996</v>
      </c>
      <c r="CF62">
        <v>1.69</v>
      </c>
      <c r="CG62">
        <v>5.5</v>
      </c>
      <c r="CH62">
        <v>4</v>
      </c>
      <c r="CI62">
        <v>1.65</v>
      </c>
      <c r="CJ62">
        <v>5.42</v>
      </c>
      <c r="CK62">
        <v>4.07</v>
      </c>
      <c r="CL62">
        <v>1.66</v>
      </c>
      <c r="CM62">
        <v>5.5</v>
      </c>
      <c r="CN62">
        <v>4.25</v>
      </c>
      <c r="CO62">
        <v>1.72</v>
      </c>
      <c r="CP62">
        <v>5.03</v>
      </c>
      <c r="CQ62">
        <v>4.0999999999999996</v>
      </c>
      <c r="CR62">
        <v>1.67</v>
      </c>
      <c r="CS62">
        <v>5.5</v>
      </c>
      <c r="CT62">
        <v>4.2</v>
      </c>
      <c r="CU62">
        <v>1.7</v>
      </c>
      <c r="CV62">
        <v>1.67</v>
      </c>
      <c r="CW62">
        <v>2.2000000000000002</v>
      </c>
      <c r="CX62">
        <v>1.7</v>
      </c>
      <c r="CY62">
        <v>2.2599999999999998</v>
      </c>
      <c r="CZ62">
        <v>1.7</v>
      </c>
      <c r="DA62">
        <v>2.38</v>
      </c>
      <c r="DB62">
        <v>1.66</v>
      </c>
      <c r="DC62">
        <v>2.27</v>
      </c>
      <c r="DD62">
        <v>1.72</v>
      </c>
      <c r="DE62">
        <v>2.38</v>
      </c>
      <c r="DF62">
        <v>0.75</v>
      </c>
      <c r="DG62">
        <v>2.0499999999999998</v>
      </c>
      <c r="DH62">
        <v>1.88</v>
      </c>
      <c r="DI62">
        <v>2.0499999999999998</v>
      </c>
      <c r="DJ62">
        <v>1.88</v>
      </c>
      <c r="DK62">
        <v>2.11</v>
      </c>
      <c r="DL62">
        <v>1.9</v>
      </c>
      <c r="DM62">
        <v>2.0299999999999998</v>
      </c>
      <c r="DN62">
        <v>1.84</v>
      </c>
      <c r="DO62">
        <v>2.11</v>
      </c>
      <c r="DP62">
        <v>1.88</v>
      </c>
    </row>
    <row r="63" spans="1:120" x14ac:dyDescent="0.3">
      <c r="A63" t="s">
        <v>120</v>
      </c>
      <c r="B63" s="2">
        <v>45422</v>
      </c>
      <c r="C63" s="1">
        <v>0.625</v>
      </c>
      <c r="D63" t="s">
        <v>132</v>
      </c>
      <c r="E63" t="s">
        <v>139</v>
      </c>
      <c r="F63">
        <v>3</v>
      </c>
      <c r="G63">
        <v>1</v>
      </c>
      <c r="H63" t="s">
        <v>124</v>
      </c>
      <c r="I63">
        <v>0</v>
      </c>
      <c r="J63">
        <v>0</v>
      </c>
      <c r="K63" t="s">
        <v>125</v>
      </c>
      <c r="L63" t="s">
        <v>146</v>
      </c>
      <c r="M63">
        <v>29</v>
      </c>
      <c r="N63">
        <v>8</v>
      </c>
      <c r="O63">
        <v>6</v>
      </c>
      <c r="P63">
        <v>2</v>
      </c>
      <c r="Q63">
        <v>10</v>
      </c>
      <c r="R63">
        <v>9</v>
      </c>
      <c r="S63">
        <v>13</v>
      </c>
      <c r="T63">
        <v>1</v>
      </c>
      <c r="U63">
        <v>0</v>
      </c>
      <c r="V63">
        <v>3</v>
      </c>
      <c r="W63">
        <v>0</v>
      </c>
      <c r="X63">
        <v>0</v>
      </c>
      <c r="Y63">
        <v>1.1399999999999999</v>
      </c>
      <c r="Z63">
        <v>9</v>
      </c>
      <c r="AA63">
        <v>17</v>
      </c>
      <c r="AB63">
        <v>1.1399999999999999</v>
      </c>
      <c r="AC63">
        <v>9.5</v>
      </c>
      <c r="AD63">
        <v>17</v>
      </c>
      <c r="AE63">
        <v>1.1100000000000001</v>
      </c>
      <c r="AF63">
        <v>9.5</v>
      </c>
      <c r="AG63">
        <v>21</v>
      </c>
      <c r="AH63">
        <v>1.1299999999999999</v>
      </c>
      <c r="AI63">
        <v>9.4600000000000009</v>
      </c>
      <c r="AJ63">
        <v>19.13</v>
      </c>
      <c r="AK63">
        <v>1.1399999999999999</v>
      </c>
      <c r="AL63">
        <v>8.5</v>
      </c>
      <c r="AM63">
        <v>19</v>
      </c>
      <c r="AN63">
        <v>1.1499999999999999</v>
      </c>
      <c r="AO63">
        <v>9.4</v>
      </c>
      <c r="AP63">
        <v>20</v>
      </c>
      <c r="AQ63">
        <v>1.1599999999999999</v>
      </c>
      <c r="AR63">
        <v>10</v>
      </c>
      <c r="AS63">
        <v>21</v>
      </c>
      <c r="AT63">
        <v>1.1399999999999999</v>
      </c>
      <c r="AU63">
        <v>9.1999999999999993</v>
      </c>
      <c r="AV63">
        <v>18.63</v>
      </c>
      <c r="AW63">
        <v>1.1399999999999999</v>
      </c>
      <c r="AX63">
        <v>11</v>
      </c>
      <c r="AY63">
        <v>26</v>
      </c>
      <c r="AZ63">
        <v>1.36</v>
      </c>
      <c r="BA63">
        <v>3.2</v>
      </c>
      <c r="BB63">
        <v>1.38</v>
      </c>
      <c r="BC63">
        <v>3.16</v>
      </c>
      <c r="BD63">
        <v>1.4</v>
      </c>
      <c r="BE63">
        <v>3.25</v>
      </c>
      <c r="BF63">
        <v>1.36</v>
      </c>
      <c r="BG63">
        <v>3.13</v>
      </c>
      <c r="BH63">
        <v>1.4</v>
      </c>
      <c r="BI63">
        <v>3.4</v>
      </c>
      <c r="BJ63">
        <v>-2.25</v>
      </c>
      <c r="BK63">
        <v>1.89</v>
      </c>
      <c r="BL63">
        <v>2.0099999999999998</v>
      </c>
      <c r="BM63">
        <v>1.91</v>
      </c>
      <c r="BN63">
        <v>1.98</v>
      </c>
      <c r="BO63">
        <v>1.91</v>
      </c>
      <c r="BP63">
        <v>2.0499999999999998</v>
      </c>
      <c r="BQ63">
        <v>1.88</v>
      </c>
      <c r="BR63">
        <v>1.96</v>
      </c>
      <c r="BS63">
        <v>1.96</v>
      </c>
      <c r="BT63">
        <v>2.0099999999999998</v>
      </c>
      <c r="BU63">
        <v>1.18</v>
      </c>
      <c r="BV63">
        <v>7.5</v>
      </c>
      <c r="BW63">
        <v>13</v>
      </c>
      <c r="BX63">
        <v>1.18</v>
      </c>
      <c r="BY63">
        <v>8</v>
      </c>
      <c r="BZ63">
        <v>14.5</v>
      </c>
      <c r="CA63">
        <v>1.1499999999999999</v>
      </c>
      <c r="CB63">
        <v>7</v>
      </c>
      <c r="CC63">
        <v>16</v>
      </c>
      <c r="CD63">
        <v>1.1599999999999999</v>
      </c>
      <c r="CE63">
        <v>8.18</v>
      </c>
      <c r="CF63">
        <v>18.71</v>
      </c>
      <c r="CG63">
        <v>1.18</v>
      </c>
      <c r="CH63">
        <v>7</v>
      </c>
      <c r="CI63">
        <v>17</v>
      </c>
      <c r="CJ63">
        <v>1.2</v>
      </c>
      <c r="CK63">
        <v>7.97</v>
      </c>
      <c r="CL63">
        <v>14.3</v>
      </c>
      <c r="CM63">
        <v>1.21</v>
      </c>
      <c r="CN63">
        <v>8.8000000000000007</v>
      </c>
      <c r="CO63">
        <v>18.71</v>
      </c>
      <c r="CP63">
        <v>1.18</v>
      </c>
      <c r="CQ63">
        <v>7.99</v>
      </c>
      <c r="CR63">
        <v>15.31</v>
      </c>
      <c r="CS63">
        <v>1.2</v>
      </c>
      <c r="CT63">
        <v>8.1999999999999993</v>
      </c>
      <c r="CU63">
        <v>21</v>
      </c>
      <c r="CV63">
        <v>1.44</v>
      </c>
      <c r="CW63">
        <v>2.75</v>
      </c>
      <c r="CX63">
        <v>1.45</v>
      </c>
      <c r="CY63">
        <v>2.84</v>
      </c>
      <c r="CZ63">
        <v>1.46</v>
      </c>
      <c r="DA63">
        <v>3</v>
      </c>
      <c r="DB63">
        <v>1.44</v>
      </c>
      <c r="DC63">
        <v>2.86</v>
      </c>
      <c r="DD63">
        <v>1.48</v>
      </c>
      <c r="DE63">
        <v>3.05</v>
      </c>
      <c r="DF63">
        <v>-2</v>
      </c>
      <c r="DG63">
        <v>1.9</v>
      </c>
      <c r="DH63">
        <v>2.0299999999999998</v>
      </c>
      <c r="DI63">
        <v>1.88</v>
      </c>
      <c r="DJ63">
        <v>2.0299999999999998</v>
      </c>
      <c r="DK63">
        <v>1.91</v>
      </c>
      <c r="DL63">
        <v>2.0699999999999998</v>
      </c>
      <c r="DM63">
        <v>1.87</v>
      </c>
      <c r="DN63">
        <v>2</v>
      </c>
      <c r="DO63">
        <v>1.92</v>
      </c>
      <c r="DP63">
        <v>2.06</v>
      </c>
    </row>
    <row r="64" spans="1:120" x14ac:dyDescent="0.3">
      <c r="A64" t="s">
        <v>120</v>
      </c>
      <c r="B64" s="2">
        <v>45422</v>
      </c>
      <c r="C64" s="1">
        <v>0.625</v>
      </c>
      <c r="D64" t="s">
        <v>148</v>
      </c>
      <c r="E64" t="s">
        <v>133</v>
      </c>
      <c r="F64">
        <v>5</v>
      </c>
      <c r="G64">
        <v>3</v>
      </c>
      <c r="H64" t="s">
        <v>124</v>
      </c>
      <c r="I64">
        <v>4</v>
      </c>
      <c r="J64">
        <v>2</v>
      </c>
      <c r="K64" t="s">
        <v>124</v>
      </c>
      <c r="L64" t="s">
        <v>176</v>
      </c>
      <c r="M64">
        <v>19</v>
      </c>
      <c r="N64">
        <v>17</v>
      </c>
      <c r="O64">
        <v>12</v>
      </c>
      <c r="P64">
        <v>6</v>
      </c>
      <c r="Q64">
        <v>9</v>
      </c>
      <c r="R64">
        <v>10</v>
      </c>
      <c r="S64">
        <v>10</v>
      </c>
      <c r="T64">
        <v>3</v>
      </c>
      <c r="U64">
        <v>2</v>
      </c>
      <c r="V64">
        <v>3</v>
      </c>
      <c r="W64">
        <v>0</v>
      </c>
      <c r="X64">
        <v>0</v>
      </c>
      <c r="Y64">
        <v>2.0499999999999998</v>
      </c>
      <c r="Z64">
        <v>3.6</v>
      </c>
      <c r="AA64">
        <v>3.4</v>
      </c>
      <c r="AB64">
        <v>2</v>
      </c>
      <c r="AC64">
        <v>3.6</v>
      </c>
      <c r="AD64">
        <v>3.6</v>
      </c>
      <c r="AE64">
        <v>2.0499999999999998</v>
      </c>
      <c r="AF64">
        <v>3.6</v>
      </c>
      <c r="AG64">
        <v>3.6</v>
      </c>
      <c r="AH64">
        <v>2.14</v>
      </c>
      <c r="AI64">
        <v>3.62</v>
      </c>
      <c r="AJ64">
        <v>3.44</v>
      </c>
      <c r="AK64">
        <v>2.1</v>
      </c>
      <c r="AL64">
        <v>3.6</v>
      </c>
      <c r="AM64">
        <v>3.5</v>
      </c>
      <c r="AN64">
        <v>2.11</v>
      </c>
      <c r="AO64">
        <v>3.75</v>
      </c>
      <c r="AP64">
        <v>3.51</v>
      </c>
      <c r="AQ64">
        <v>2.14</v>
      </c>
      <c r="AR64">
        <v>3.75</v>
      </c>
      <c r="AS64">
        <v>3.7</v>
      </c>
      <c r="AT64">
        <v>2.09</v>
      </c>
      <c r="AU64">
        <v>3.64</v>
      </c>
      <c r="AV64">
        <v>3.47</v>
      </c>
      <c r="AW64">
        <v>2.16</v>
      </c>
      <c r="AX64">
        <v>3.75</v>
      </c>
      <c r="AY64">
        <v>3.65</v>
      </c>
      <c r="AZ64">
        <v>1.73</v>
      </c>
      <c r="BA64">
        <v>2.1</v>
      </c>
      <c r="BB64">
        <v>1.81</v>
      </c>
      <c r="BC64">
        <v>2.08</v>
      </c>
      <c r="BD64">
        <v>1.81</v>
      </c>
      <c r="BE64">
        <v>2.13</v>
      </c>
      <c r="BF64">
        <v>1.78</v>
      </c>
      <c r="BG64">
        <v>2.08</v>
      </c>
      <c r="BH64">
        <v>1.83</v>
      </c>
      <c r="BI64">
        <v>2.16</v>
      </c>
      <c r="BJ64">
        <v>-0.25</v>
      </c>
      <c r="BK64">
        <v>1.85</v>
      </c>
      <c r="BL64">
        <v>2.0499999999999998</v>
      </c>
      <c r="BM64">
        <v>1.87</v>
      </c>
      <c r="BN64">
        <v>2.0499999999999998</v>
      </c>
      <c r="BO64">
        <v>1.88</v>
      </c>
      <c r="BP64">
        <v>2.16</v>
      </c>
      <c r="BQ64">
        <v>1.8</v>
      </c>
      <c r="BR64">
        <v>2.06</v>
      </c>
      <c r="BS64">
        <v>1.87</v>
      </c>
      <c r="BT64">
        <v>2.12</v>
      </c>
      <c r="BU64">
        <v>2.1</v>
      </c>
      <c r="BV64">
        <v>3.5</v>
      </c>
      <c r="BW64">
        <v>3.4</v>
      </c>
      <c r="BX64">
        <v>2.0499999999999998</v>
      </c>
      <c r="BY64">
        <v>3.6</v>
      </c>
      <c r="BZ64">
        <v>3.4</v>
      </c>
      <c r="CA64">
        <v>2</v>
      </c>
      <c r="CB64">
        <v>3.5</v>
      </c>
      <c r="CC64">
        <v>3.6</v>
      </c>
      <c r="CD64">
        <v>2.11</v>
      </c>
      <c r="CE64">
        <v>3.61</v>
      </c>
      <c r="CF64">
        <v>3.6</v>
      </c>
      <c r="CG64">
        <v>2.0499999999999998</v>
      </c>
      <c r="CH64">
        <v>3.6</v>
      </c>
      <c r="CI64">
        <v>3.6</v>
      </c>
      <c r="CJ64">
        <v>2</v>
      </c>
      <c r="CK64">
        <v>3.69</v>
      </c>
      <c r="CL64">
        <v>3.86</v>
      </c>
      <c r="CM64">
        <v>2.11</v>
      </c>
      <c r="CN64">
        <v>3.7</v>
      </c>
      <c r="CO64">
        <v>3.86</v>
      </c>
      <c r="CP64">
        <v>2.0499999999999998</v>
      </c>
      <c r="CQ64">
        <v>3.6</v>
      </c>
      <c r="CR64">
        <v>3.57</v>
      </c>
      <c r="CS64">
        <v>2.12</v>
      </c>
      <c r="CT64">
        <v>3.75</v>
      </c>
      <c r="CU64">
        <v>3.75</v>
      </c>
      <c r="CV64">
        <v>1.73</v>
      </c>
      <c r="CW64">
        <v>2.1</v>
      </c>
      <c r="CX64">
        <v>1.79</v>
      </c>
      <c r="CY64">
        <v>2.13</v>
      </c>
      <c r="CZ64">
        <v>1.79</v>
      </c>
      <c r="DA64">
        <v>2.2000000000000002</v>
      </c>
      <c r="DB64">
        <v>1.76</v>
      </c>
      <c r="DC64">
        <v>2.1</v>
      </c>
      <c r="DD64">
        <v>1.8</v>
      </c>
      <c r="DE64">
        <v>2.2200000000000002</v>
      </c>
      <c r="DF64">
        <v>-0.5</v>
      </c>
      <c r="DG64">
        <v>2.0499999999999998</v>
      </c>
      <c r="DH64">
        <v>1.75</v>
      </c>
      <c r="DI64">
        <v>2.11</v>
      </c>
      <c r="DJ64">
        <v>1.81</v>
      </c>
      <c r="DK64">
        <v>2.11</v>
      </c>
      <c r="DL64">
        <v>1.86</v>
      </c>
      <c r="DM64">
        <v>2.06</v>
      </c>
      <c r="DN64">
        <v>1.8</v>
      </c>
      <c r="DO64">
        <v>2.12</v>
      </c>
      <c r="DP64">
        <v>1.88</v>
      </c>
    </row>
    <row r="65" spans="1:120" x14ac:dyDescent="0.3">
      <c r="A65" t="s">
        <v>120</v>
      </c>
      <c r="B65" s="2">
        <v>45422</v>
      </c>
      <c r="C65" s="1">
        <v>0.625</v>
      </c>
      <c r="D65" t="s">
        <v>155</v>
      </c>
      <c r="E65" t="s">
        <v>142</v>
      </c>
      <c r="F65">
        <v>1</v>
      </c>
      <c r="G65">
        <v>0</v>
      </c>
      <c r="H65" t="s">
        <v>124</v>
      </c>
      <c r="I65">
        <v>1</v>
      </c>
      <c r="J65">
        <v>0</v>
      </c>
      <c r="K65" t="s">
        <v>124</v>
      </c>
      <c r="L65" t="s">
        <v>159</v>
      </c>
      <c r="M65">
        <v>6</v>
      </c>
      <c r="N65">
        <v>17</v>
      </c>
      <c r="O65">
        <v>2</v>
      </c>
      <c r="P65">
        <v>2</v>
      </c>
      <c r="Q65">
        <v>12</v>
      </c>
      <c r="R65">
        <v>14</v>
      </c>
      <c r="S65">
        <v>0</v>
      </c>
      <c r="T65">
        <v>9</v>
      </c>
      <c r="U65">
        <v>4</v>
      </c>
      <c r="V65">
        <v>1</v>
      </c>
      <c r="W65">
        <v>0</v>
      </c>
      <c r="X65">
        <v>0</v>
      </c>
      <c r="Y65">
        <v>3.1</v>
      </c>
      <c r="Z65">
        <v>3.75</v>
      </c>
      <c r="AA65">
        <v>2.15</v>
      </c>
      <c r="AB65">
        <v>3.1</v>
      </c>
      <c r="AC65">
        <v>3.7</v>
      </c>
      <c r="AD65">
        <v>2.15</v>
      </c>
      <c r="AE65">
        <v>3.4</v>
      </c>
      <c r="AF65">
        <v>3.6</v>
      </c>
      <c r="AG65">
        <v>2.15</v>
      </c>
      <c r="AH65">
        <v>3.35</v>
      </c>
      <c r="AI65">
        <v>3.63</v>
      </c>
      <c r="AJ65">
        <v>2.17</v>
      </c>
      <c r="AK65">
        <v>3.2</v>
      </c>
      <c r="AL65">
        <v>3.7</v>
      </c>
      <c r="AM65">
        <v>2.15</v>
      </c>
      <c r="AN65">
        <v>3.32</v>
      </c>
      <c r="AO65">
        <v>3.81</v>
      </c>
      <c r="AP65">
        <v>2.16</v>
      </c>
      <c r="AQ65">
        <v>3.4</v>
      </c>
      <c r="AR65">
        <v>3.81</v>
      </c>
      <c r="AS65">
        <v>2.2200000000000002</v>
      </c>
      <c r="AT65">
        <v>3.24</v>
      </c>
      <c r="AU65">
        <v>3.66</v>
      </c>
      <c r="AV65">
        <v>2.17</v>
      </c>
      <c r="AW65">
        <v>3.5</v>
      </c>
      <c r="AX65">
        <v>3.75</v>
      </c>
      <c r="AY65">
        <v>2.2200000000000002</v>
      </c>
      <c r="AZ65">
        <v>1.67</v>
      </c>
      <c r="BA65">
        <v>2.2000000000000002</v>
      </c>
      <c r="BB65">
        <v>1.73</v>
      </c>
      <c r="BC65">
        <v>2.2000000000000002</v>
      </c>
      <c r="BD65">
        <v>1.74</v>
      </c>
      <c r="BE65">
        <v>2.29</v>
      </c>
      <c r="BF65">
        <v>1.69</v>
      </c>
      <c r="BG65">
        <v>2.21</v>
      </c>
      <c r="BH65">
        <v>1.72</v>
      </c>
      <c r="BI65">
        <v>2.3199999999999998</v>
      </c>
      <c r="BJ65">
        <v>0.25</v>
      </c>
      <c r="BK65">
        <v>1.99</v>
      </c>
      <c r="BL65">
        <v>1.91</v>
      </c>
      <c r="BM65">
        <v>2.0099999999999998</v>
      </c>
      <c r="BN65">
        <v>1.89</v>
      </c>
      <c r="BO65">
        <v>2.02</v>
      </c>
      <c r="BP65">
        <v>1.93</v>
      </c>
      <c r="BQ65">
        <v>1.97</v>
      </c>
      <c r="BR65">
        <v>1.87</v>
      </c>
      <c r="BS65">
        <v>2.0699999999999998</v>
      </c>
      <c r="BT65">
        <v>1.92</v>
      </c>
      <c r="BU65">
        <v>3.5</v>
      </c>
      <c r="BV65">
        <v>3.9</v>
      </c>
      <c r="BW65">
        <v>2</v>
      </c>
      <c r="BX65">
        <v>3.4</v>
      </c>
      <c r="BY65">
        <v>3.7</v>
      </c>
      <c r="BZ65">
        <v>2.0499999999999998</v>
      </c>
      <c r="CA65">
        <v>3.6</v>
      </c>
      <c r="CB65">
        <v>3.75</v>
      </c>
      <c r="CC65">
        <v>1.95</v>
      </c>
      <c r="CD65">
        <v>3.7</v>
      </c>
      <c r="CE65">
        <v>3.81</v>
      </c>
      <c r="CF65">
        <v>2.02</v>
      </c>
      <c r="CG65">
        <v>3.5</v>
      </c>
      <c r="CH65">
        <v>3.7</v>
      </c>
      <c r="CI65">
        <v>2.0499999999999998</v>
      </c>
      <c r="CJ65">
        <v>3.42</v>
      </c>
      <c r="CK65">
        <v>3.94</v>
      </c>
      <c r="CL65">
        <v>2.06</v>
      </c>
      <c r="CM65">
        <v>3.7</v>
      </c>
      <c r="CN65">
        <v>3.94</v>
      </c>
      <c r="CO65">
        <v>2.11</v>
      </c>
      <c r="CP65">
        <v>3.5</v>
      </c>
      <c r="CQ65">
        <v>3.79</v>
      </c>
      <c r="CR65">
        <v>2.04</v>
      </c>
      <c r="CS65">
        <v>3.7</v>
      </c>
      <c r="CT65">
        <v>4</v>
      </c>
      <c r="CU65">
        <v>2.06</v>
      </c>
      <c r="CV65">
        <v>1.62</v>
      </c>
      <c r="CW65">
        <v>2.2999999999999998</v>
      </c>
      <c r="CX65">
        <v>1.65</v>
      </c>
      <c r="CY65">
        <v>2.36</v>
      </c>
      <c r="CZ65">
        <v>1.67</v>
      </c>
      <c r="DA65">
        <v>2.42</v>
      </c>
      <c r="DB65">
        <v>1.63</v>
      </c>
      <c r="DC65">
        <v>2.33</v>
      </c>
      <c r="DD65">
        <v>1.69</v>
      </c>
      <c r="DE65">
        <v>2.42</v>
      </c>
      <c r="DF65">
        <v>0.5</v>
      </c>
      <c r="DG65">
        <v>1.89</v>
      </c>
      <c r="DH65">
        <v>2.06</v>
      </c>
      <c r="DI65">
        <v>1.9</v>
      </c>
      <c r="DJ65">
        <v>2.0299999999999998</v>
      </c>
      <c r="DK65">
        <v>1.9</v>
      </c>
      <c r="DL65">
        <v>2.09</v>
      </c>
      <c r="DM65">
        <v>1.84</v>
      </c>
      <c r="DN65">
        <v>2.0499999999999998</v>
      </c>
      <c r="DO65">
        <v>1.92</v>
      </c>
      <c r="DP65">
        <v>2.06</v>
      </c>
    </row>
    <row r="66" spans="1:120" x14ac:dyDescent="0.3">
      <c r="A66" t="s">
        <v>120</v>
      </c>
      <c r="B66" s="2">
        <v>45422</v>
      </c>
      <c r="C66" s="1">
        <v>0.625</v>
      </c>
      <c r="D66" t="s">
        <v>152</v>
      </c>
      <c r="E66" t="s">
        <v>123</v>
      </c>
      <c r="F66">
        <v>3</v>
      </c>
      <c r="G66">
        <v>2</v>
      </c>
      <c r="H66" t="s">
        <v>124</v>
      </c>
      <c r="I66">
        <v>1</v>
      </c>
      <c r="J66">
        <v>1</v>
      </c>
      <c r="K66" t="s">
        <v>125</v>
      </c>
      <c r="L66" t="s">
        <v>171</v>
      </c>
      <c r="M66">
        <v>20</v>
      </c>
      <c r="N66">
        <v>11</v>
      </c>
      <c r="O66">
        <v>7</v>
      </c>
      <c r="P66">
        <v>4</v>
      </c>
      <c r="Q66">
        <v>4</v>
      </c>
      <c r="R66">
        <v>10</v>
      </c>
      <c r="S66">
        <v>8</v>
      </c>
      <c r="T66">
        <v>3</v>
      </c>
      <c r="U66">
        <v>2</v>
      </c>
      <c r="V66">
        <v>1</v>
      </c>
      <c r="W66">
        <v>0</v>
      </c>
      <c r="X66">
        <v>0</v>
      </c>
      <c r="Y66">
        <v>1.25</v>
      </c>
      <c r="Z66">
        <v>7</v>
      </c>
      <c r="AA66">
        <v>9.5</v>
      </c>
      <c r="AB66">
        <v>1.24</v>
      </c>
      <c r="AC66">
        <v>6.75</v>
      </c>
      <c r="AD66">
        <v>11</v>
      </c>
      <c r="AE66">
        <v>1.22</v>
      </c>
      <c r="AF66">
        <v>7</v>
      </c>
      <c r="AG66">
        <v>12</v>
      </c>
      <c r="AH66">
        <v>1.23</v>
      </c>
      <c r="AI66">
        <v>7.15</v>
      </c>
      <c r="AJ66">
        <v>10.66</v>
      </c>
      <c r="AK66">
        <v>1.25</v>
      </c>
      <c r="AL66">
        <v>6</v>
      </c>
      <c r="AM66">
        <v>12</v>
      </c>
      <c r="AN66">
        <v>1.27</v>
      </c>
      <c r="AO66">
        <v>6.52</v>
      </c>
      <c r="AP66">
        <v>11.4</v>
      </c>
      <c r="AQ66">
        <v>1.27</v>
      </c>
      <c r="AR66">
        <v>7.6</v>
      </c>
      <c r="AS66">
        <v>12</v>
      </c>
      <c r="AT66">
        <v>1.24</v>
      </c>
      <c r="AU66">
        <v>6.85</v>
      </c>
      <c r="AV66">
        <v>11.11</v>
      </c>
      <c r="AW66">
        <v>1.26</v>
      </c>
      <c r="AX66">
        <v>7.6</v>
      </c>
      <c r="AY66">
        <v>13</v>
      </c>
      <c r="AZ66">
        <v>1.44</v>
      </c>
      <c r="BA66">
        <v>2.75</v>
      </c>
      <c r="BB66">
        <v>1.47</v>
      </c>
      <c r="BC66">
        <v>2.74</v>
      </c>
      <c r="BD66">
        <v>1.49</v>
      </c>
      <c r="BE66">
        <v>2.82</v>
      </c>
      <c r="BF66">
        <v>1.45</v>
      </c>
      <c r="BG66">
        <v>2.74</v>
      </c>
      <c r="BH66">
        <v>1.5</v>
      </c>
      <c r="BI66">
        <v>2.9</v>
      </c>
      <c r="BJ66">
        <v>-1.75</v>
      </c>
      <c r="BK66">
        <v>1.9</v>
      </c>
      <c r="BL66">
        <v>2</v>
      </c>
      <c r="BM66">
        <v>1.91</v>
      </c>
      <c r="BN66">
        <v>1.98</v>
      </c>
      <c r="BO66">
        <v>1.95</v>
      </c>
      <c r="BP66">
        <v>2.0299999999999998</v>
      </c>
      <c r="BQ66">
        <v>1.88</v>
      </c>
      <c r="BR66">
        <v>1.96</v>
      </c>
      <c r="BS66">
        <v>1.98</v>
      </c>
      <c r="BT66">
        <v>2</v>
      </c>
      <c r="BU66">
        <v>1.25</v>
      </c>
      <c r="BV66">
        <v>6.5</v>
      </c>
      <c r="BW66">
        <v>10</v>
      </c>
      <c r="BX66">
        <v>1.27</v>
      </c>
      <c r="BY66">
        <v>6.25</v>
      </c>
      <c r="BZ66">
        <v>10.5</v>
      </c>
      <c r="CA66">
        <v>1.22</v>
      </c>
      <c r="CB66">
        <v>6</v>
      </c>
      <c r="CC66">
        <v>11</v>
      </c>
      <c r="CD66">
        <v>1.26</v>
      </c>
      <c r="CE66">
        <v>6.52</v>
      </c>
      <c r="CF66">
        <v>11.37</v>
      </c>
      <c r="CG66">
        <v>1.29</v>
      </c>
      <c r="CH66">
        <v>6</v>
      </c>
      <c r="CI66">
        <v>11</v>
      </c>
      <c r="CJ66">
        <v>1.27</v>
      </c>
      <c r="CK66">
        <v>6.69</v>
      </c>
      <c r="CL66">
        <v>10.8</v>
      </c>
      <c r="CM66">
        <v>1.29</v>
      </c>
      <c r="CN66">
        <v>6.8</v>
      </c>
      <c r="CO66">
        <v>12</v>
      </c>
      <c r="CP66">
        <v>1.26</v>
      </c>
      <c r="CQ66">
        <v>6.4</v>
      </c>
      <c r="CR66">
        <v>10.93</v>
      </c>
      <c r="CS66">
        <v>1.29</v>
      </c>
      <c r="CT66">
        <v>6.6</v>
      </c>
      <c r="CU66">
        <v>12.5</v>
      </c>
      <c r="CV66">
        <v>1.5</v>
      </c>
      <c r="CW66">
        <v>2.63</v>
      </c>
      <c r="CX66">
        <v>1.52</v>
      </c>
      <c r="CY66">
        <v>2.65</v>
      </c>
      <c r="CZ66">
        <v>1.53</v>
      </c>
      <c r="DA66">
        <v>2.76</v>
      </c>
      <c r="DB66">
        <v>1.49</v>
      </c>
      <c r="DC66">
        <v>2.68</v>
      </c>
      <c r="DD66">
        <v>1.53</v>
      </c>
      <c r="DE66">
        <v>2.86</v>
      </c>
      <c r="DF66">
        <v>-1.75</v>
      </c>
      <c r="DG66">
        <v>2.02</v>
      </c>
      <c r="DH66">
        <v>1.91</v>
      </c>
      <c r="DI66">
        <v>2.0099999999999998</v>
      </c>
      <c r="DJ66">
        <v>1.9</v>
      </c>
      <c r="DK66">
        <v>2.0299999999999998</v>
      </c>
      <c r="DL66">
        <v>1.98</v>
      </c>
      <c r="DM66">
        <v>1.97</v>
      </c>
      <c r="DN66">
        <v>1.89</v>
      </c>
      <c r="DO66">
        <v>2.0499999999999998</v>
      </c>
      <c r="DP66">
        <v>1.94</v>
      </c>
    </row>
    <row r="67" spans="1:120" x14ac:dyDescent="0.3">
      <c r="A67" t="s">
        <v>120</v>
      </c>
      <c r="B67" s="2">
        <v>45422</v>
      </c>
      <c r="C67" s="1">
        <v>0.625</v>
      </c>
      <c r="D67" t="s">
        <v>144</v>
      </c>
      <c r="E67" t="s">
        <v>128</v>
      </c>
      <c r="F67">
        <v>4</v>
      </c>
      <c r="G67">
        <v>1</v>
      </c>
      <c r="H67" t="s">
        <v>124</v>
      </c>
      <c r="I67">
        <v>2</v>
      </c>
      <c r="J67">
        <v>1</v>
      </c>
      <c r="K67" t="s">
        <v>124</v>
      </c>
      <c r="L67" t="s">
        <v>153</v>
      </c>
      <c r="M67">
        <v>23</v>
      </c>
      <c r="N67">
        <v>9</v>
      </c>
      <c r="O67">
        <v>13</v>
      </c>
      <c r="P67">
        <v>2</v>
      </c>
      <c r="Q67">
        <v>12</v>
      </c>
      <c r="R67">
        <v>6</v>
      </c>
      <c r="S67">
        <v>5</v>
      </c>
      <c r="T67">
        <v>5</v>
      </c>
      <c r="U67">
        <v>0</v>
      </c>
      <c r="V67">
        <v>1</v>
      </c>
      <c r="W67">
        <v>0</v>
      </c>
      <c r="X67">
        <v>0</v>
      </c>
      <c r="Y67">
        <v>1.8</v>
      </c>
      <c r="Z67">
        <v>3.8</v>
      </c>
      <c r="AA67">
        <v>4.33</v>
      </c>
      <c r="AB67">
        <v>1.8</v>
      </c>
      <c r="AC67">
        <v>3.9</v>
      </c>
      <c r="AD67">
        <v>4.0999999999999996</v>
      </c>
      <c r="AE67">
        <v>1.75</v>
      </c>
      <c r="AF67">
        <v>3.9</v>
      </c>
      <c r="AG67">
        <v>4.4000000000000004</v>
      </c>
      <c r="AH67">
        <v>1.81</v>
      </c>
      <c r="AI67">
        <v>4.0199999999999996</v>
      </c>
      <c r="AJ67">
        <v>4.29</v>
      </c>
      <c r="AK67">
        <v>1.8</v>
      </c>
      <c r="AL67">
        <v>3.9</v>
      </c>
      <c r="AM67">
        <v>4.33</v>
      </c>
      <c r="AN67">
        <v>1.83</v>
      </c>
      <c r="AO67">
        <v>4.0599999999999996</v>
      </c>
      <c r="AP67">
        <v>4.28</v>
      </c>
      <c r="AQ67">
        <v>1.86</v>
      </c>
      <c r="AR67">
        <v>4.0999999999999996</v>
      </c>
      <c r="AS67">
        <v>4.45</v>
      </c>
      <c r="AT67">
        <v>1.8</v>
      </c>
      <c r="AU67">
        <v>3.96</v>
      </c>
      <c r="AV67">
        <v>4.25</v>
      </c>
      <c r="AW67">
        <v>1.83</v>
      </c>
      <c r="AX67">
        <v>4.0999999999999996</v>
      </c>
      <c r="AY67">
        <v>4.5999999999999996</v>
      </c>
      <c r="AZ67">
        <v>1.67</v>
      </c>
      <c r="BA67">
        <v>2.2000000000000002</v>
      </c>
      <c r="BB67">
        <v>1.71</v>
      </c>
      <c r="BC67">
        <v>2.2200000000000002</v>
      </c>
      <c r="BD67">
        <v>1.72</v>
      </c>
      <c r="BE67">
        <v>2.29</v>
      </c>
      <c r="BF67">
        <v>1.69</v>
      </c>
      <c r="BG67">
        <v>2.21</v>
      </c>
      <c r="BH67">
        <v>1.72</v>
      </c>
      <c r="BI67">
        <v>2.3199999999999998</v>
      </c>
      <c r="BJ67">
        <v>-0.75</v>
      </c>
      <c r="BK67">
        <v>2.04</v>
      </c>
      <c r="BL67">
        <v>1.86</v>
      </c>
      <c r="BM67">
        <v>2.04</v>
      </c>
      <c r="BN67">
        <v>1.87</v>
      </c>
      <c r="BO67">
        <v>2.06</v>
      </c>
      <c r="BP67">
        <v>1.89</v>
      </c>
      <c r="BQ67">
        <v>2.02</v>
      </c>
      <c r="BR67">
        <v>1.83</v>
      </c>
      <c r="BS67">
        <v>2.0699999999999998</v>
      </c>
      <c r="BT67">
        <v>1.92</v>
      </c>
      <c r="BU67">
        <v>1.9</v>
      </c>
      <c r="BV67">
        <v>3.8</v>
      </c>
      <c r="BW67">
        <v>3.8</v>
      </c>
      <c r="BX67">
        <v>1.9</v>
      </c>
      <c r="BY67">
        <v>3.75</v>
      </c>
      <c r="BZ67">
        <v>3.9</v>
      </c>
      <c r="CA67">
        <v>1.85</v>
      </c>
      <c r="CB67">
        <v>3.7</v>
      </c>
      <c r="CC67">
        <v>4</v>
      </c>
      <c r="CD67">
        <v>1.92</v>
      </c>
      <c r="CE67">
        <v>3.84</v>
      </c>
      <c r="CF67">
        <v>4.05</v>
      </c>
      <c r="CG67">
        <v>1.91</v>
      </c>
      <c r="CH67">
        <v>3.75</v>
      </c>
      <c r="CI67">
        <v>3.9</v>
      </c>
      <c r="CJ67">
        <v>1.87</v>
      </c>
      <c r="CK67">
        <v>3.91</v>
      </c>
      <c r="CL67">
        <v>4.18</v>
      </c>
      <c r="CM67">
        <v>2</v>
      </c>
      <c r="CN67">
        <v>3.91</v>
      </c>
      <c r="CO67">
        <v>4.18</v>
      </c>
      <c r="CP67">
        <v>1.91</v>
      </c>
      <c r="CQ67">
        <v>3.79</v>
      </c>
      <c r="CR67">
        <v>3.98</v>
      </c>
      <c r="CS67">
        <v>1.94</v>
      </c>
      <c r="CT67">
        <v>3.9</v>
      </c>
      <c r="CU67">
        <v>4.3</v>
      </c>
      <c r="CV67">
        <v>1.73</v>
      </c>
      <c r="CW67">
        <v>2.1</v>
      </c>
      <c r="CX67">
        <v>1.74</v>
      </c>
      <c r="CY67">
        <v>2.2000000000000002</v>
      </c>
      <c r="CZ67">
        <v>1.78</v>
      </c>
      <c r="DA67">
        <v>2.31</v>
      </c>
      <c r="DB67">
        <v>1.73</v>
      </c>
      <c r="DC67">
        <v>2.15</v>
      </c>
      <c r="DD67">
        <v>1.77</v>
      </c>
      <c r="DE67">
        <v>2.2799999999999998</v>
      </c>
      <c r="DF67">
        <v>-0.5</v>
      </c>
      <c r="DG67">
        <v>1.94</v>
      </c>
      <c r="DH67">
        <v>1.99</v>
      </c>
      <c r="DI67">
        <v>1.93</v>
      </c>
      <c r="DJ67">
        <v>2</v>
      </c>
      <c r="DK67">
        <v>1.95</v>
      </c>
      <c r="DL67">
        <v>2.02</v>
      </c>
      <c r="DM67">
        <v>1.9</v>
      </c>
      <c r="DN67">
        <v>1.97</v>
      </c>
      <c r="DO67">
        <v>1.94</v>
      </c>
      <c r="DP67">
        <v>2.0499999999999998</v>
      </c>
    </row>
    <row r="68" spans="1:120" x14ac:dyDescent="0.3">
      <c r="A68" t="s">
        <v>120</v>
      </c>
      <c r="B68" s="2">
        <v>45422</v>
      </c>
      <c r="C68" s="1">
        <v>0.72916666666666663</v>
      </c>
      <c r="D68" t="s">
        <v>135</v>
      </c>
      <c r="E68" t="s">
        <v>138</v>
      </c>
      <c r="F68">
        <v>0</v>
      </c>
      <c r="G68">
        <v>0</v>
      </c>
      <c r="H68" t="s">
        <v>125</v>
      </c>
      <c r="I68">
        <v>0</v>
      </c>
      <c r="J68">
        <v>0</v>
      </c>
      <c r="K68" t="s">
        <v>125</v>
      </c>
      <c r="L68" t="s">
        <v>140</v>
      </c>
      <c r="M68">
        <v>8</v>
      </c>
      <c r="N68">
        <v>14</v>
      </c>
      <c r="O68">
        <v>2</v>
      </c>
      <c r="P68">
        <v>3</v>
      </c>
      <c r="Q68">
        <v>12</v>
      </c>
      <c r="R68">
        <v>8</v>
      </c>
      <c r="S68">
        <v>0</v>
      </c>
      <c r="T68">
        <v>10</v>
      </c>
      <c r="U68">
        <v>1</v>
      </c>
      <c r="V68">
        <v>2</v>
      </c>
      <c r="W68">
        <v>0</v>
      </c>
      <c r="X68">
        <v>0</v>
      </c>
      <c r="Y68">
        <v>3.2</v>
      </c>
      <c r="Z68">
        <v>3.6</v>
      </c>
      <c r="AA68">
        <v>2.2000000000000002</v>
      </c>
      <c r="AB68">
        <v>3.1</v>
      </c>
      <c r="AC68">
        <v>3.6</v>
      </c>
      <c r="AD68">
        <v>2.2000000000000002</v>
      </c>
      <c r="AE68">
        <v>3.1</v>
      </c>
      <c r="AF68">
        <v>3.6</v>
      </c>
      <c r="AG68">
        <v>2.25</v>
      </c>
      <c r="AH68">
        <v>3.18</v>
      </c>
      <c r="AI68">
        <v>3.59</v>
      </c>
      <c r="AJ68">
        <v>2.27</v>
      </c>
      <c r="AK68">
        <v>3.1</v>
      </c>
      <c r="AL68">
        <v>3.7</v>
      </c>
      <c r="AM68">
        <v>2.2000000000000002</v>
      </c>
      <c r="AN68">
        <v>3.14</v>
      </c>
      <c r="AO68">
        <v>3.77</v>
      </c>
      <c r="AP68">
        <v>2.2599999999999998</v>
      </c>
      <c r="AQ68">
        <v>3.25</v>
      </c>
      <c r="AR68">
        <v>3.77</v>
      </c>
      <c r="AS68">
        <v>2.29</v>
      </c>
      <c r="AT68">
        <v>3.15</v>
      </c>
      <c r="AU68">
        <v>3.62</v>
      </c>
      <c r="AV68">
        <v>2.23</v>
      </c>
      <c r="AW68">
        <v>3.25</v>
      </c>
      <c r="AX68">
        <v>3.75</v>
      </c>
      <c r="AY68">
        <v>2.3199999999999998</v>
      </c>
      <c r="AZ68">
        <v>1.67</v>
      </c>
      <c r="BA68">
        <v>2.2000000000000002</v>
      </c>
      <c r="BB68">
        <v>1.73</v>
      </c>
      <c r="BC68">
        <v>2.19</v>
      </c>
      <c r="BD68">
        <v>1.75</v>
      </c>
      <c r="BE68">
        <v>2.29</v>
      </c>
      <c r="BF68">
        <v>1.69</v>
      </c>
      <c r="BG68">
        <v>2.21</v>
      </c>
      <c r="BH68">
        <v>1.72</v>
      </c>
      <c r="BI68">
        <v>2.2999999999999998</v>
      </c>
      <c r="BJ68">
        <v>0.25</v>
      </c>
      <c r="BK68">
        <v>1.95</v>
      </c>
      <c r="BL68">
        <v>1.95</v>
      </c>
      <c r="BM68">
        <v>1.93</v>
      </c>
      <c r="BN68">
        <v>1.98</v>
      </c>
      <c r="BO68">
        <v>1.96</v>
      </c>
      <c r="BP68">
        <v>1.98</v>
      </c>
      <c r="BQ68">
        <v>1.92</v>
      </c>
      <c r="BR68">
        <v>1.92</v>
      </c>
      <c r="BS68">
        <v>1.97</v>
      </c>
      <c r="BT68">
        <v>2.0099999999999998</v>
      </c>
      <c r="BU68">
        <v>3.7</v>
      </c>
      <c r="BV68">
        <v>3.7</v>
      </c>
      <c r="BW68">
        <v>1.95</v>
      </c>
      <c r="BX68">
        <v>3.6</v>
      </c>
      <c r="BY68">
        <v>3.75</v>
      </c>
      <c r="BZ68">
        <v>1.95</v>
      </c>
      <c r="CA68">
        <v>3.7</v>
      </c>
      <c r="CB68">
        <v>3.75</v>
      </c>
      <c r="CC68">
        <v>1.95</v>
      </c>
      <c r="CD68">
        <v>3.71</v>
      </c>
      <c r="CE68">
        <v>3.77</v>
      </c>
      <c r="CF68">
        <v>2</v>
      </c>
      <c r="CG68">
        <v>3.6</v>
      </c>
      <c r="CH68">
        <v>3.7</v>
      </c>
      <c r="CI68">
        <v>2</v>
      </c>
      <c r="CJ68">
        <v>3.96</v>
      </c>
      <c r="CK68">
        <v>3.78</v>
      </c>
      <c r="CL68">
        <v>1.94</v>
      </c>
      <c r="CM68">
        <v>3.96</v>
      </c>
      <c r="CN68">
        <v>3.9</v>
      </c>
      <c r="CO68">
        <v>2.04</v>
      </c>
      <c r="CP68">
        <v>3.67</v>
      </c>
      <c r="CQ68">
        <v>3.74</v>
      </c>
      <c r="CR68">
        <v>1.98</v>
      </c>
      <c r="CS68">
        <v>3.9</v>
      </c>
      <c r="CT68">
        <v>3.9</v>
      </c>
      <c r="CU68">
        <v>2.02</v>
      </c>
      <c r="CV68">
        <v>1.73</v>
      </c>
      <c r="CW68">
        <v>2.1</v>
      </c>
      <c r="CX68">
        <v>1.72</v>
      </c>
      <c r="CY68">
        <v>2.2200000000000002</v>
      </c>
      <c r="CZ68">
        <v>1.73</v>
      </c>
      <c r="DA68">
        <v>2.3199999999999998</v>
      </c>
      <c r="DB68">
        <v>1.67</v>
      </c>
      <c r="DC68">
        <v>2.23</v>
      </c>
      <c r="DD68">
        <v>1.75</v>
      </c>
      <c r="DE68">
        <v>2.2999999999999998</v>
      </c>
      <c r="DF68">
        <v>0.5</v>
      </c>
      <c r="DG68">
        <v>1.92</v>
      </c>
      <c r="DH68">
        <v>2.0099999999999998</v>
      </c>
      <c r="DI68">
        <v>1.92</v>
      </c>
      <c r="DJ68">
        <v>2.0099999999999998</v>
      </c>
      <c r="DK68">
        <v>1.93</v>
      </c>
      <c r="DL68">
        <v>2.0099999999999998</v>
      </c>
      <c r="DM68">
        <v>1.87</v>
      </c>
      <c r="DN68">
        <v>1.99</v>
      </c>
      <c r="DO68">
        <v>1.96</v>
      </c>
      <c r="DP68">
        <v>2.02</v>
      </c>
    </row>
    <row r="69" spans="1:120" x14ac:dyDescent="0.3">
      <c r="A69" t="s">
        <v>120</v>
      </c>
      <c r="B69" s="2">
        <v>45453</v>
      </c>
      <c r="C69" s="1">
        <v>0.58333333333333337</v>
      </c>
      <c r="D69" t="s">
        <v>145</v>
      </c>
      <c r="E69" t="s">
        <v>122</v>
      </c>
      <c r="F69">
        <v>0</v>
      </c>
      <c r="G69">
        <v>0</v>
      </c>
      <c r="H69" t="s">
        <v>125</v>
      </c>
      <c r="I69">
        <v>0</v>
      </c>
      <c r="J69">
        <v>0</v>
      </c>
      <c r="K69" t="s">
        <v>125</v>
      </c>
      <c r="L69" t="s">
        <v>126</v>
      </c>
      <c r="M69">
        <v>11</v>
      </c>
      <c r="N69">
        <v>10</v>
      </c>
      <c r="O69">
        <v>1</v>
      </c>
      <c r="P69">
        <v>4</v>
      </c>
      <c r="Q69">
        <v>12</v>
      </c>
      <c r="R69">
        <v>11</v>
      </c>
      <c r="S69">
        <v>6</v>
      </c>
      <c r="T69">
        <v>3</v>
      </c>
      <c r="U69">
        <v>1</v>
      </c>
      <c r="V69">
        <v>5</v>
      </c>
      <c r="W69">
        <v>0</v>
      </c>
      <c r="X69">
        <v>0</v>
      </c>
      <c r="Y69">
        <v>2.2000000000000002</v>
      </c>
      <c r="Z69">
        <v>3.75</v>
      </c>
      <c r="AA69">
        <v>3</v>
      </c>
      <c r="AB69">
        <v>2.2000000000000002</v>
      </c>
      <c r="AC69">
        <v>3.7</v>
      </c>
      <c r="AD69">
        <v>3</v>
      </c>
      <c r="AE69">
        <v>2.2000000000000002</v>
      </c>
      <c r="AF69">
        <v>3.8</v>
      </c>
      <c r="AG69">
        <v>3</v>
      </c>
      <c r="AH69">
        <v>2.2200000000000002</v>
      </c>
      <c r="AI69">
        <v>3.87</v>
      </c>
      <c r="AJ69">
        <v>3.09</v>
      </c>
      <c r="AK69">
        <v>2.2000000000000002</v>
      </c>
      <c r="AL69">
        <v>3.7</v>
      </c>
      <c r="AM69">
        <v>3.1</v>
      </c>
      <c r="AN69">
        <v>2.2200000000000002</v>
      </c>
      <c r="AO69">
        <v>3.99</v>
      </c>
      <c r="AP69">
        <v>3.08</v>
      </c>
      <c r="AQ69">
        <v>2.25</v>
      </c>
      <c r="AR69">
        <v>3.99</v>
      </c>
      <c r="AS69">
        <v>3.2</v>
      </c>
      <c r="AT69">
        <v>2.21</v>
      </c>
      <c r="AU69">
        <v>3.82</v>
      </c>
      <c r="AV69">
        <v>3.06</v>
      </c>
      <c r="AW69">
        <v>2.2799999999999998</v>
      </c>
      <c r="AX69">
        <v>3.95</v>
      </c>
      <c r="AY69">
        <v>3.2</v>
      </c>
      <c r="AZ69">
        <v>1.53</v>
      </c>
      <c r="BA69">
        <v>2.5</v>
      </c>
      <c r="BB69">
        <v>1.55</v>
      </c>
      <c r="BC69">
        <v>2.57</v>
      </c>
      <c r="BD69">
        <v>1.55</v>
      </c>
      <c r="BE69">
        <v>2.63</v>
      </c>
      <c r="BF69">
        <v>1.53</v>
      </c>
      <c r="BG69">
        <v>2.52</v>
      </c>
      <c r="BH69">
        <v>1.59</v>
      </c>
      <c r="BI69">
        <v>2.64</v>
      </c>
      <c r="BJ69">
        <v>-0.25</v>
      </c>
      <c r="BK69">
        <v>1.95</v>
      </c>
      <c r="BL69">
        <v>1.95</v>
      </c>
      <c r="BM69">
        <v>1.95</v>
      </c>
      <c r="BN69">
        <v>1.95</v>
      </c>
      <c r="BO69">
        <v>1.97</v>
      </c>
      <c r="BP69">
        <v>1.97</v>
      </c>
      <c r="BQ69">
        <v>1.91</v>
      </c>
      <c r="BR69">
        <v>1.93</v>
      </c>
      <c r="BS69">
        <v>1.99</v>
      </c>
      <c r="BT69">
        <v>2</v>
      </c>
      <c r="BU69">
        <v>2.1</v>
      </c>
      <c r="BV69">
        <v>3.9</v>
      </c>
      <c r="BW69">
        <v>3.1</v>
      </c>
      <c r="BX69">
        <v>2.2000000000000002</v>
      </c>
      <c r="BY69">
        <v>3.8</v>
      </c>
      <c r="BZ69">
        <v>3</v>
      </c>
      <c r="CA69">
        <v>2.15</v>
      </c>
      <c r="CB69">
        <v>3.75</v>
      </c>
      <c r="CC69">
        <v>3</v>
      </c>
      <c r="CD69">
        <v>2.23</v>
      </c>
      <c r="CE69">
        <v>3.84</v>
      </c>
      <c r="CF69">
        <v>3.13</v>
      </c>
      <c r="CG69">
        <v>2.25</v>
      </c>
      <c r="CH69">
        <v>3.75</v>
      </c>
      <c r="CI69">
        <v>3</v>
      </c>
      <c r="CJ69">
        <v>2.23</v>
      </c>
      <c r="CK69">
        <v>3.99</v>
      </c>
      <c r="CL69">
        <v>3.02</v>
      </c>
      <c r="CM69">
        <v>2.25</v>
      </c>
      <c r="CN69">
        <v>3.99</v>
      </c>
      <c r="CO69">
        <v>3.24</v>
      </c>
      <c r="CP69">
        <v>2.2000000000000002</v>
      </c>
      <c r="CQ69">
        <v>3.86</v>
      </c>
      <c r="CR69">
        <v>3.06</v>
      </c>
      <c r="CS69">
        <v>2.2400000000000002</v>
      </c>
      <c r="CT69">
        <v>4</v>
      </c>
      <c r="CU69">
        <v>3.2</v>
      </c>
      <c r="CV69">
        <v>1.44</v>
      </c>
      <c r="CW69">
        <v>2.75</v>
      </c>
      <c r="CX69">
        <v>1.49</v>
      </c>
      <c r="CY69">
        <v>2.72</v>
      </c>
      <c r="CZ69">
        <v>1.5</v>
      </c>
      <c r="DA69">
        <v>2.88</v>
      </c>
      <c r="DB69">
        <v>1.47</v>
      </c>
      <c r="DC69">
        <v>2.73</v>
      </c>
      <c r="DD69">
        <v>1.52</v>
      </c>
      <c r="DE69">
        <v>2.88</v>
      </c>
      <c r="DF69">
        <v>-0.25</v>
      </c>
      <c r="DG69">
        <v>1.88</v>
      </c>
      <c r="DH69">
        <v>2.0499999999999998</v>
      </c>
      <c r="DI69">
        <v>1.96</v>
      </c>
      <c r="DJ69">
        <v>1.96</v>
      </c>
      <c r="DK69">
        <v>1.99</v>
      </c>
      <c r="DL69">
        <v>2.0499999999999998</v>
      </c>
      <c r="DM69">
        <v>1.91</v>
      </c>
      <c r="DN69">
        <v>1.95</v>
      </c>
      <c r="DO69">
        <v>1.96</v>
      </c>
      <c r="DP69">
        <v>2.02</v>
      </c>
    </row>
    <row r="70" spans="1:120" x14ac:dyDescent="0.3">
      <c r="A70" t="s">
        <v>120</v>
      </c>
      <c r="B70" s="2">
        <v>45453</v>
      </c>
      <c r="C70" s="1">
        <v>0.58333333333333337</v>
      </c>
      <c r="D70" t="s">
        <v>151</v>
      </c>
      <c r="E70" t="s">
        <v>141</v>
      </c>
      <c r="F70">
        <v>1</v>
      </c>
      <c r="G70">
        <v>1</v>
      </c>
      <c r="H70" t="s">
        <v>125</v>
      </c>
      <c r="I70">
        <v>0</v>
      </c>
      <c r="J70">
        <v>0</v>
      </c>
      <c r="K70" t="s">
        <v>125</v>
      </c>
      <c r="L70" t="s">
        <v>157</v>
      </c>
      <c r="M70">
        <v>22</v>
      </c>
      <c r="N70">
        <v>16</v>
      </c>
      <c r="O70">
        <v>8</v>
      </c>
      <c r="P70">
        <v>9</v>
      </c>
      <c r="Q70">
        <v>12</v>
      </c>
      <c r="R70">
        <v>11</v>
      </c>
      <c r="S70">
        <v>11</v>
      </c>
      <c r="T70">
        <v>3</v>
      </c>
      <c r="U70">
        <v>6</v>
      </c>
      <c r="V70">
        <v>2</v>
      </c>
      <c r="W70">
        <v>0</v>
      </c>
      <c r="X70">
        <v>1</v>
      </c>
      <c r="Y70">
        <v>1.48</v>
      </c>
      <c r="Z70">
        <v>4.5</v>
      </c>
      <c r="AA70">
        <v>6.5</v>
      </c>
      <c r="AB70">
        <v>1.47</v>
      </c>
      <c r="AC70">
        <v>4.5999999999999996</v>
      </c>
      <c r="AD70">
        <v>6.25</v>
      </c>
      <c r="AE70">
        <v>1.44</v>
      </c>
      <c r="AF70">
        <v>4.5999999999999996</v>
      </c>
      <c r="AG70">
        <v>7</v>
      </c>
      <c r="AH70">
        <v>1.5</v>
      </c>
      <c r="AI70">
        <v>4.8099999999999996</v>
      </c>
      <c r="AJ70">
        <v>6.2</v>
      </c>
      <c r="AK70">
        <v>1.5</v>
      </c>
      <c r="AL70">
        <v>4.5</v>
      </c>
      <c r="AM70">
        <v>6.5</v>
      </c>
      <c r="AN70">
        <v>1.52</v>
      </c>
      <c r="AO70">
        <v>4.79</v>
      </c>
      <c r="AP70">
        <v>6.31</v>
      </c>
      <c r="AQ70">
        <v>1.52</v>
      </c>
      <c r="AR70">
        <v>4.95</v>
      </c>
      <c r="AS70">
        <v>7</v>
      </c>
      <c r="AT70">
        <v>1.48</v>
      </c>
      <c r="AU70">
        <v>4.7300000000000004</v>
      </c>
      <c r="AV70">
        <v>6.32</v>
      </c>
      <c r="AW70">
        <v>1.5</v>
      </c>
      <c r="AX70">
        <v>4.9000000000000004</v>
      </c>
      <c r="AY70">
        <v>7.4</v>
      </c>
      <c r="AZ70">
        <v>1.57</v>
      </c>
      <c r="BA70">
        <v>2.38</v>
      </c>
      <c r="BB70">
        <v>1.57</v>
      </c>
      <c r="BC70">
        <v>2.4900000000000002</v>
      </c>
      <c r="BD70">
        <v>1.59</v>
      </c>
      <c r="BE70">
        <v>2.5499999999999998</v>
      </c>
      <c r="BF70">
        <v>1.55</v>
      </c>
      <c r="BG70">
        <v>2.46</v>
      </c>
      <c r="BH70">
        <v>1.6</v>
      </c>
      <c r="BI70">
        <v>2.6</v>
      </c>
      <c r="BJ70">
        <v>-1.25</v>
      </c>
      <c r="BK70">
        <v>2.0499999999999998</v>
      </c>
      <c r="BL70">
        <v>1.85</v>
      </c>
      <c r="BM70">
        <v>2.0699999999999998</v>
      </c>
      <c r="BN70">
        <v>1.85</v>
      </c>
      <c r="BO70">
        <v>2.09</v>
      </c>
      <c r="BP70">
        <v>1.88</v>
      </c>
      <c r="BQ70">
        <v>2.02</v>
      </c>
      <c r="BR70">
        <v>1.83</v>
      </c>
      <c r="BS70">
        <v>2.11</v>
      </c>
      <c r="BT70">
        <v>1.86</v>
      </c>
      <c r="BU70">
        <v>1.48</v>
      </c>
      <c r="BV70">
        <v>4.5</v>
      </c>
      <c r="BW70">
        <v>6.5</v>
      </c>
      <c r="BX70">
        <v>1.5</v>
      </c>
      <c r="BY70">
        <v>4.5</v>
      </c>
      <c r="BZ70">
        <v>6.25</v>
      </c>
      <c r="CA70">
        <v>1.47</v>
      </c>
      <c r="CB70">
        <v>4.5</v>
      </c>
      <c r="CC70">
        <v>6</v>
      </c>
      <c r="CD70">
        <v>1.52</v>
      </c>
      <c r="CE70">
        <v>4.7</v>
      </c>
      <c r="CF70">
        <v>6.34</v>
      </c>
      <c r="CG70">
        <v>1.5</v>
      </c>
      <c r="CH70">
        <v>4.4000000000000004</v>
      </c>
      <c r="CI70">
        <v>7</v>
      </c>
      <c r="CJ70">
        <v>1.5</v>
      </c>
      <c r="CK70">
        <v>4.59</v>
      </c>
      <c r="CL70">
        <v>6.94</v>
      </c>
      <c r="CM70">
        <v>1.53</v>
      </c>
      <c r="CN70">
        <v>4.75</v>
      </c>
      <c r="CO70">
        <v>7</v>
      </c>
      <c r="CP70">
        <v>1.5</v>
      </c>
      <c r="CQ70">
        <v>4.5999999999999996</v>
      </c>
      <c r="CR70">
        <v>6.34</v>
      </c>
      <c r="CS70">
        <v>1.55</v>
      </c>
      <c r="CT70">
        <v>4.8</v>
      </c>
      <c r="CU70">
        <v>6.6</v>
      </c>
      <c r="CV70">
        <v>1.57</v>
      </c>
      <c r="CW70">
        <v>2.38</v>
      </c>
      <c r="CX70">
        <v>1.62</v>
      </c>
      <c r="CY70">
        <v>2.41</v>
      </c>
      <c r="CZ70">
        <v>1.63</v>
      </c>
      <c r="DA70">
        <v>2.4900000000000002</v>
      </c>
      <c r="DB70">
        <v>1.59</v>
      </c>
      <c r="DC70">
        <v>2.41</v>
      </c>
      <c r="DD70">
        <v>1.65</v>
      </c>
      <c r="DE70">
        <v>2.52</v>
      </c>
      <c r="DF70">
        <v>-1.25</v>
      </c>
      <c r="DG70">
        <v>2.09</v>
      </c>
      <c r="DH70">
        <v>1.84</v>
      </c>
      <c r="DI70">
        <v>2.11</v>
      </c>
      <c r="DJ70">
        <v>1.81</v>
      </c>
      <c r="DK70">
        <v>2.13</v>
      </c>
      <c r="DL70">
        <v>1.88</v>
      </c>
      <c r="DM70">
        <v>2.0699999999999998</v>
      </c>
      <c r="DN70">
        <v>1.8</v>
      </c>
      <c r="DO70">
        <v>2.16</v>
      </c>
      <c r="DP70">
        <v>1.85</v>
      </c>
    </row>
    <row r="71" spans="1:120" x14ac:dyDescent="0.3">
      <c r="A71" t="s">
        <v>120</v>
      </c>
      <c r="B71" s="2">
        <v>45453</v>
      </c>
      <c r="C71" s="1">
        <v>0.6875</v>
      </c>
      <c r="D71" t="s">
        <v>136</v>
      </c>
      <c r="E71" t="s">
        <v>156</v>
      </c>
      <c r="F71">
        <v>3</v>
      </c>
      <c r="G71">
        <v>2</v>
      </c>
      <c r="H71" t="s">
        <v>124</v>
      </c>
      <c r="I71">
        <v>0</v>
      </c>
      <c r="J71">
        <v>2</v>
      </c>
      <c r="K71" t="s">
        <v>130</v>
      </c>
      <c r="L71" t="s">
        <v>162</v>
      </c>
      <c r="M71">
        <v>11</v>
      </c>
      <c r="N71">
        <v>13</v>
      </c>
      <c r="O71">
        <v>4</v>
      </c>
      <c r="P71">
        <v>3</v>
      </c>
      <c r="Q71">
        <v>14</v>
      </c>
      <c r="R71">
        <v>10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  <c r="Y71">
        <v>2.9</v>
      </c>
      <c r="Z71">
        <v>4</v>
      </c>
      <c r="AA71">
        <v>2.2000000000000002</v>
      </c>
      <c r="AB71">
        <v>2.85</v>
      </c>
      <c r="AC71">
        <v>4</v>
      </c>
      <c r="AD71">
        <v>2.25</v>
      </c>
      <c r="AE71">
        <v>2.88</v>
      </c>
      <c r="AF71">
        <v>3.9</v>
      </c>
      <c r="AG71">
        <v>2.25</v>
      </c>
      <c r="AH71">
        <v>2.95</v>
      </c>
      <c r="AI71">
        <v>3.99</v>
      </c>
      <c r="AJ71">
        <v>2.25</v>
      </c>
      <c r="AK71">
        <v>2.9</v>
      </c>
      <c r="AL71">
        <v>4</v>
      </c>
      <c r="AM71">
        <v>2.2000000000000002</v>
      </c>
      <c r="AN71">
        <v>2.94</v>
      </c>
      <c r="AO71">
        <v>4.18</v>
      </c>
      <c r="AP71">
        <v>2.2400000000000002</v>
      </c>
      <c r="AQ71">
        <v>2.99</v>
      </c>
      <c r="AR71">
        <v>4.18</v>
      </c>
      <c r="AS71">
        <v>2.2799999999999998</v>
      </c>
      <c r="AT71">
        <v>2.9</v>
      </c>
      <c r="AU71">
        <v>4.01</v>
      </c>
      <c r="AV71">
        <v>2.23</v>
      </c>
      <c r="AW71">
        <v>3</v>
      </c>
      <c r="AX71">
        <v>4.0999999999999996</v>
      </c>
      <c r="AY71">
        <v>2.34</v>
      </c>
      <c r="AZ71">
        <v>1.4</v>
      </c>
      <c r="BA71">
        <v>3</v>
      </c>
      <c r="BB71">
        <v>1.42</v>
      </c>
      <c r="BC71">
        <v>3</v>
      </c>
      <c r="BD71">
        <v>1.42</v>
      </c>
      <c r="BE71">
        <v>3.12</v>
      </c>
      <c r="BF71">
        <v>1.39</v>
      </c>
      <c r="BG71">
        <v>3</v>
      </c>
      <c r="BH71">
        <v>1.41</v>
      </c>
      <c r="BI71">
        <v>3.35</v>
      </c>
      <c r="BJ71">
        <v>0.25</v>
      </c>
      <c r="BK71">
        <v>1.93</v>
      </c>
      <c r="BL71">
        <v>1.97</v>
      </c>
      <c r="BM71">
        <v>1.92</v>
      </c>
      <c r="BN71">
        <v>1.99</v>
      </c>
      <c r="BO71">
        <v>1.94</v>
      </c>
      <c r="BP71">
        <v>1.99</v>
      </c>
      <c r="BQ71">
        <v>1.89</v>
      </c>
      <c r="BR71">
        <v>1.94</v>
      </c>
      <c r="BS71">
        <v>1.93</v>
      </c>
      <c r="BT71">
        <v>2.0499999999999998</v>
      </c>
      <c r="BU71">
        <v>2.9</v>
      </c>
      <c r="BV71">
        <v>3.9</v>
      </c>
      <c r="BW71">
        <v>2.15</v>
      </c>
      <c r="BX71">
        <v>2.85</v>
      </c>
      <c r="BY71">
        <v>3.8</v>
      </c>
      <c r="BZ71">
        <v>2.25</v>
      </c>
      <c r="CA71">
        <v>2.88</v>
      </c>
      <c r="CB71">
        <v>3.75</v>
      </c>
      <c r="CC71">
        <v>2.2000000000000002</v>
      </c>
      <c r="CD71">
        <v>2.94</v>
      </c>
      <c r="CE71">
        <v>3.95</v>
      </c>
      <c r="CF71">
        <v>2.2999999999999998</v>
      </c>
      <c r="CG71">
        <v>2.9</v>
      </c>
      <c r="CH71">
        <v>3.8</v>
      </c>
      <c r="CI71">
        <v>2.2999999999999998</v>
      </c>
      <c r="CJ71">
        <v>3.06</v>
      </c>
      <c r="CK71">
        <v>4.04</v>
      </c>
      <c r="CL71">
        <v>2.19</v>
      </c>
      <c r="CM71">
        <v>3.06</v>
      </c>
      <c r="CN71">
        <v>4.0999999999999996</v>
      </c>
      <c r="CO71">
        <v>2.33</v>
      </c>
      <c r="CP71">
        <v>2.89</v>
      </c>
      <c r="CQ71">
        <v>3.93</v>
      </c>
      <c r="CR71">
        <v>2.27</v>
      </c>
      <c r="CS71">
        <v>3.1</v>
      </c>
      <c r="CT71">
        <v>4</v>
      </c>
      <c r="CU71">
        <v>2.2999999999999998</v>
      </c>
      <c r="CV71">
        <v>1.4</v>
      </c>
      <c r="CW71">
        <v>3</v>
      </c>
      <c r="CX71">
        <v>1.42</v>
      </c>
      <c r="CY71">
        <v>3.02</v>
      </c>
      <c r="CZ71">
        <v>1.43</v>
      </c>
      <c r="DA71">
        <v>3.14</v>
      </c>
      <c r="DB71">
        <v>1.4</v>
      </c>
      <c r="DC71">
        <v>3.03</v>
      </c>
      <c r="DD71">
        <v>1.43</v>
      </c>
      <c r="DE71">
        <v>3.25</v>
      </c>
      <c r="DF71">
        <v>0.25</v>
      </c>
      <c r="DG71">
        <v>1.94</v>
      </c>
      <c r="DH71">
        <v>1.99</v>
      </c>
      <c r="DI71">
        <v>1.9</v>
      </c>
      <c r="DJ71">
        <v>2.0299999999999998</v>
      </c>
      <c r="DK71">
        <v>1.97</v>
      </c>
      <c r="DL71">
        <v>2.0299999999999998</v>
      </c>
      <c r="DM71">
        <v>1.88</v>
      </c>
      <c r="DN71">
        <v>1.99</v>
      </c>
      <c r="DO71">
        <v>1.93</v>
      </c>
      <c r="DP71">
        <v>2.06</v>
      </c>
    </row>
    <row r="72" spans="1:120" x14ac:dyDescent="0.3">
      <c r="A72" t="s">
        <v>120</v>
      </c>
      <c r="B72" t="s">
        <v>179</v>
      </c>
      <c r="C72" s="1">
        <v>0.52083333333333337</v>
      </c>
      <c r="D72" t="s">
        <v>156</v>
      </c>
      <c r="E72" t="s">
        <v>144</v>
      </c>
      <c r="F72">
        <v>4</v>
      </c>
      <c r="G72">
        <v>1</v>
      </c>
      <c r="H72" t="s">
        <v>124</v>
      </c>
      <c r="I72">
        <v>1</v>
      </c>
      <c r="J72">
        <v>1</v>
      </c>
      <c r="K72" t="s">
        <v>125</v>
      </c>
      <c r="L72" t="s">
        <v>176</v>
      </c>
      <c r="M72">
        <v>22</v>
      </c>
      <c r="N72">
        <v>11</v>
      </c>
      <c r="O72">
        <v>7</v>
      </c>
      <c r="P72">
        <v>4</v>
      </c>
      <c r="Q72">
        <v>10</v>
      </c>
      <c r="R72">
        <v>15</v>
      </c>
      <c r="S72">
        <v>13</v>
      </c>
      <c r="T72">
        <v>5</v>
      </c>
      <c r="U72">
        <v>1</v>
      </c>
      <c r="V72">
        <v>3</v>
      </c>
      <c r="W72">
        <v>0</v>
      </c>
      <c r="X72">
        <v>1</v>
      </c>
      <c r="Y72">
        <v>1.5</v>
      </c>
      <c r="Z72">
        <v>5</v>
      </c>
      <c r="AA72">
        <v>5.25</v>
      </c>
      <c r="AB72">
        <v>1.5</v>
      </c>
      <c r="AC72">
        <v>4.8</v>
      </c>
      <c r="AD72">
        <v>5.75</v>
      </c>
      <c r="AE72">
        <v>1.47</v>
      </c>
      <c r="AF72">
        <v>4.2</v>
      </c>
      <c r="AG72">
        <v>6</v>
      </c>
      <c r="AH72">
        <v>1.5</v>
      </c>
      <c r="AI72">
        <v>5.01</v>
      </c>
      <c r="AJ72">
        <v>5.88</v>
      </c>
      <c r="AK72">
        <v>1.53</v>
      </c>
      <c r="AL72">
        <v>4.75</v>
      </c>
      <c r="AM72">
        <v>5.5</v>
      </c>
      <c r="AN72">
        <v>1.53</v>
      </c>
      <c r="AO72">
        <v>5.04</v>
      </c>
      <c r="AP72">
        <v>5.76</v>
      </c>
      <c r="AQ72">
        <v>1.54</v>
      </c>
      <c r="AR72">
        <v>5.0999999999999996</v>
      </c>
      <c r="AS72">
        <v>6</v>
      </c>
      <c r="AT72">
        <v>1.5</v>
      </c>
      <c r="AU72">
        <v>4.91</v>
      </c>
      <c r="AV72">
        <v>5.73</v>
      </c>
      <c r="AW72">
        <v>1.54</v>
      </c>
      <c r="AX72">
        <v>5.2</v>
      </c>
      <c r="AY72">
        <v>6.2</v>
      </c>
      <c r="AZ72">
        <v>1.36</v>
      </c>
      <c r="BA72">
        <v>3.2</v>
      </c>
      <c r="BB72">
        <v>1.38</v>
      </c>
      <c r="BC72">
        <v>3.18</v>
      </c>
      <c r="BD72">
        <v>1.4</v>
      </c>
      <c r="BE72">
        <v>3.22</v>
      </c>
      <c r="BF72">
        <v>1.37</v>
      </c>
      <c r="BG72">
        <v>3.08</v>
      </c>
      <c r="BH72">
        <v>1.42</v>
      </c>
      <c r="BI72">
        <v>3.3</v>
      </c>
      <c r="BJ72">
        <v>-1.25</v>
      </c>
      <c r="BK72">
        <v>2.04</v>
      </c>
      <c r="BL72">
        <v>1.86</v>
      </c>
      <c r="BM72">
        <v>2.04</v>
      </c>
      <c r="BN72">
        <v>1.88</v>
      </c>
      <c r="BO72">
        <v>2.0699999999999998</v>
      </c>
      <c r="BP72">
        <v>1.88</v>
      </c>
      <c r="BQ72">
        <v>2.0099999999999998</v>
      </c>
      <c r="BR72">
        <v>1.84</v>
      </c>
      <c r="BS72">
        <v>2.06</v>
      </c>
      <c r="BT72">
        <v>1.88</v>
      </c>
      <c r="BU72">
        <v>1.45</v>
      </c>
      <c r="BV72">
        <v>5.25</v>
      </c>
      <c r="BW72">
        <v>5.75</v>
      </c>
      <c r="BX72">
        <v>1.46</v>
      </c>
      <c r="BY72">
        <v>5</v>
      </c>
      <c r="BZ72">
        <v>6.25</v>
      </c>
      <c r="CA72">
        <v>1.44</v>
      </c>
      <c r="CB72">
        <v>4.5</v>
      </c>
      <c r="CC72">
        <v>6</v>
      </c>
      <c r="CD72">
        <v>1.45</v>
      </c>
      <c r="CE72">
        <v>5.45</v>
      </c>
      <c r="CF72">
        <v>6.25</v>
      </c>
      <c r="CG72">
        <v>1.44</v>
      </c>
      <c r="CH72">
        <v>5</v>
      </c>
      <c r="CI72">
        <v>6.5</v>
      </c>
      <c r="CJ72">
        <v>1.49</v>
      </c>
      <c r="CK72">
        <v>5.37</v>
      </c>
      <c r="CL72">
        <v>5.88</v>
      </c>
      <c r="CM72">
        <v>1.49</v>
      </c>
      <c r="CN72">
        <v>5.5</v>
      </c>
      <c r="CO72">
        <v>6.6</v>
      </c>
      <c r="CP72">
        <v>1.45</v>
      </c>
      <c r="CQ72">
        <v>5.23</v>
      </c>
      <c r="CR72">
        <v>6.17</v>
      </c>
      <c r="CS72">
        <v>1.48</v>
      </c>
      <c r="CT72">
        <v>5.6</v>
      </c>
      <c r="CU72">
        <v>6.6</v>
      </c>
      <c r="CV72">
        <v>1.33</v>
      </c>
      <c r="CW72">
        <v>3.4</v>
      </c>
      <c r="CX72">
        <v>1.35</v>
      </c>
      <c r="CY72">
        <v>3.4</v>
      </c>
      <c r="CZ72">
        <v>1.38</v>
      </c>
      <c r="DA72">
        <v>3.56</v>
      </c>
      <c r="DB72">
        <v>1.34</v>
      </c>
      <c r="DC72">
        <v>3.34</v>
      </c>
      <c r="DD72">
        <v>1.38</v>
      </c>
      <c r="DE72">
        <v>3.55</v>
      </c>
      <c r="DF72">
        <v>-1.25</v>
      </c>
      <c r="DG72">
        <v>1.93</v>
      </c>
      <c r="DH72">
        <v>2</v>
      </c>
      <c r="DI72">
        <v>1.93</v>
      </c>
      <c r="DJ72">
        <v>2</v>
      </c>
      <c r="DK72">
        <v>1.94</v>
      </c>
      <c r="DL72">
        <v>2.02</v>
      </c>
      <c r="DM72">
        <v>1.9</v>
      </c>
      <c r="DN72">
        <v>1.96</v>
      </c>
      <c r="DO72">
        <v>1.96</v>
      </c>
      <c r="DP72">
        <v>2.0299999999999998</v>
      </c>
    </row>
    <row r="73" spans="1:120" x14ac:dyDescent="0.3">
      <c r="A73" t="s">
        <v>120</v>
      </c>
      <c r="B73" t="s">
        <v>179</v>
      </c>
      <c r="C73" s="1">
        <v>0.625</v>
      </c>
      <c r="D73" t="s">
        <v>123</v>
      </c>
      <c r="E73" t="s">
        <v>145</v>
      </c>
      <c r="F73">
        <v>1</v>
      </c>
      <c r="G73">
        <v>3</v>
      </c>
      <c r="H73" t="s">
        <v>130</v>
      </c>
      <c r="I73">
        <v>1</v>
      </c>
      <c r="J73">
        <v>1</v>
      </c>
      <c r="K73" t="s">
        <v>125</v>
      </c>
      <c r="L73" t="s">
        <v>163</v>
      </c>
      <c r="M73">
        <v>10</v>
      </c>
      <c r="N73">
        <v>14</v>
      </c>
      <c r="O73">
        <v>4</v>
      </c>
      <c r="P73">
        <v>5</v>
      </c>
      <c r="Q73">
        <v>8</v>
      </c>
      <c r="R73">
        <v>11</v>
      </c>
      <c r="S73">
        <v>6</v>
      </c>
      <c r="T73">
        <v>11</v>
      </c>
      <c r="U73">
        <v>3</v>
      </c>
      <c r="V73">
        <v>3</v>
      </c>
      <c r="W73">
        <v>1</v>
      </c>
      <c r="X73">
        <v>1</v>
      </c>
      <c r="Y73">
        <v>2.4500000000000002</v>
      </c>
      <c r="Z73">
        <v>3.5</v>
      </c>
      <c r="AA73">
        <v>2.8</v>
      </c>
      <c r="AB73">
        <v>2.4</v>
      </c>
      <c r="AC73">
        <v>3.5</v>
      </c>
      <c r="AD73">
        <v>2.85</v>
      </c>
      <c r="AE73">
        <v>2.4</v>
      </c>
      <c r="AF73">
        <v>3.4</v>
      </c>
      <c r="AG73">
        <v>2.9</v>
      </c>
      <c r="AH73">
        <v>2.46</v>
      </c>
      <c r="AI73">
        <v>3.5</v>
      </c>
      <c r="AJ73">
        <v>2.94</v>
      </c>
      <c r="AK73">
        <v>2.4</v>
      </c>
      <c r="AL73">
        <v>3.6</v>
      </c>
      <c r="AM73">
        <v>2.88</v>
      </c>
      <c r="AN73">
        <v>2.4500000000000002</v>
      </c>
      <c r="AO73">
        <v>3.71</v>
      </c>
      <c r="AP73">
        <v>2.88</v>
      </c>
      <c r="AQ73">
        <v>2.5</v>
      </c>
      <c r="AR73">
        <v>3.71</v>
      </c>
      <c r="AS73">
        <v>2.98</v>
      </c>
      <c r="AT73">
        <v>2.44</v>
      </c>
      <c r="AU73">
        <v>3.5</v>
      </c>
      <c r="AV73">
        <v>2.89</v>
      </c>
      <c r="AW73">
        <v>2.52</v>
      </c>
      <c r="AX73">
        <v>3.6</v>
      </c>
      <c r="AY73">
        <v>3</v>
      </c>
      <c r="AZ73">
        <v>1.73</v>
      </c>
      <c r="BA73">
        <v>2.1</v>
      </c>
      <c r="BB73">
        <v>1.75</v>
      </c>
      <c r="BC73">
        <v>2.17</v>
      </c>
      <c r="BD73">
        <v>1.78</v>
      </c>
      <c r="BE73">
        <v>2.2000000000000002</v>
      </c>
      <c r="BF73">
        <v>1.73</v>
      </c>
      <c r="BG73">
        <v>2.14</v>
      </c>
      <c r="BH73">
        <v>1.77</v>
      </c>
      <c r="BI73">
        <v>2.2599999999999998</v>
      </c>
      <c r="BJ73">
        <v>-0.25</v>
      </c>
      <c r="BK73">
        <v>2.08</v>
      </c>
      <c r="BL73">
        <v>1.7</v>
      </c>
      <c r="BM73">
        <v>2.13</v>
      </c>
      <c r="BN73">
        <v>1.8</v>
      </c>
      <c r="BO73">
        <v>2.13</v>
      </c>
      <c r="BP73">
        <v>1.8</v>
      </c>
      <c r="BQ73">
        <v>2.08</v>
      </c>
      <c r="BR73">
        <v>1.77</v>
      </c>
      <c r="BS73">
        <v>2.17</v>
      </c>
      <c r="BT73">
        <v>1.84</v>
      </c>
      <c r="BU73">
        <v>2.4500000000000002</v>
      </c>
      <c r="BV73">
        <v>3.4</v>
      </c>
      <c r="BW73">
        <v>2.8</v>
      </c>
      <c r="BX73">
        <v>2.4500000000000002</v>
      </c>
      <c r="BY73">
        <v>3.5</v>
      </c>
      <c r="BZ73">
        <v>2.8</v>
      </c>
      <c r="CA73">
        <v>2.4500000000000002</v>
      </c>
      <c r="CB73">
        <v>3.4</v>
      </c>
      <c r="CC73">
        <v>2.88</v>
      </c>
      <c r="CD73">
        <v>2.48</v>
      </c>
      <c r="CE73">
        <v>3.46</v>
      </c>
      <c r="CF73">
        <v>2.98</v>
      </c>
      <c r="CG73">
        <v>2.5</v>
      </c>
      <c r="CH73">
        <v>3.5</v>
      </c>
      <c r="CI73">
        <v>2.8</v>
      </c>
      <c r="CJ73">
        <v>2.54</v>
      </c>
      <c r="CK73">
        <v>3.5</v>
      </c>
      <c r="CL73">
        <v>2.86</v>
      </c>
      <c r="CM73">
        <v>2.5499999999999998</v>
      </c>
      <c r="CN73">
        <v>3.5</v>
      </c>
      <c r="CO73">
        <v>3</v>
      </c>
      <c r="CP73">
        <v>2.48</v>
      </c>
      <c r="CQ73">
        <v>3.44</v>
      </c>
      <c r="CR73">
        <v>2.89</v>
      </c>
      <c r="CS73">
        <v>2.56</v>
      </c>
      <c r="CT73">
        <v>3.55</v>
      </c>
      <c r="CU73">
        <v>3</v>
      </c>
      <c r="CV73">
        <v>1.8</v>
      </c>
      <c r="CW73">
        <v>2</v>
      </c>
      <c r="CX73">
        <v>1.83</v>
      </c>
      <c r="CY73">
        <v>2.06</v>
      </c>
      <c r="CZ73">
        <v>1.9</v>
      </c>
      <c r="DA73">
        <v>2.13</v>
      </c>
      <c r="DB73">
        <v>1.81</v>
      </c>
      <c r="DC73">
        <v>2.04</v>
      </c>
      <c r="DD73">
        <v>1.85</v>
      </c>
      <c r="DE73">
        <v>2.16</v>
      </c>
      <c r="DF73">
        <v>-0.25</v>
      </c>
      <c r="DG73">
        <v>2.08</v>
      </c>
      <c r="DH73">
        <v>1.73</v>
      </c>
      <c r="DI73">
        <v>2.15</v>
      </c>
      <c r="DJ73">
        <v>1.81</v>
      </c>
      <c r="DK73">
        <v>2.16</v>
      </c>
      <c r="DL73">
        <v>1.82</v>
      </c>
      <c r="DM73">
        <v>2.11</v>
      </c>
      <c r="DN73">
        <v>1.77</v>
      </c>
      <c r="DO73">
        <v>2.2000000000000002</v>
      </c>
      <c r="DP73">
        <v>1.82</v>
      </c>
    </row>
    <row r="74" spans="1:120" x14ac:dyDescent="0.3">
      <c r="A74" t="s">
        <v>120</v>
      </c>
      <c r="B74" t="s">
        <v>179</v>
      </c>
      <c r="C74" s="1">
        <v>0.625</v>
      </c>
      <c r="D74" t="s">
        <v>128</v>
      </c>
      <c r="E74" t="s">
        <v>135</v>
      </c>
      <c r="F74">
        <v>0</v>
      </c>
      <c r="G74">
        <v>2</v>
      </c>
      <c r="H74" t="s">
        <v>130</v>
      </c>
      <c r="I74">
        <v>0</v>
      </c>
      <c r="J74">
        <v>2</v>
      </c>
      <c r="K74" t="s">
        <v>130</v>
      </c>
      <c r="L74" t="s">
        <v>143</v>
      </c>
      <c r="M74">
        <v>13</v>
      </c>
      <c r="N74">
        <v>11</v>
      </c>
      <c r="O74">
        <v>2</v>
      </c>
      <c r="P74">
        <v>8</v>
      </c>
      <c r="Q74">
        <v>12</v>
      </c>
      <c r="R74">
        <v>10</v>
      </c>
      <c r="S74">
        <v>5</v>
      </c>
      <c r="T74">
        <v>8</v>
      </c>
      <c r="U74">
        <v>1</v>
      </c>
      <c r="V74">
        <v>1</v>
      </c>
      <c r="W74">
        <v>0</v>
      </c>
      <c r="X74">
        <v>0</v>
      </c>
      <c r="Y74">
        <v>2.38</v>
      </c>
      <c r="Z74">
        <v>3.3</v>
      </c>
      <c r="AA74">
        <v>3</v>
      </c>
      <c r="AB74">
        <v>2.4</v>
      </c>
      <c r="AC74">
        <v>3.4</v>
      </c>
      <c r="AD74">
        <v>2.9</v>
      </c>
      <c r="AE74">
        <v>2.4</v>
      </c>
      <c r="AF74">
        <v>3.4</v>
      </c>
      <c r="AG74">
        <v>3</v>
      </c>
      <c r="AH74">
        <v>2.4</v>
      </c>
      <c r="AI74">
        <v>3.43</v>
      </c>
      <c r="AJ74">
        <v>3.07</v>
      </c>
      <c r="AK74">
        <v>2.4</v>
      </c>
      <c r="AL74">
        <v>3.4</v>
      </c>
      <c r="AM74">
        <v>3</v>
      </c>
      <c r="AN74">
        <v>2.42</v>
      </c>
      <c r="AO74">
        <v>3.48</v>
      </c>
      <c r="AP74">
        <v>3.08</v>
      </c>
      <c r="AQ74">
        <v>2.42</v>
      </c>
      <c r="AR74">
        <v>3.5</v>
      </c>
      <c r="AS74">
        <v>3.11</v>
      </c>
      <c r="AT74">
        <v>2.4</v>
      </c>
      <c r="AU74">
        <v>3.42</v>
      </c>
      <c r="AV74">
        <v>3.01</v>
      </c>
      <c r="AW74">
        <v>2.48</v>
      </c>
      <c r="AX74">
        <v>3.5</v>
      </c>
      <c r="AY74">
        <v>3.15</v>
      </c>
      <c r="AZ74">
        <v>1.86</v>
      </c>
      <c r="BA74">
        <v>2.04</v>
      </c>
      <c r="BB74">
        <v>1.86</v>
      </c>
      <c r="BC74">
        <v>2.0299999999999998</v>
      </c>
      <c r="BD74">
        <v>1.88</v>
      </c>
      <c r="BE74">
        <v>2.06</v>
      </c>
      <c r="BF74">
        <v>1.83</v>
      </c>
      <c r="BG74">
        <v>2.0099999999999998</v>
      </c>
      <c r="BH74">
        <v>1.88</v>
      </c>
      <c r="BI74">
        <v>2.1</v>
      </c>
      <c r="BJ74">
        <v>-0.25</v>
      </c>
      <c r="BK74">
        <v>2.08</v>
      </c>
      <c r="BL74">
        <v>1.82</v>
      </c>
      <c r="BM74">
        <v>2.08</v>
      </c>
      <c r="BN74">
        <v>1.84</v>
      </c>
      <c r="BO74">
        <v>2.12</v>
      </c>
      <c r="BP74">
        <v>1.84</v>
      </c>
      <c r="BQ74">
        <v>2.0499999999999998</v>
      </c>
      <c r="BR74">
        <v>1.81</v>
      </c>
      <c r="BS74">
        <v>2.12</v>
      </c>
      <c r="BT74">
        <v>1.87</v>
      </c>
      <c r="BU74">
        <v>2.38</v>
      </c>
      <c r="BV74">
        <v>3.4</v>
      </c>
      <c r="BW74">
        <v>2.9</v>
      </c>
      <c r="BX74">
        <v>2.35</v>
      </c>
      <c r="BY74">
        <v>3.4</v>
      </c>
      <c r="BZ74">
        <v>3.1</v>
      </c>
      <c r="CA74">
        <v>2.2999999999999998</v>
      </c>
      <c r="CB74">
        <v>3.4</v>
      </c>
      <c r="CC74">
        <v>3.1</v>
      </c>
      <c r="CD74">
        <v>2.44</v>
      </c>
      <c r="CE74">
        <v>3.43</v>
      </c>
      <c r="CF74">
        <v>3.06</v>
      </c>
      <c r="CG74">
        <v>2.38</v>
      </c>
      <c r="CH74">
        <v>3.3</v>
      </c>
      <c r="CI74">
        <v>3.1</v>
      </c>
      <c r="CJ74">
        <v>2.4300000000000002</v>
      </c>
      <c r="CK74">
        <v>3.58</v>
      </c>
      <c r="CL74">
        <v>2.95</v>
      </c>
      <c r="CM74">
        <v>2.44</v>
      </c>
      <c r="CN74">
        <v>3.6</v>
      </c>
      <c r="CO74">
        <v>3.2</v>
      </c>
      <c r="CP74">
        <v>2.38</v>
      </c>
      <c r="CQ74">
        <v>3.43</v>
      </c>
      <c r="CR74">
        <v>3.05</v>
      </c>
      <c r="CS74">
        <v>2.48</v>
      </c>
      <c r="CT74">
        <v>3.5</v>
      </c>
      <c r="CU74">
        <v>3.15</v>
      </c>
      <c r="CV74">
        <v>1.88</v>
      </c>
      <c r="CW74">
        <v>2.02</v>
      </c>
      <c r="CX74">
        <v>1.88</v>
      </c>
      <c r="CY74">
        <v>2.0299999999999998</v>
      </c>
      <c r="CZ74">
        <v>1.92</v>
      </c>
      <c r="DA74">
        <v>2.1</v>
      </c>
      <c r="DB74">
        <v>1.86</v>
      </c>
      <c r="DC74">
        <v>2</v>
      </c>
      <c r="DD74">
        <v>1.91</v>
      </c>
      <c r="DE74">
        <v>2.08</v>
      </c>
      <c r="DF74">
        <v>-0.25</v>
      </c>
      <c r="DG74">
        <v>2.1</v>
      </c>
      <c r="DH74">
        <v>1.83</v>
      </c>
      <c r="DI74">
        <v>2.11</v>
      </c>
      <c r="DJ74">
        <v>1.83</v>
      </c>
      <c r="DK74">
        <v>2.11</v>
      </c>
      <c r="DL74">
        <v>1.87</v>
      </c>
      <c r="DM74">
        <v>2.0299999999999998</v>
      </c>
      <c r="DN74">
        <v>1.84</v>
      </c>
      <c r="DO74">
        <v>2.12</v>
      </c>
      <c r="DP74">
        <v>1.88</v>
      </c>
    </row>
    <row r="75" spans="1:120" x14ac:dyDescent="0.3">
      <c r="A75" t="s">
        <v>120</v>
      </c>
      <c r="B75" t="s">
        <v>179</v>
      </c>
      <c r="C75" s="1">
        <v>0.625</v>
      </c>
      <c r="D75" t="s">
        <v>122</v>
      </c>
      <c r="E75" t="s">
        <v>148</v>
      </c>
      <c r="F75">
        <v>2</v>
      </c>
      <c r="G75">
        <v>1</v>
      </c>
      <c r="H75" t="s">
        <v>124</v>
      </c>
      <c r="I75">
        <v>0</v>
      </c>
      <c r="J75">
        <v>1</v>
      </c>
      <c r="K75" t="s">
        <v>130</v>
      </c>
      <c r="L75" t="s">
        <v>150</v>
      </c>
      <c r="M75">
        <v>23</v>
      </c>
      <c r="N75">
        <v>8</v>
      </c>
      <c r="O75">
        <v>11</v>
      </c>
      <c r="P75">
        <v>2</v>
      </c>
      <c r="Q75">
        <v>14</v>
      </c>
      <c r="R75">
        <v>5</v>
      </c>
      <c r="S75">
        <v>9</v>
      </c>
      <c r="T75">
        <v>2</v>
      </c>
      <c r="U75">
        <v>2</v>
      </c>
      <c r="V75">
        <v>2</v>
      </c>
      <c r="W75">
        <v>0</v>
      </c>
      <c r="X75">
        <v>0</v>
      </c>
      <c r="Y75">
        <v>1.7</v>
      </c>
      <c r="Z75">
        <v>4.2</v>
      </c>
      <c r="AA75">
        <v>4.5</v>
      </c>
      <c r="AB75">
        <v>1.7</v>
      </c>
      <c r="AC75">
        <v>4.2</v>
      </c>
      <c r="AD75">
        <v>4.5</v>
      </c>
      <c r="AE75">
        <v>1.67</v>
      </c>
      <c r="AF75">
        <v>4.33</v>
      </c>
      <c r="AG75">
        <v>4.5999999999999996</v>
      </c>
      <c r="AH75">
        <v>1.72</v>
      </c>
      <c r="AI75">
        <v>4.37</v>
      </c>
      <c r="AJ75">
        <v>4.43</v>
      </c>
      <c r="AK75">
        <v>1.7</v>
      </c>
      <c r="AL75">
        <v>4.2</v>
      </c>
      <c r="AM75">
        <v>4.5</v>
      </c>
      <c r="AN75">
        <v>1.74</v>
      </c>
      <c r="AO75">
        <v>4.38</v>
      </c>
      <c r="AP75">
        <v>4.4800000000000004</v>
      </c>
      <c r="AQ75">
        <v>1.75</v>
      </c>
      <c r="AR75">
        <v>4.5</v>
      </c>
      <c r="AS75">
        <v>4.75</v>
      </c>
      <c r="AT75">
        <v>1.71</v>
      </c>
      <c r="AU75">
        <v>4.28</v>
      </c>
      <c r="AV75">
        <v>4.4800000000000004</v>
      </c>
      <c r="AW75">
        <v>1.74</v>
      </c>
      <c r="AX75">
        <v>4.5</v>
      </c>
      <c r="AY75">
        <v>4.8</v>
      </c>
      <c r="AZ75">
        <v>1.5</v>
      </c>
      <c r="BA75">
        <v>2.63</v>
      </c>
      <c r="BB75">
        <v>1.51</v>
      </c>
      <c r="BC75">
        <v>2.64</v>
      </c>
      <c r="BD75">
        <v>1.53</v>
      </c>
      <c r="BE75">
        <v>2.66</v>
      </c>
      <c r="BF75">
        <v>1.49</v>
      </c>
      <c r="BG75">
        <v>2.58</v>
      </c>
      <c r="BH75">
        <v>1.56</v>
      </c>
      <c r="BI75">
        <v>2.68</v>
      </c>
      <c r="BJ75">
        <v>-0.75</v>
      </c>
      <c r="BK75">
        <v>1.83</v>
      </c>
      <c r="BL75">
        <v>1.95</v>
      </c>
      <c r="BM75">
        <v>1.92</v>
      </c>
      <c r="BN75">
        <v>1.99</v>
      </c>
      <c r="BO75">
        <v>1.92</v>
      </c>
      <c r="BP75">
        <v>2.04</v>
      </c>
      <c r="BQ75">
        <v>1.87</v>
      </c>
      <c r="BR75">
        <v>1.97</v>
      </c>
      <c r="BS75">
        <v>1.93</v>
      </c>
      <c r="BT75">
        <v>2.0499999999999998</v>
      </c>
      <c r="BU75">
        <v>1.62</v>
      </c>
      <c r="BV75">
        <v>4.2</v>
      </c>
      <c r="BW75">
        <v>5</v>
      </c>
      <c r="BX75">
        <v>1.7</v>
      </c>
      <c r="BY75">
        <v>4.2</v>
      </c>
      <c r="BZ75">
        <v>4.5</v>
      </c>
      <c r="CA75">
        <v>1.7</v>
      </c>
      <c r="CB75">
        <v>4.2</v>
      </c>
      <c r="CC75">
        <v>4.5999999999999996</v>
      </c>
      <c r="CD75">
        <v>1.67</v>
      </c>
      <c r="CE75">
        <v>4.41</v>
      </c>
      <c r="CF75">
        <v>4.92</v>
      </c>
      <c r="CG75">
        <v>1.7</v>
      </c>
      <c r="CH75">
        <v>4.2</v>
      </c>
      <c r="CI75">
        <v>4.5999999999999996</v>
      </c>
      <c r="CJ75">
        <v>1.68</v>
      </c>
      <c r="CK75">
        <v>4.1900000000000004</v>
      </c>
      <c r="CL75">
        <v>5.09</v>
      </c>
      <c r="CM75">
        <v>1.73</v>
      </c>
      <c r="CN75">
        <v>4.5</v>
      </c>
      <c r="CO75">
        <v>5.09</v>
      </c>
      <c r="CP75">
        <v>1.69</v>
      </c>
      <c r="CQ75">
        <v>4.2699999999999996</v>
      </c>
      <c r="CR75">
        <v>4.72</v>
      </c>
      <c r="CS75">
        <v>1.71</v>
      </c>
      <c r="CT75">
        <v>4.4000000000000004</v>
      </c>
      <c r="CU75">
        <v>5.2</v>
      </c>
      <c r="CV75">
        <v>1.5</v>
      </c>
      <c r="CW75">
        <v>2.63</v>
      </c>
      <c r="CX75">
        <v>1.51</v>
      </c>
      <c r="CY75">
        <v>2.68</v>
      </c>
      <c r="CZ75">
        <v>1.57</v>
      </c>
      <c r="DA75">
        <v>2.75</v>
      </c>
      <c r="DB75">
        <v>1.51</v>
      </c>
      <c r="DC75">
        <v>2.62</v>
      </c>
      <c r="DD75">
        <v>1.55</v>
      </c>
      <c r="DE75">
        <v>2.78</v>
      </c>
      <c r="DF75">
        <v>-0.75</v>
      </c>
      <c r="DG75">
        <v>1.75</v>
      </c>
      <c r="DH75">
        <v>2.0499999999999998</v>
      </c>
      <c r="DI75">
        <v>1.84</v>
      </c>
      <c r="DJ75">
        <v>2.1</v>
      </c>
      <c r="DK75">
        <v>1.91</v>
      </c>
      <c r="DL75">
        <v>2.13</v>
      </c>
      <c r="DM75">
        <v>1.84</v>
      </c>
      <c r="DN75">
        <v>2.0299999999999998</v>
      </c>
      <c r="DO75">
        <v>1.91</v>
      </c>
      <c r="DP75">
        <v>2.08</v>
      </c>
    </row>
    <row r="76" spans="1:120" x14ac:dyDescent="0.3">
      <c r="A76" t="s">
        <v>120</v>
      </c>
      <c r="B76" t="s">
        <v>179</v>
      </c>
      <c r="C76" s="1">
        <v>0.625</v>
      </c>
      <c r="D76" t="s">
        <v>138</v>
      </c>
      <c r="E76" t="s">
        <v>136</v>
      </c>
      <c r="F76">
        <v>0</v>
      </c>
      <c r="G76">
        <v>1</v>
      </c>
      <c r="H76" t="s">
        <v>130</v>
      </c>
      <c r="I76">
        <v>0</v>
      </c>
      <c r="J76">
        <v>1</v>
      </c>
      <c r="K76" t="s">
        <v>130</v>
      </c>
      <c r="L76" t="s">
        <v>171</v>
      </c>
      <c r="M76">
        <v>21</v>
      </c>
      <c r="N76">
        <v>10</v>
      </c>
      <c r="O76">
        <v>6</v>
      </c>
      <c r="P76">
        <v>5</v>
      </c>
      <c r="Q76">
        <v>11</v>
      </c>
      <c r="R76">
        <v>9</v>
      </c>
      <c r="S76">
        <v>9</v>
      </c>
      <c r="T76">
        <v>4</v>
      </c>
      <c r="U76">
        <v>2</v>
      </c>
      <c r="V76">
        <v>2</v>
      </c>
      <c r="W76">
        <v>0</v>
      </c>
      <c r="X76">
        <v>0</v>
      </c>
      <c r="Y76">
        <v>1.95</v>
      </c>
      <c r="Z76">
        <v>3.7</v>
      </c>
      <c r="AA76">
        <v>3.6</v>
      </c>
      <c r="AB76">
        <v>2</v>
      </c>
      <c r="AC76">
        <v>3.75</v>
      </c>
      <c r="AD76">
        <v>3.5</v>
      </c>
      <c r="AE76">
        <v>1.95</v>
      </c>
      <c r="AF76">
        <v>3.9</v>
      </c>
      <c r="AG76">
        <v>3.6</v>
      </c>
      <c r="AH76">
        <v>2.0099999999999998</v>
      </c>
      <c r="AI76">
        <v>3.91</v>
      </c>
      <c r="AJ76">
        <v>3.55</v>
      </c>
      <c r="AK76">
        <v>2</v>
      </c>
      <c r="AL76">
        <v>3.8</v>
      </c>
      <c r="AM76">
        <v>3.5</v>
      </c>
      <c r="AN76">
        <v>2.0299999999999998</v>
      </c>
      <c r="AO76">
        <v>4.08</v>
      </c>
      <c r="AP76">
        <v>3.48</v>
      </c>
      <c r="AQ76">
        <v>2.0499999999999998</v>
      </c>
      <c r="AR76">
        <v>4.08</v>
      </c>
      <c r="AS76">
        <v>3.66</v>
      </c>
      <c r="AT76">
        <v>2.0099999999999998</v>
      </c>
      <c r="AU76">
        <v>3.88</v>
      </c>
      <c r="AV76">
        <v>3.51</v>
      </c>
      <c r="AW76">
        <v>2.02</v>
      </c>
      <c r="AX76">
        <v>4</v>
      </c>
      <c r="AY76">
        <v>3.75</v>
      </c>
      <c r="AZ76">
        <v>1.49</v>
      </c>
      <c r="BA76">
        <v>2.4500000000000002</v>
      </c>
      <c r="BB76">
        <v>1.52</v>
      </c>
      <c r="BC76">
        <v>2.63</v>
      </c>
      <c r="BD76">
        <v>1.54</v>
      </c>
      <c r="BE76">
        <v>2.69</v>
      </c>
      <c r="BF76">
        <v>1.51</v>
      </c>
      <c r="BG76">
        <v>2.56</v>
      </c>
      <c r="BH76">
        <v>1.56</v>
      </c>
      <c r="BI76">
        <v>2.68</v>
      </c>
      <c r="BJ76">
        <v>-0.5</v>
      </c>
      <c r="BK76">
        <v>2.0099999999999998</v>
      </c>
      <c r="BL76">
        <v>1.89</v>
      </c>
      <c r="BM76">
        <v>2.02</v>
      </c>
      <c r="BN76">
        <v>1.88</v>
      </c>
      <c r="BO76">
        <v>2.04</v>
      </c>
      <c r="BP76">
        <v>1.92</v>
      </c>
      <c r="BQ76">
        <v>2</v>
      </c>
      <c r="BR76">
        <v>1.86</v>
      </c>
      <c r="BS76">
        <v>2.02</v>
      </c>
      <c r="BT76">
        <v>1.96</v>
      </c>
      <c r="BU76">
        <v>1.73</v>
      </c>
      <c r="BV76">
        <v>4</v>
      </c>
      <c r="BW76">
        <v>4.5</v>
      </c>
      <c r="BX76">
        <v>1.71</v>
      </c>
      <c r="BY76">
        <v>4.0999999999999996</v>
      </c>
      <c r="BZ76">
        <v>4.5</v>
      </c>
      <c r="CA76">
        <v>1.7</v>
      </c>
      <c r="CB76">
        <v>3.9</v>
      </c>
      <c r="CC76">
        <v>4.75</v>
      </c>
      <c r="CD76">
        <v>1.75</v>
      </c>
      <c r="CE76">
        <v>4.08</v>
      </c>
      <c r="CF76">
        <v>4.67</v>
      </c>
      <c r="CG76">
        <v>1.7</v>
      </c>
      <c r="CH76">
        <v>4</v>
      </c>
      <c r="CI76">
        <v>4.75</v>
      </c>
      <c r="CJ76">
        <v>1.78</v>
      </c>
      <c r="CK76">
        <v>4.08</v>
      </c>
      <c r="CL76">
        <v>4.43</v>
      </c>
      <c r="CM76">
        <v>1.78</v>
      </c>
      <c r="CN76">
        <v>4.25</v>
      </c>
      <c r="CO76">
        <v>4.9000000000000004</v>
      </c>
      <c r="CP76">
        <v>1.73</v>
      </c>
      <c r="CQ76">
        <v>4.08</v>
      </c>
      <c r="CR76">
        <v>4.5999999999999996</v>
      </c>
      <c r="CS76">
        <v>1.76</v>
      </c>
      <c r="CT76">
        <v>4.3</v>
      </c>
      <c r="CU76">
        <v>4.9000000000000004</v>
      </c>
      <c r="CV76">
        <v>1.53</v>
      </c>
      <c r="CW76">
        <v>2.5</v>
      </c>
      <c r="CX76">
        <v>1.55</v>
      </c>
      <c r="CY76">
        <v>2.58</v>
      </c>
      <c r="CZ76">
        <v>1.55</v>
      </c>
      <c r="DA76">
        <v>2.66</v>
      </c>
      <c r="DB76">
        <v>1.51</v>
      </c>
      <c r="DC76">
        <v>2.59</v>
      </c>
      <c r="DD76">
        <v>1.56</v>
      </c>
      <c r="DE76">
        <v>2.74</v>
      </c>
      <c r="DF76">
        <v>-0.75</v>
      </c>
      <c r="DG76">
        <v>1.95</v>
      </c>
      <c r="DH76">
        <v>1.98</v>
      </c>
      <c r="DI76">
        <v>1.96</v>
      </c>
      <c r="DJ76">
        <v>1.96</v>
      </c>
      <c r="DK76">
        <v>1.96</v>
      </c>
      <c r="DL76">
        <v>2.04</v>
      </c>
      <c r="DM76">
        <v>1.91</v>
      </c>
      <c r="DN76">
        <v>1.96</v>
      </c>
      <c r="DO76">
        <v>1.96</v>
      </c>
      <c r="DP76">
        <v>2.02</v>
      </c>
    </row>
    <row r="77" spans="1:120" x14ac:dyDescent="0.3">
      <c r="A77" t="s">
        <v>120</v>
      </c>
      <c r="B77" t="s">
        <v>179</v>
      </c>
      <c r="C77" s="1">
        <v>0.625</v>
      </c>
      <c r="D77" t="s">
        <v>139</v>
      </c>
      <c r="E77" t="s">
        <v>155</v>
      </c>
      <c r="F77">
        <v>2</v>
      </c>
      <c r="G77">
        <v>3</v>
      </c>
      <c r="H77" t="s">
        <v>130</v>
      </c>
      <c r="I77">
        <v>2</v>
      </c>
      <c r="J77">
        <v>0</v>
      </c>
      <c r="K77" t="s">
        <v>124</v>
      </c>
      <c r="L77" t="s">
        <v>153</v>
      </c>
      <c r="M77">
        <v>14</v>
      </c>
      <c r="N77">
        <v>18</v>
      </c>
      <c r="O77">
        <v>7</v>
      </c>
      <c r="P77">
        <v>4</v>
      </c>
      <c r="Q77">
        <v>10</v>
      </c>
      <c r="R77">
        <v>10</v>
      </c>
      <c r="S77">
        <v>10</v>
      </c>
      <c r="T77">
        <v>6</v>
      </c>
      <c r="U77">
        <v>5</v>
      </c>
      <c r="V77">
        <v>3</v>
      </c>
      <c r="W77">
        <v>1</v>
      </c>
      <c r="X77">
        <v>0</v>
      </c>
      <c r="Y77">
        <v>2.2999999999999998</v>
      </c>
      <c r="Z77">
        <v>3.5</v>
      </c>
      <c r="AA77">
        <v>3</v>
      </c>
      <c r="AB77">
        <v>2.35</v>
      </c>
      <c r="AC77">
        <v>3.5</v>
      </c>
      <c r="AD77">
        <v>2.9</v>
      </c>
      <c r="AE77">
        <v>2.2999999999999998</v>
      </c>
      <c r="AF77">
        <v>3.5</v>
      </c>
      <c r="AG77">
        <v>3</v>
      </c>
      <c r="AH77">
        <v>2.34</v>
      </c>
      <c r="AI77">
        <v>3.53</v>
      </c>
      <c r="AJ77">
        <v>3.09</v>
      </c>
      <c r="AK77">
        <v>2.38</v>
      </c>
      <c r="AL77">
        <v>3.5</v>
      </c>
      <c r="AM77">
        <v>3</v>
      </c>
      <c r="AN77">
        <v>2.36</v>
      </c>
      <c r="AO77">
        <v>3.61</v>
      </c>
      <c r="AP77">
        <v>3.08</v>
      </c>
      <c r="AQ77">
        <v>2.38</v>
      </c>
      <c r="AR77">
        <v>3.63</v>
      </c>
      <c r="AS77">
        <v>3.14</v>
      </c>
      <c r="AT77">
        <v>2.33</v>
      </c>
      <c r="AU77">
        <v>3.54</v>
      </c>
      <c r="AV77">
        <v>3.03</v>
      </c>
      <c r="AW77">
        <v>2.42</v>
      </c>
      <c r="AX77">
        <v>3.65</v>
      </c>
      <c r="AY77">
        <v>3.15</v>
      </c>
      <c r="AZ77">
        <v>1.73</v>
      </c>
      <c r="BA77">
        <v>2.1</v>
      </c>
      <c r="BB77">
        <v>1.79</v>
      </c>
      <c r="BC77">
        <v>2.11</v>
      </c>
      <c r="BD77">
        <v>1.8</v>
      </c>
      <c r="BE77">
        <v>2.16</v>
      </c>
      <c r="BF77">
        <v>1.76</v>
      </c>
      <c r="BG77">
        <v>2.08</v>
      </c>
      <c r="BH77">
        <v>1.82</v>
      </c>
      <c r="BI77">
        <v>2.14</v>
      </c>
      <c r="BJ77">
        <v>-0.25</v>
      </c>
      <c r="BK77">
        <v>1.97</v>
      </c>
      <c r="BL77">
        <v>1.81</v>
      </c>
      <c r="BM77">
        <v>2.0299999999999998</v>
      </c>
      <c r="BN77">
        <v>1.88</v>
      </c>
      <c r="BO77">
        <v>2.06</v>
      </c>
      <c r="BP77">
        <v>1.89</v>
      </c>
      <c r="BQ77">
        <v>1.99</v>
      </c>
      <c r="BR77">
        <v>1.85</v>
      </c>
      <c r="BS77">
        <v>2.08</v>
      </c>
      <c r="BT77">
        <v>1.9</v>
      </c>
      <c r="BU77">
        <v>2.15</v>
      </c>
      <c r="BV77">
        <v>3.6</v>
      </c>
      <c r="BW77">
        <v>3.25</v>
      </c>
      <c r="BX77">
        <v>2.15</v>
      </c>
      <c r="BY77">
        <v>3.5</v>
      </c>
      <c r="BZ77">
        <v>3.3</v>
      </c>
      <c r="CA77">
        <v>2.15</v>
      </c>
      <c r="CB77">
        <v>3.4</v>
      </c>
      <c r="CC77">
        <v>3.4</v>
      </c>
      <c r="CD77">
        <v>2.23</v>
      </c>
      <c r="CE77">
        <v>3.5</v>
      </c>
      <c r="CF77">
        <v>3.41</v>
      </c>
      <c r="CG77">
        <v>2.2000000000000002</v>
      </c>
      <c r="CH77">
        <v>3.5</v>
      </c>
      <c r="CI77">
        <v>3.3</v>
      </c>
      <c r="CJ77">
        <v>2.25</v>
      </c>
      <c r="CK77">
        <v>3.67</v>
      </c>
      <c r="CL77">
        <v>3.2</v>
      </c>
      <c r="CM77">
        <v>2.25</v>
      </c>
      <c r="CN77">
        <v>3.67</v>
      </c>
      <c r="CO77">
        <v>3.45</v>
      </c>
      <c r="CP77">
        <v>2.2000000000000002</v>
      </c>
      <c r="CQ77">
        <v>3.54</v>
      </c>
      <c r="CR77">
        <v>3.32</v>
      </c>
      <c r="CS77">
        <v>2.2799999999999998</v>
      </c>
      <c r="CT77">
        <v>3.6</v>
      </c>
      <c r="CU77">
        <v>3.45</v>
      </c>
      <c r="CV77">
        <v>1.73</v>
      </c>
      <c r="CW77">
        <v>2.1</v>
      </c>
      <c r="CX77">
        <v>1.78</v>
      </c>
      <c r="CY77">
        <v>2.12</v>
      </c>
      <c r="CZ77">
        <v>1.83</v>
      </c>
      <c r="DA77">
        <v>2.2000000000000002</v>
      </c>
      <c r="DB77">
        <v>1.76</v>
      </c>
      <c r="DC77">
        <v>2.11</v>
      </c>
      <c r="DD77">
        <v>1.81</v>
      </c>
      <c r="DE77">
        <v>2.1800000000000002</v>
      </c>
      <c r="DF77">
        <v>-0.25</v>
      </c>
      <c r="DG77">
        <v>1.89</v>
      </c>
      <c r="DH77">
        <v>2.0099999999999998</v>
      </c>
      <c r="DI77">
        <v>1.93</v>
      </c>
      <c r="DJ77">
        <v>2</v>
      </c>
      <c r="DK77">
        <v>1.93</v>
      </c>
      <c r="DL77">
        <v>2.0299999999999998</v>
      </c>
      <c r="DM77">
        <v>1.89</v>
      </c>
      <c r="DN77">
        <v>1.98</v>
      </c>
      <c r="DO77">
        <v>1.97</v>
      </c>
      <c r="DP77">
        <v>2.02</v>
      </c>
    </row>
    <row r="78" spans="1:120" x14ac:dyDescent="0.3">
      <c r="A78" t="s">
        <v>120</v>
      </c>
      <c r="B78" t="s">
        <v>179</v>
      </c>
      <c r="C78" s="1">
        <v>0.72916666666666663</v>
      </c>
      <c r="D78" t="s">
        <v>142</v>
      </c>
      <c r="E78" t="s">
        <v>132</v>
      </c>
      <c r="F78">
        <v>2</v>
      </c>
      <c r="G78">
        <v>0</v>
      </c>
      <c r="H78" t="s">
        <v>124</v>
      </c>
      <c r="I78">
        <v>0</v>
      </c>
      <c r="J78">
        <v>0</v>
      </c>
      <c r="K78" t="s">
        <v>125</v>
      </c>
      <c r="L78" t="s">
        <v>126</v>
      </c>
      <c r="M78">
        <v>13</v>
      </c>
      <c r="N78">
        <v>6</v>
      </c>
      <c r="O78">
        <v>4</v>
      </c>
      <c r="P78">
        <v>1</v>
      </c>
      <c r="Q78">
        <v>12</v>
      </c>
      <c r="R78">
        <v>11</v>
      </c>
      <c r="S78">
        <v>7</v>
      </c>
      <c r="T78">
        <v>4</v>
      </c>
      <c r="U78">
        <v>1</v>
      </c>
      <c r="V78">
        <v>1</v>
      </c>
      <c r="W78">
        <v>0</v>
      </c>
      <c r="X78">
        <v>1</v>
      </c>
      <c r="Y78">
        <v>5</v>
      </c>
      <c r="Z78">
        <v>3.9</v>
      </c>
      <c r="AA78">
        <v>1.65</v>
      </c>
      <c r="AB78">
        <v>4.8</v>
      </c>
      <c r="AC78">
        <v>4.0999999999999996</v>
      </c>
      <c r="AD78">
        <v>1.66</v>
      </c>
      <c r="AE78">
        <v>5</v>
      </c>
      <c r="AF78">
        <v>3.9</v>
      </c>
      <c r="AG78">
        <v>1.67</v>
      </c>
      <c r="AH78">
        <v>5.01</v>
      </c>
      <c r="AI78">
        <v>4.13</v>
      </c>
      <c r="AJ78">
        <v>1.68</v>
      </c>
      <c r="AK78">
        <v>5</v>
      </c>
      <c r="AL78">
        <v>4</v>
      </c>
      <c r="AM78">
        <v>1.67</v>
      </c>
      <c r="AN78">
        <v>4.99</v>
      </c>
      <c r="AO78">
        <v>4.2300000000000004</v>
      </c>
      <c r="AP78">
        <v>1.7</v>
      </c>
      <c r="AQ78">
        <v>5.0999999999999996</v>
      </c>
      <c r="AR78">
        <v>4.2300000000000004</v>
      </c>
      <c r="AS78">
        <v>1.71</v>
      </c>
      <c r="AT78">
        <v>4.9400000000000004</v>
      </c>
      <c r="AU78">
        <v>4.09</v>
      </c>
      <c r="AV78">
        <v>1.68</v>
      </c>
      <c r="AW78">
        <v>5.5</v>
      </c>
      <c r="AX78">
        <v>4.0999999999999996</v>
      </c>
      <c r="AY78">
        <v>1.72</v>
      </c>
      <c r="AZ78">
        <v>1.73</v>
      </c>
      <c r="BA78">
        <v>2.1</v>
      </c>
      <c r="BB78">
        <v>1.74</v>
      </c>
      <c r="BC78">
        <v>2.1800000000000002</v>
      </c>
      <c r="BD78">
        <v>1.75</v>
      </c>
      <c r="BE78">
        <v>2.2000000000000002</v>
      </c>
      <c r="BF78">
        <v>1.72</v>
      </c>
      <c r="BG78">
        <v>2.15</v>
      </c>
      <c r="BH78">
        <v>1.79</v>
      </c>
      <c r="BI78">
        <v>2.2200000000000002</v>
      </c>
      <c r="BJ78">
        <v>0.75</v>
      </c>
      <c r="BK78">
        <v>2.04</v>
      </c>
      <c r="BL78">
        <v>1.86</v>
      </c>
      <c r="BM78">
        <v>2.04</v>
      </c>
      <c r="BN78">
        <v>1.88</v>
      </c>
      <c r="BO78">
        <v>2.06</v>
      </c>
      <c r="BP78">
        <v>1.88</v>
      </c>
      <c r="BQ78">
        <v>2.0099999999999998</v>
      </c>
      <c r="BR78">
        <v>1.84</v>
      </c>
      <c r="BS78">
        <v>2.0699999999999998</v>
      </c>
      <c r="BT78">
        <v>1.89</v>
      </c>
      <c r="BU78">
        <v>4.75</v>
      </c>
      <c r="BV78">
        <v>3.7</v>
      </c>
      <c r="BW78">
        <v>1.75</v>
      </c>
      <c r="BX78">
        <v>4.75</v>
      </c>
      <c r="BY78">
        <v>3.7</v>
      </c>
      <c r="BZ78">
        <v>1.75</v>
      </c>
      <c r="CA78">
        <v>5</v>
      </c>
      <c r="CB78">
        <v>3.7</v>
      </c>
      <c r="CC78">
        <v>1.75</v>
      </c>
      <c r="CD78">
        <v>5.17</v>
      </c>
      <c r="CE78">
        <v>3.71</v>
      </c>
      <c r="CF78">
        <v>1.76</v>
      </c>
      <c r="CG78">
        <v>4.5999999999999996</v>
      </c>
      <c r="CH78">
        <v>3.8</v>
      </c>
      <c r="CI78">
        <v>1.75</v>
      </c>
      <c r="CJ78">
        <v>5.37</v>
      </c>
      <c r="CK78">
        <v>3.76</v>
      </c>
      <c r="CL78">
        <v>1.73</v>
      </c>
      <c r="CM78">
        <v>5.37</v>
      </c>
      <c r="CN78">
        <v>3.85</v>
      </c>
      <c r="CO78">
        <v>1.85</v>
      </c>
      <c r="CP78">
        <v>4.8499999999999996</v>
      </c>
      <c r="CQ78">
        <v>3.73</v>
      </c>
      <c r="CR78">
        <v>1.77</v>
      </c>
      <c r="CS78">
        <v>5.5</v>
      </c>
      <c r="CT78">
        <v>3.8</v>
      </c>
      <c r="CU78">
        <v>1.79</v>
      </c>
      <c r="CV78">
        <v>1.99</v>
      </c>
      <c r="CW78">
        <v>1.91</v>
      </c>
      <c r="CX78">
        <v>1.96</v>
      </c>
      <c r="CY78">
        <v>1.94</v>
      </c>
      <c r="CZ78">
        <v>1.99</v>
      </c>
      <c r="DA78">
        <v>2.08</v>
      </c>
      <c r="DB78">
        <v>1.89</v>
      </c>
      <c r="DC78">
        <v>1.96</v>
      </c>
      <c r="DD78">
        <v>1.98</v>
      </c>
      <c r="DE78">
        <v>2</v>
      </c>
      <c r="DF78">
        <v>0.75</v>
      </c>
      <c r="DG78">
        <v>1.92</v>
      </c>
      <c r="DH78">
        <v>2.0099999999999998</v>
      </c>
      <c r="DI78">
        <v>1.93</v>
      </c>
      <c r="DJ78">
        <v>2</v>
      </c>
      <c r="DK78">
        <v>1.96</v>
      </c>
      <c r="DL78">
        <v>2.0699999999999998</v>
      </c>
      <c r="DM78">
        <v>1.89</v>
      </c>
      <c r="DN78">
        <v>1.98</v>
      </c>
      <c r="DO78">
        <v>1.96</v>
      </c>
      <c r="DP78">
        <v>2.02</v>
      </c>
    </row>
    <row r="79" spans="1:120" x14ac:dyDescent="0.3">
      <c r="A79" t="s">
        <v>120</v>
      </c>
      <c r="B79" t="s">
        <v>180</v>
      </c>
      <c r="C79" s="1">
        <v>0.58333333333333337</v>
      </c>
      <c r="D79" t="s">
        <v>133</v>
      </c>
      <c r="E79" t="s">
        <v>152</v>
      </c>
      <c r="F79">
        <v>1</v>
      </c>
      <c r="G79">
        <v>2</v>
      </c>
      <c r="H79" t="s">
        <v>130</v>
      </c>
      <c r="I79">
        <v>1</v>
      </c>
      <c r="J79">
        <v>1</v>
      </c>
      <c r="K79" t="s">
        <v>125</v>
      </c>
      <c r="L79" t="s">
        <v>157</v>
      </c>
      <c r="M79">
        <v>3</v>
      </c>
      <c r="N79">
        <v>22</v>
      </c>
      <c r="O79">
        <v>2</v>
      </c>
      <c r="P79">
        <v>7</v>
      </c>
      <c r="Q79">
        <v>8</v>
      </c>
      <c r="R79">
        <v>5</v>
      </c>
      <c r="S79">
        <v>1</v>
      </c>
      <c r="T79">
        <v>18</v>
      </c>
      <c r="U79">
        <v>4</v>
      </c>
      <c r="V79">
        <v>1</v>
      </c>
      <c r="W79">
        <v>0</v>
      </c>
      <c r="X79">
        <v>0</v>
      </c>
      <c r="Y79">
        <v>8</v>
      </c>
      <c r="Z79">
        <v>6</v>
      </c>
      <c r="AA79">
        <v>1.33</v>
      </c>
      <c r="AB79">
        <v>9</v>
      </c>
      <c r="AC79">
        <v>5.75</v>
      </c>
      <c r="AD79">
        <v>1.32</v>
      </c>
      <c r="AE79">
        <v>9.5</v>
      </c>
      <c r="AF79">
        <v>6</v>
      </c>
      <c r="AG79">
        <v>1.3</v>
      </c>
      <c r="AH79">
        <v>9.01</v>
      </c>
      <c r="AI79">
        <v>5.92</v>
      </c>
      <c r="AJ79">
        <v>1.32</v>
      </c>
      <c r="AK79">
        <v>9</v>
      </c>
      <c r="AL79">
        <v>5.5</v>
      </c>
      <c r="AM79">
        <v>1.33</v>
      </c>
      <c r="AN79">
        <v>9.25</v>
      </c>
      <c r="AO79">
        <v>5.91</v>
      </c>
      <c r="AP79">
        <v>1.34</v>
      </c>
      <c r="AQ79">
        <v>9.8000000000000007</v>
      </c>
      <c r="AR79">
        <v>6</v>
      </c>
      <c r="AS79">
        <v>1.34</v>
      </c>
      <c r="AT79">
        <v>8.8800000000000008</v>
      </c>
      <c r="AU79">
        <v>5.85</v>
      </c>
      <c r="AV79">
        <v>1.31</v>
      </c>
      <c r="AW79">
        <v>10</v>
      </c>
      <c r="AX79">
        <v>6.2</v>
      </c>
      <c r="AY79">
        <v>1.34</v>
      </c>
      <c r="AZ79">
        <v>1.44</v>
      </c>
      <c r="BA79">
        <v>2.75</v>
      </c>
      <c r="BB79">
        <v>1.48</v>
      </c>
      <c r="BC79">
        <v>2.73</v>
      </c>
      <c r="BD79">
        <v>1.5</v>
      </c>
      <c r="BE79">
        <v>2.95</v>
      </c>
      <c r="BF79">
        <v>1.45</v>
      </c>
      <c r="BG79">
        <v>2.75</v>
      </c>
      <c r="BH79">
        <v>1.5</v>
      </c>
      <c r="BI79">
        <v>2.92</v>
      </c>
      <c r="BJ79">
        <v>1.5</v>
      </c>
      <c r="BK79">
        <v>2.02</v>
      </c>
      <c r="BL79">
        <v>1.88</v>
      </c>
      <c r="BM79">
        <v>2.02</v>
      </c>
      <c r="BN79">
        <v>1.88</v>
      </c>
      <c r="BO79">
        <v>2.0499999999999998</v>
      </c>
      <c r="BP79">
        <v>1.91</v>
      </c>
      <c r="BQ79">
        <v>2</v>
      </c>
      <c r="BR79">
        <v>1.86</v>
      </c>
      <c r="BS79">
        <v>2.0499999999999998</v>
      </c>
      <c r="BT79">
        <v>1.91</v>
      </c>
      <c r="BU79">
        <v>8.5</v>
      </c>
      <c r="BV79">
        <v>5.5</v>
      </c>
      <c r="BW79">
        <v>1.33</v>
      </c>
      <c r="BX79">
        <v>7.5</v>
      </c>
      <c r="BY79">
        <v>5.5</v>
      </c>
      <c r="BZ79">
        <v>1.38</v>
      </c>
      <c r="CA79">
        <v>8.5</v>
      </c>
      <c r="CB79">
        <v>5</v>
      </c>
      <c r="CC79">
        <v>1.33</v>
      </c>
      <c r="CD79">
        <v>8.08</v>
      </c>
      <c r="CE79">
        <v>5.46</v>
      </c>
      <c r="CF79">
        <v>1.38</v>
      </c>
      <c r="CG79">
        <v>8.5</v>
      </c>
      <c r="CH79">
        <v>5.5</v>
      </c>
      <c r="CI79">
        <v>1.33</v>
      </c>
      <c r="CJ79">
        <v>9.11</v>
      </c>
      <c r="CK79">
        <v>5.6</v>
      </c>
      <c r="CL79">
        <v>1.34</v>
      </c>
      <c r="CM79">
        <v>9.11</v>
      </c>
      <c r="CN79">
        <v>6</v>
      </c>
      <c r="CO79">
        <v>1.39</v>
      </c>
      <c r="CP79">
        <v>8.3000000000000007</v>
      </c>
      <c r="CQ79">
        <v>5.48</v>
      </c>
      <c r="CR79">
        <v>1.35</v>
      </c>
      <c r="CS79">
        <v>9.6</v>
      </c>
      <c r="CT79">
        <v>5.8</v>
      </c>
      <c r="CU79">
        <v>1.38</v>
      </c>
      <c r="CV79">
        <v>1.5</v>
      </c>
      <c r="CW79">
        <v>2.63</v>
      </c>
      <c r="CX79">
        <v>1.5</v>
      </c>
      <c r="CY79">
        <v>2.7</v>
      </c>
      <c r="CZ79">
        <v>1.52</v>
      </c>
      <c r="DA79">
        <v>2.79</v>
      </c>
      <c r="DB79">
        <v>1.49</v>
      </c>
      <c r="DC79">
        <v>2.67</v>
      </c>
      <c r="DD79">
        <v>1.54</v>
      </c>
      <c r="DE79">
        <v>2.82</v>
      </c>
      <c r="DF79">
        <v>1.5</v>
      </c>
      <c r="DG79">
        <v>1.85</v>
      </c>
      <c r="DH79">
        <v>2.08</v>
      </c>
      <c r="DI79">
        <v>1.85</v>
      </c>
      <c r="DJ79">
        <v>2.09</v>
      </c>
      <c r="DK79">
        <v>1.94</v>
      </c>
      <c r="DL79">
        <v>2.09</v>
      </c>
      <c r="DM79">
        <v>1.87</v>
      </c>
      <c r="DN79">
        <v>2</v>
      </c>
      <c r="DO79">
        <v>1.89</v>
      </c>
      <c r="DP79">
        <v>2.09</v>
      </c>
    </row>
    <row r="80" spans="1:120" x14ac:dyDescent="0.3">
      <c r="A80" t="s">
        <v>120</v>
      </c>
      <c r="B80" t="s">
        <v>180</v>
      </c>
      <c r="C80" s="1">
        <v>0.6875</v>
      </c>
      <c r="D80" t="s">
        <v>129</v>
      </c>
      <c r="E80" t="s">
        <v>151</v>
      </c>
      <c r="F80">
        <v>2</v>
      </c>
      <c r="G80">
        <v>1</v>
      </c>
      <c r="H80" t="s">
        <v>124</v>
      </c>
      <c r="I80">
        <v>1</v>
      </c>
      <c r="J80">
        <v>0</v>
      </c>
      <c r="K80" t="s">
        <v>124</v>
      </c>
      <c r="L80" t="s">
        <v>173</v>
      </c>
      <c r="M80">
        <v>9</v>
      </c>
      <c r="N80">
        <v>12</v>
      </c>
      <c r="O80">
        <v>5</v>
      </c>
      <c r="P80">
        <v>2</v>
      </c>
      <c r="Q80">
        <v>12</v>
      </c>
      <c r="R80">
        <v>13</v>
      </c>
      <c r="S80">
        <v>1</v>
      </c>
      <c r="T80">
        <v>6</v>
      </c>
      <c r="U80">
        <v>4</v>
      </c>
      <c r="V80">
        <v>3</v>
      </c>
      <c r="W80">
        <v>0</v>
      </c>
      <c r="X80">
        <v>0</v>
      </c>
      <c r="Y80">
        <v>1.62</v>
      </c>
      <c r="Z80">
        <v>4.0999999999999996</v>
      </c>
      <c r="AA80">
        <v>5</v>
      </c>
      <c r="AB80">
        <v>1.66</v>
      </c>
      <c r="AC80">
        <v>4.2</v>
      </c>
      <c r="AD80">
        <v>4.75</v>
      </c>
      <c r="AE80">
        <v>1.65</v>
      </c>
      <c r="AF80">
        <v>4.2</v>
      </c>
      <c r="AG80">
        <v>5</v>
      </c>
      <c r="AH80">
        <v>1.62</v>
      </c>
      <c r="AI80">
        <v>4.47</v>
      </c>
      <c r="AJ80">
        <v>5.08</v>
      </c>
      <c r="AK80">
        <v>1.65</v>
      </c>
      <c r="AL80">
        <v>4.33</v>
      </c>
      <c r="AM80">
        <v>4.8</v>
      </c>
      <c r="AN80">
        <v>1.65</v>
      </c>
      <c r="AO80">
        <v>4.6900000000000004</v>
      </c>
      <c r="AP80">
        <v>4.84</v>
      </c>
      <c r="AQ80">
        <v>1.67</v>
      </c>
      <c r="AR80">
        <v>4.6900000000000004</v>
      </c>
      <c r="AS80">
        <v>5.0999999999999996</v>
      </c>
      <c r="AT80">
        <v>1.63</v>
      </c>
      <c r="AU80">
        <v>4.3899999999999997</v>
      </c>
      <c r="AV80">
        <v>4.8899999999999997</v>
      </c>
      <c r="AW80">
        <v>1.69</v>
      </c>
      <c r="AX80">
        <v>4.5</v>
      </c>
      <c r="AY80">
        <v>5.2</v>
      </c>
      <c r="AZ80">
        <v>1.4</v>
      </c>
      <c r="BA80">
        <v>3</v>
      </c>
      <c r="BB80">
        <v>1.41</v>
      </c>
      <c r="BC80">
        <v>3.02</v>
      </c>
      <c r="BD80">
        <v>1.43</v>
      </c>
      <c r="BE80">
        <v>3.07</v>
      </c>
      <c r="BF80">
        <v>1.4</v>
      </c>
      <c r="BG80">
        <v>2.93</v>
      </c>
      <c r="BH80">
        <v>1.46</v>
      </c>
      <c r="BI80">
        <v>3.1</v>
      </c>
      <c r="BJ80">
        <v>-1</v>
      </c>
      <c r="BK80">
        <v>2.0299999999999998</v>
      </c>
      <c r="BL80">
        <v>1.87</v>
      </c>
      <c r="BM80">
        <v>2</v>
      </c>
      <c r="BN80">
        <v>1.91</v>
      </c>
      <c r="BO80">
        <v>2.08</v>
      </c>
      <c r="BP80">
        <v>1.91</v>
      </c>
      <c r="BQ80">
        <v>2.02</v>
      </c>
      <c r="BR80">
        <v>1.85</v>
      </c>
      <c r="BS80">
        <v>2.06</v>
      </c>
      <c r="BT80">
        <v>1.89</v>
      </c>
      <c r="BU80">
        <v>1.67</v>
      </c>
      <c r="BV80">
        <v>4.33</v>
      </c>
      <c r="BW80">
        <v>4.2</v>
      </c>
      <c r="BX80">
        <v>1.68</v>
      </c>
      <c r="BY80">
        <v>4.33</v>
      </c>
      <c r="BZ80">
        <v>4.5</v>
      </c>
      <c r="CA80">
        <v>1.65</v>
      </c>
      <c r="CB80">
        <v>4.5</v>
      </c>
      <c r="CC80">
        <v>4.75</v>
      </c>
      <c r="CD80">
        <v>1.72</v>
      </c>
      <c r="CE80">
        <v>4.4000000000000004</v>
      </c>
      <c r="CF80">
        <v>4.55</v>
      </c>
      <c r="CG80">
        <v>1.67</v>
      </c>
      <c r="CH80">
        <v>4.33</v>
      </c>
      <c r="CI80">
        <v>4.5999999999999996</v>
      </c>
      <c r="CJ80">
        <v>1.68</v>
      </c>
      <c r="CK80">
        <v>4.58</v>
      </c>
      <c r="CL80">
        <v>4.58</v>
      </c>
      <c r="CM80">
        <v>1.72</v>
      </c>
      <c r="CN80">
        <v>4.5999999999999996</v>
      </c>
      <c r="CO80">
        <v>5</v>
      </c>
      <c r="CP80">
        <v>1.67</v>
      </c>
      <c r="CQ80">
        <v>4.45</v>
      </c>
      <c r="CR80">
        <v>4.63</v>
      </c>
      <c r="CS80">
        <v>1.69</v>
      </c>
      <c r="CT80">
        <v>4.7</v>
      </c>
      <c r="CU80">
        <v>5</v>
      </c>
      <c r="CV80">
        <v>1.4</v>
      </c>
      <c r="CW80">
        <v>3</v>
      </c>
      <c r="CX80">
        <v>1.41</v>
      </c>
      <c r="CY80">
        <v>3.02</v>
      </c>
      <c r="CZ80">
        <v>1.42</v>
      </c>
      <c r="DA80">
        <v>3.3</v>
      </c>
      <c r="DB80">
        <v>1.39</v>
      </c>
      <c r="DC80">
        <v>3.04</v>
      </c>
      <c r="DD80">
        <v>1.44</v>
      </c>
      <c r="DE80">
        <v>3.25</v>
      </c>
      <c r="DF80">
        <v>-0.75</v>
      </c>
      <c r="DG80">
        <v>1.9</v>
      </c>
      <c r="DH80">
        <v>2.0299999999999998</v>
      </c>
      <c r="DI80">
        <v>1.92</v>
      </c>
      <c r="DJ80">
        <v>2.0099999999999998</v>
      </c>
      <c r="DK80">
        <v>1.92</v>
      </c>
      <c r="DL80">
        <v>2.1</v>
      </c>
      <c r="DM80">
        <v>1.83</v>
      </c>
      <c r="DN80">
        <v>2.0499999999999998</v>
      </c>
      <c r="DO80">
        <v>1.85</v>
      </c>
      <c r="DP80">
        <v>2.15</v>
      </c>
    </row>
    <row r="81" spans="1:120" x14ac:dyDescent="0.3">
      <c r="A81" t="s">
        <v>120</v>
      </c>
      <c r="B81" t="s">
        <v>181</v>
      </c>
      <c r="C81" s="1">
        <v>0.83333333333333337</v>
      </c>
      <c r="D81" t="s">
        <v>141</v>
      </c>
      <c r="E81" t="s">
        <v>149</v>
      </c>
      <c r="F81">
        <v>1</v>
      </c>
      <c r="G81">
        <v>0</v>
      </c>
      <c r="H81" t="s">
        <v>124</v>
      </c>
      <c r="I81">
        <v>0</v>
      </c>
      <c r="J81">
        <v>0</v>
      </c>
      <c r="K81" t="s">
        <v>125</v>
      </c>
      <c r="L81" t="s">
        <v>131</v>
      </c>
      <c r="M81">
        <v>20</v>
      </c>
      <c r="N81">
        <v>20</v>
      </c>
      <c r="O81">
        <v>6</v>
      </c>
      <c r="P81">
        <v>7</v>
      </c>
      <c r="Q81">
        <v>9</v>
      </c>
      <c r="R81">
        <v>12</v>
      </c>
      <c r="S81">
        <v>6</v>
      </c>
      <c r="T81">
        <v>6</v>
      </c>
      <c r="U81">
        <v>2</v>
      </c>
      <c r="V81">
        <v>3</v>
      </c>
      <c r="W81">
        <v>0</v>
      </c>
      <c r="X81">
        <v>0</v>
      </c>
      <c r="Y81">
        <v>2.2999999999999998</v>
      </c>
      <c r="Z81">
        <v>3.5</v>
      </c>
      <c r="AA81">
        <v>3</v>
      </c>
      <c r="AB81">
        <v>2.37</v>
      </c>
      <c r="AC81">
        <v>3.25</v>
      </c>
      <c r="AD81">
        <v>3.1</v>
      </c>
      <c r="AE81">
        <v>2.38</v>
      </c>
      <c r="AF81">
        <v>3.2</v>
      </c>
      <c r="AG81">
        <v>3</v>
      </c>
      <c r="AH81">
        <v>2.41</v>
      </c>
      <c r="AI81">
        <v>3.28</v>
      </c>
      <c r="AJ81">
        <v>3.19</v>
      </c>
      <c r="AK81">
        <v>2.38</v>
      </c>
      <c r="AL81">
        <v>3.25</v>
      </c>
      <c r="AM81">
        <v>3.2</v>
      </c>
      <c r="AN81">
        <v>2.41</v>
      </c>
      <c r="AO81">
        <v>3.41</v>
      </c>
      <c r="AP81">
        <v>3.16</v>
      </c>
      <c r="AQ81">
        <v>2.41</v>
      </c>
      <c r="AR81">
        <v>3.5</v>
      </c>
      <c r="AS81">
        <v>3.21</v>
      </c>
      <c r="AT81">
        <v>2.36</v>
      </c>
      <c r="AU81">
        <v>3.31</v>
      </c>
      <c r="AV81">
        <v>3.11</v>
      </c>
      <c r="AW81">
        <v>2.48</v>
      </c>
      <c r="AX81">
        <v>3.4</v>
      </c>
      <c r="AY81">
        <v>3.2</v>
      </c>
      <c r="AZ81">
        <v>2.1</v>
      </c>
      <c r="BA81">
        <v>1.73</v>
      </c>
      <c r="BB81">
        <v>2.17</v>
      </c>
      <c r="BC81">
        <v>1.75</v>
      </c>
      <c r="BD81">
        <v>2.23</v>
      </c>
      <c r="BE81">
        <v>1.76</v>
      </c>
      <c r="BF81">
        <v>2.14</v>
      </c>
      <c r="BG81">
        <v>1.73</v>
      </c>
      <c r="BH81">
        <v>2.2599999999999998</v>
      </c>
      <c r="BI81">
        <v>1.75</v>
      </c>
      <c r="BJ81">
        <v>-0.25</v>
      </c>
      <c r="BK81">
        <v>2.06</v>
      </c>
      <c r="BL81">
        <v>1.84</v>
      </c>
      <c r="BM81">
        <v>2.0699999999999998</v>
      </c>
      <c r="BN81">
        <v>1.85</v>
      </c>
      <c r="BO81">
        <v>2.08</v>
      </c>
      <c r="BP81">
        <v>1.85</v>
      </c>
      <c r="BQ81">
        <v>2.0099999999999998</v>
      </c>
      <c r="BR81">
        <v>1.83</v>
      </c>
      <c r="BS81">
        <v>2.13</v>
      </c>
      <c r="BT81">
        <v>1.87</v>
      </c>
      <c r="BU81">
        <v>2.2999999999999998</v>
      </c>
      <c r="BV81">
        <v>3.3</v>
      </c>
      <c r="BW81">
        <v>3.1</v>
      </c>
      <c r="BX81">
        <v>2.35</v>
      </c>
      <c r="BY81">
        <v>3.2</v>
      </c>
      <c r="BZ81">
        <v>3.25</v>
      </c>
      <c r="CA81">
        <v>2.2999999999999998</v>
      </c>
      <c r="CB81">
        <v>3.1</v>
      </c>
      <c r="CC81">
        <v>3.25</v>
      </c>
      <c r="CD81">
        <v>2.38</v>
      </c>
      <c r="CE81">
        <v>3.3</v>
      </c>
      <c r="CF81">
        <v>3.29</v>
      </c>
      <c r="CG81">
        <v>2.38</v>
      </c>
      <c r="CH81">
        <v>3.2</v>
      </c>
      <c r="CI81">
        <v>3.25</v>
      </c>
      <c r="CJ81">
        <v>2.2999999999999998</v>
      </c>
      <c r="CK81">
        <v>3.39</v>
      </c>
      <c r="CL81">
        <v>3.32</v>
      </c>
      <c r="CM81">
        <v>2.42</v>
      </c>
      <c r="CN81">
        <v>3.39</v>
      </c>
      <c r="CO81">
        <v>3.32</v>
      </c>
      <c r="CP81">
        <v>2.36</v>
      </c>
      <c r="CQ81">
        <v>3.26</v>
      </c>
      <c r="CR81">
        <v>3.23</v>
      </c>
      <c r="CS81">
        <v>2.44</v>
      </c>
      <c r="CT81">
        <v>3.35</v>
      </c>
      <c r="CU81">
        <v>3.35</v>
      </c>
      <c r="CV81">
        <v>2.2999999999999998</v>
      </c>
      <c r="CW81">
        <v>1.62</v>
      </c>
      <c r="CX81">
        <v>2.36</v>
      </c>
      <c r="CY81">
        <v>1.65</v>
      </c>
      <c r="CZ81">
        <v>2.38</v>
      </c>
      <c r="DA81">
        <v>1.68</v>
      </c>
      <c r="DB81">
        <v>2.31</v>
      </c>
      <c r="DC81">
        <v>1.64</v>
      </c>
      <c r="DD81">
        <v>2.42</v>
      </c>
      <c r="DE81">
        <v>1.7</v>
      </c>
      <c r="DF81">
        <v>-0.25</v>
      </c>
      <c r="DG81">
        <v>2.0499999999999998</v>
      </c>
      <c r="DH81">
        <v>1.88</v>
      </c>
      <c r="DI81">
        <v>2.04</v>
      </c>
      <c r="DJ81">
        <v>1.88</v>
      </c>
      <c r="DK81">
        <v>2.06</v>
      </c>
      <c r="DL81">
        <v>1.91</v>
      </c>
      <c r="DM81">
        <v>2.0099999999999998</v>
      </c>
      <c r="DN81">
        <v>1.86</v>
      </c>
      <c r="DO81">
        <v>2.06</v>
      </c>
      <c r="DP81">
        <v>1.93</v>
      </c>
    </row>
    <row r="82" spans="1:120" x14ac:dyDescent="0.3">
      <c r="A82" t="s">
        <v>120</v>
      </c>
      <c r="B82" t="s">
        <v>182</v>
      </c>
      <c r="C82" s="1">
        <v>0.83333333333333337</v>
      </c>
      <c r="D82" t="s">
        <v>155</v>
      </c>
      <c r="E82" t="s">
        <v>141</v>
      </c>
      <c r="F82">
        <v>1</v>
      </c>
      <c r="G82">
        <v>3</v>
      </c>
      <c r="H82" t="s">
        <v>130</v>
      </c>
      <c r="I82">
        <v>1</v>
      </c>
      <c r="J82">
        <v>1</v>
      </c>
      <c r="K82" t="s">
        <v>125</v>
      </c>
      <c r="L82" t="s">
        <v>140</v>
      </c>
      <c r="M82">
        <v>11</v>
      </c>
      <c r="N82">
        <v>20</v>
      </c>
      <c r="O82">
        <v>1</v>
      </c>
      <c r="P82">
        <v>5</v>
      </c>
      <c r="Q82">
        <v>16</v>
      </c>
      <c r="R82">
        <v>9</v>
      </c>
      <c r="S82">
        <v>6</v>
      </c>
      <c r="T82">
        <v>7</v>
      </c>
      <c r="U82">
        <v>5</v>
      </c>
      <c r="V82">
        <v>2</v>
      </c>
      <c r="W82">
        <v>0</v>
      </c>
      <c r="X82">
        <v>0</v>
      </c>
      <c r="Y82">
        <v>3</v>
      </c>
      <c r="Z82">
        <v>3.3</v>
      </c>
      <c r="AA82">
        <v>2.4</v>
      </c>
      <c r="AB82">
        <v>3</v>
      </c>
      <c r="AC82">
        <v>3.25</v>
      </c>
      <c r="AD82">
        <v>2.4</v>
      </c>
      <c r="AE82">
        <v>3.1</v>
      </c>
      <c r="AF82">
        <v>3.3</v>
      </c>
      <c r="AG82">
        <v>2.4</v>
      </c>
      <c r="AH82">
        <v>3.14</v>
      </c>
      <c r="AI82">
        <v>3.35</v>
      </c>
      <c r="AJ82">
        <v>2.4300000000000002</v>
      </c>
      <c r="AK82">
        <v>3.1</v>
      </c>
      <c r="AL82">
        <v>3.3</v>
      </c>
      <c r="AM82">
        <v>2.38</v>
      </c>
      <c r="AN82">
        <v>3.1</v>
      </c>
      <c r="AO82">
        <v>3.45</v>
      </c>
      <c r="AP82">
        <v>2.42</v>
      </c>
      <c r="AQ82">
        <v>3.2</v>
      </c>
      <c r="AR82">
        <v>3.45</v>
      </c>
      <c r="AS82">
        <v>2.4500000000000002</v>
      </c>
      <c r="AT82">
        <v>3.09</v>
      </c>
      <c r="AU82">
        <v>3.32</v>
      </c>
      <c r="AV82">
        <v>2.41</v>
      </c>
      <c r="AW82">
        <v>3.2</v>
      </c>
      <c r="AX82">
        <v>3.4</v>
      </c>
      <c r="AY82">
        <v>2.48</v>
      </c>
      <c r="AZ82">
        <v>2</v>
      </c>
      <c r="BA82">
        <v>1.8</v>
      </c>
      <c r="BB82">
        <v>2.12</v>
      </c>
      <c r="BC82">
        <v>1.79</v>
      </c>
      <c r="BD82">
        <v>2.13</v>
      </c>
      <c r="BE82">
        <v>1.82</v>
      </c>
      <c r="BF82">
        <v>2.06</v>
      </c>
      <c r="BG82">
        <v>1.79</v>
      </c>
      <c r="BH82">
        <v>2.16</v>
      </c>
      <c r="BI82">
        <v>1.83</v>
      </c>
      <c r="BJ82">
        <v>0.25</v>
      </c>
      <c r="BK82">
        <v>1.83</v>
      </c>
      <c r="BL82">
        <v>2.0699999999999998</v>
      </c>
      <c r="BM82">
        <v>1.85</v>
      </c>
      <c r="BN82">
        <v>2.09</v>
      </c>
      <c r="BO82">
        <v>1.86</v>
      </c>
      <c r="BP82">
        <v>2.09</v>
      </c>
      <c r="BQ82">
        <v>1.82</v>
      </c>
      <c r="BR82">
        <v>2.04</v>
      </c>
      <c r="BS82">
        <v>1.86</v>
      </c>
      <c r="BT82">
        <v>2.12</v>
      </c>
      <c r="BU82">
        <v>2.88</v>
      </c>
      <c r="BV82">
        <v>3.4</v>
      </c>
      <c r="BW82">
        <v>2.4500000000000002</v>
      </c>
      <c r="BX82">
        <v>2.9</v>
      </c>
      <c r="BY82">
        <v>3.3</v>
      </c>
      <c r="BZ82">
        <v>2.4500000000000002</v>
      </c>
      <c r="CA82">
        <v>3</v>
      </c>
      <c r="CB82">
        <v>3.25</v>
      </c>
      <c r="CC82">
        <v>2.38</v>
      </c>
      <c r="CD82">
        <v>3.07</v>
      </c>
      <c r="CE82">
        <v>3.4</v>
      </c>
      <c r="CF82">
        <v>2.46</v>
      </c>
      <c r="CG82">
        <v>3</v>
      </c>
      <c r="CH82">
        <v>3.3</v>
      </c>
      <c r="CI82">
        <v>2.4500000000000002</v>
      </c>
      <c r="CJ82">
        <v>2.87</v>
      </c>
      <c r="CK82">
        <v>3.48</v>
      </c>
      <c r="CL82">
        <v>2.5299999999999998</v>
      </c>
      <c r="CM82">
        <v>3.08</v>
      </c>
      <c r="CN82">
        <v>3.48</v>
      </c>
      <c r="CO82">
        <v>2.5299999999999998</v>
      </c>
      <c r="CP82">
        <v>2.96</v>
      </c>
      <c r="CQ82">
        <v>3.35</v>
      </c>
      <c r="CR82">
        <v>2.4500000000000002</v>
      </c>
      <c r="CS82">
        <v>3.15</v>
      </c>
      <c r="CT82">
        <v>3.45</v>
      </c>
      <c r="CU82">
        <v>2.52</v>
      </c>
      <c r="CV82">
        <v>2.0099999999999998</v>
      </c>
      <c r="CW82">
        <v>1.89</v>
      </c>
      <c r="CX82">
        <v>2.0299999999999998</v>
      </c>
      <c r="CY82">
        <v>1.88</v>
      </c>
      <c r="CZ82">
        <v>2.04</v>
      </c>
      <c r="DA82">
        <v>1.91</v>
      </c>
      <c r="DB82">
        <v>2</v>
      </c>
      <c r="DC82">
        <v>1.85</v>
      </c>
      <c r="DD82">
        <v>2.08</v>
      </c>
      <c r="DE82">
        <v>1.92</v>
      </c>
      <c r="DF82">
        <v>0.25</v>
      </c>
      <c r="DG82">
        <v>1.73</v>
      </c>
      <c r="DH82">
        <v>2.08</v>
      </c>
      <c r="DI82">
        <v>1.83</v>
      </c>
      <c r="DJ82">
        <v>2.12</v>
      </c>
      <c r="DK82">
        <v>1.83</v>
      </c>
      <c r="DL82">
        <v>2.15</v>
      </c>
      <c r="DM82">
        <v>1.78</v>
      </c>
      <c r="DN82">
        <v>2.08</v>
      </c>
      <c r="DO82">
        <v>1.85</v>
      </c>
      <c r="DP82">
        <v>2.16</v>
      </c>
    </row>
    <row r="83" spans="1:120" x14ac:dyDescent="0.3">
      <c r="A83" t="s">
        <v>120</v>
      </c>
      <c r="B83" t="s">
        <v>183</v>
      </c>
      <c r="C83" s="1">
        <v>0.625</v>
      </c>
      <c r="D83" t="s">
        <v>145</v>
      </c>
      <c r="E83" t="s">
        <v>142</v>
      </c>
      <c r="F83">
        <v>1</v>
      </c>
      <c r="G83">
        <v>1</v>
      </c>
      <c r="H83" t="s">
        <v>125</v>
      </c>
      <c r="I83">
        <v>0</v>
      </c>
      <c r="J83">
        <v>0</v>
      </c>
      <c r="K83" t="s">
        <v>125</v>
      </c>
      <c r="L83" t="s">
        <v>176</v>
      </c>
      <c r="M83">
        <v>18</v>
      </c>
      <c r="N83">
        <v>11</v>
      </c>
      <c r="O83">
        <v>8</v>
      </c>
      <c r="P83">
        <v>3</v>
      </c>
      <c r="Q83">
        <v>12</v>
      </c>
      <c r="R83">
        <v>14</v>
      </c>
      <c r="S83">
        <v>9</v>
      </c>
      <c r="T83">
        <v>7</v>
      </c>
      <c r="U83">
        <v>7</v>
      </c>
      <c r="V83">
        <v>6</v>
      </c>
      <c r="W83">
        <v>0</v>
      </c>
      <c r="X83">
        <v>0</v>
      </c>
      <c r="Y83">
        <v>1.85</v>
      </c>
      <c r="Z83">
        <v>3.9</v>
      </c>
      <c r="AA83">
        <v>3.8</v>
      </c>
      <c r="AB83">
        <v>1.87</v>
      </c>
      <c r="AC83">
        <v>3.9</v>
      </c>
      <c r="AD83">
        <v>3.9</v>
      </c>
      <c r="AE83">
        <v>1.85</v>
      </c>
      <c r="AF83">
        <v>3.9</v>
      </c>
      <c r="AG83">
        <v>4</v>
      </c>
      <c r="AH83">
        <v>1.86</v>
      </c>
      <c r="AI83">
        <v>4</v>
      </c>
      <c r="AJ83">
        <v>4.03</v>
      </c>
      <c r="AK83">
        <v>1.85</v>
      </c>
      <c r="AL83">
        <v>3.9</v>
      </c>
      <c r="AM83">
        <v>4</v>
      </c>
      <c r="AN83">
        <v>1.9</v>
      </c>
      <c r="AO83">
        <v>4</v>
      </c>
      <c r="AP83">
        <v>4.03</v>
      </c>
      <c r="AQ83">
        <v>1.9</v>
      </c>
      <c r="AR83">
        <v>4.0999999999999996</v>
      </c>
      <c r="AS83">
        <v>4.0999999999999996</v>
      </c>
      <c r="AT83">
        <v>1.86</v>
      </c>
      <c r="AU83">
        <v>3.97</v>
      </c>
      <c r="AV83">
        <v>3.97</v>
      </c>
      <c r="AW83">
        <v>1.9</v>
      </c>
      <c r="AX83">
        <v>4.0999999999999996</v>
      </c>
      <c r="AY83">
        <v>4.3</v>
      </c>
      <c r="AZ83">
        <v>1.57</v>
      </c>
      <c r="BA83">
        <v>2.38</v>
      </c>
      <c r="BB83">
        <v>1.61</v>
      </c>
      <c r="BC83">
        <v>2.42</v>
      </c>
      <c r="BD83">
        <v>1.62</v>
      </c>
      <c r="BE83">
        <v>2.4500000000000002</v>
      </c>
      <c r="BF83">
        <v>1.6</v>
      </c>
      <c r="BG83">
        <v>2.39</v>
      </c>
      <c r="BH83">
        <v>1.65</v>
      </c>
      <c r="BI83">
        <v>2.46</v>
      </c>
      <c r="BJ83">
        <v>-0.5</v>
      </c>
      <c r="BK83">
        <v>1.86</v>
      </c>
      <c r="BL83">
        <v>2.04</v>
      </c>
      <c r="BM83">
        <v>1.87</v>
      </c>
      <c r="BN83">
        <v>2.04</v>
      </c>
      <c r="BO83">
        <v>1.88</v>
      </c>
      <c r="BP83">
        <v>2.0699999999999998</v>
      </c>
      <c r="BQ83">
        <v>1.84</v>
      </c>
      <c r="BR83">
        <v>2.02</v>
      </c>
      <c r="BS83">
        <v>1.9</v>
      </c>
      <c r="BT83">
        <v>2.09</v>
      </c>
      <c r="BU83">
        <v>1.75</v>
      </c>
      <c r="BV83">
        <v>3.9</v>
      </c>
      <c r="BW83">
        <v>4.33</v>
      </c>
      <c r="BX83">
        <v>1.77</v>
      </c>
      <c r="BY83">
        <v>3.9</v>
      </c>
      <c r="BZ83">
        <v>4.33</v>
      </c>
      <c r="CA83">
        <v>1.8</v>
      </c>
      <c r="CB83">
        <v>3.9</v>
      </c>
      <c r="CC83">
        <v>4.4000000000000004</v>
      </c>
      <c r="CD83">
        <v>1.79</v>
      </c>
      <c r="CE83">
        <v>3.97</v>
      </c>
      <c r="CF83">
        <v>4.54</v>
      </c>
      <c r="CG83">
        <v>1.8</v>
      </c>
      <c r="CH83">
        <v>3.9</v>
      </c>
      <c r="CI83">
        <v>4.33</v>
      </c>
      <c r="CJ83">
        <v>1.79</v>
      </c>
      <c r="CK83">
        <v>3.94</v>
      </c>
      <c r="CL83">
        <v>4.59</v>
      </c>
      <c r="CM83">
        <v>1.86</v>
      </c>
      <c r="CN83">
        <v>4.0999999999999996</v>
      </c>
      <c r="CO83">
        <v>4.59</v>
      </c>
      <c r="CP83">
        <v>1.81</v>
      </c>
      <c r="CQ83">
        <v>3.93</v>
      </c>
      <c r="CR83">
        <v>4.32</v>
      </c>
      <c r="CS83">
        <v>1.86</v>
      </c>
      <c r="CT83">
        <v>4</v>
      </c>
      <c r="CU83">
        <v>4.5999999999999996</v>
      </c>
      <c r="CV83">
        <v>1.62</v>
      </c>
      <c r="CW83">
        <v>2.2999999999999998</v>
      </c>
      <c r="CX83">
        <v>1.64</v>
      </c>
      <c r="CY83">
        <v>2.36</v>
      </c>
      <c r="CZ83">
        <v>1.68</v>
      </c>
      <c r="DA83">
        <v>2.4900000000000002</v>
      </c>
      <c r="DB83">
        <v>1.63</v>
      </c>
      <c r="DC83">
        <v>2.33</v>
      </c>
      <c r="DD83">
        <v>1.68</v>
      </c>
      <c r="DE83">
        <v>2.44</v>
      </c>
      <c r="DF83">
        <v>-0.75</v>
      </c>
      <c r="DG83">
        <v>2.04</v>
      </c>
      <c r="DH83">
        <v>1.89</v>
      </c>
      <c r="DI83">
        <v>2.0299999999999998</v>
      </c>
      <c r="DJ83">
        <v>1.9</v>
      </c>
      <c r="DK83">
        <v>2.08</v>
      </c>
      <c r="DL83">
        <v>1.9</v>
      </c>
      <c r="DM83">
        <v>2.02</v>
      </c>
      <c r="DN83">
        <v>1.85</v>
      </c>
      <c r="DO83">
        <v>2.11</v>
      </c>
      <c r="DP83">
        <v>1.89</v>
      </c>
    </row>
    <row r="84" spans="1:120" x14ac:dyDescent="0.3">
      <c r="A84" t="s">
        <v>120</v>
      </c>
      <c r="B84" t="s">
        <v>183</v>
      </c>
      <c r="C84" s="1">
        <v>0.625</v>
      </c>
      <c r="D84" t="s">
        <v>148</v>
      </c>
      <c r="E84" t="s">
        <v>128</v>
      </c>
      <c r="F84">
        <v>4</v>
      </c>
      <c r="G84">
        <v>3</v>
      </c>
      <c r="H84" t="s">
        <v>124</v>
      </c>
      <c r="I84">
        <v>2</v>
      </c>
      <c r="J84">
        <v>2</v>
      </c>
      <c r="K84" t="s">
        <v>125</v>
      </c>
      <c r="L84" t="s">
        <v>167</v>
      </c>
      <c r="M84">
        <v>20</v>
      </c>
      <c r="N84">
        <v>11</v>
      </c>
      <c r="O84">
        <v>9</v>
      </c>
      <c r="P84">
        <v>5</v>
      </c>
      <c r="Q84">
        <v>7</v>
      </c>
      <c r="R84">
        <v>10</v>
      </c>
      <c r="S84">
        <v>5</v>
      </c>
      <c r="T84">
        <v>5</v>
      </c>
      <c r="U84">
        <v>0</v>
      </c>
      <c r="V84">
        <v>1</v>
      </c>
      <c r="W84">
        <v>0</v>
      </c>
      <c r="X84">
        <v>1</v>
      </c>
      <c r="Y84">
        <v>1.65</v>
      </c>
      <c r="Z84">
        <v>4.33</v>
      </c>
      <c r="AA84">
        <v>4.75</v>
      </c>
      <c r="AB84">
        <v>1.68</v>
      </c>
      <c r="AC84">
        <v>4.2</v>
      </c>
      <c r="AD84">
        <v>4.75</v>
      </c>
      <c r="AE84">
        <v>1.65</v>
      </c>
      <c r="AF84">
        <v>4.2</v>
      </c>
      <c r="AG84">
        <v>5</v>
      </c>
      <c r="AH84">
        <v>1.65</v>
      </c>
      <c r="AI84">
        <v>4.3499999999999996</v>
      </c>
      <c r="AJ84">
        <v>4.9400000000000004</v>
      </c>
      <c r="AK84">
        <v>1.7</v>
      </c>
      <c r="AL84">
        <v>4.2</v>
      </c>
      <c r="AM84">
        <v>4.5999999999999996</v>
      </c>
      <c r="AN84">
        <v>1.71</v>
      </c>
      <c r="AO84">
        <v>4.38</v>
      </c>
      <c r="AP84">
        <v>4.6900000000000004</v>
      </c>
      <c r="AQ84">
        <v>1.71</v>
      </c>
      <c r="AR84">
        <v>4.4000000000000004</v>
      </c>
      <c r="AS84">
        <v>5.0999999999999996</v>
      </c>
      <c r="AT84">
        <v>1.67</v>
      </c>
      <c r="AU84">
        <v>4.2699999999999996</v>
      </c>
      <c r="AV84">
        <v>4.8600000000000003</v>
      </c>
      <c r="AW84">
        <v>1.71</v>
      </c>
      <c r="AX84">
        <v>4.4000000000000004</v>
      </c>
      <c r="AY84">
        <v>5.2</v>
      </c>
      <c r="AZ84">
        <v>1.67</v>
      </c>
      <c r="BA84">
        <v>2.2000000000000002</v>
      </c>
      <c r="BB84">
        <v>1.67</v>
      </c>
      <c r="BC84">
        <v>2.29</v>
      </c>
      <c r="BD84">
        <v>1.69</v>
      </c>
      <c r="BE84">
        <v>2.33</v>
      </c>
      <c r="BF84">
        <v>1.65</v>
      </c>
      <c r="BG84">
        <v>2.2799999999999998</v>
      </c>
      <c r="BH84">
        <v>1.69</v>
      </c>
      <c r="BI84">
        <v>2.3199999999999998</v>
      </c>
      <c r="BJ84">
        <v>-0.75</v>
      </c>
      <c r="BK84">
        <v>1.82</v>
      </c>
      <c r="BL84">
        <v>2.08</v>
      </c>
      <c r="BM84">
        <v>1.83</v>
      </c>
      <c r="BN84">
        <v>2.09</v>
      </c>
      <c r="BO84">
        <v>1.86</v>
      </c>
      <c r="BP84">
        <v>2.11</v>
      </c>
      <c r="BQ84">
        <v>1.81</v>
      </c>
      <c r="BR84">
        <v>2.04</v>
      </c>
      <c r="BS84">
        <v>1.89</v>
      </c>
      <c r="BT84">
        <v>2.09</v>
      </c>
      <c r="BU84">
        <v>1.67</v>
      </c>
      <c r="BV84">
        <v>4.2</v>
      </c>
      <c r="BW84">
        <v>4.75</v>
      </c>
      <c r="BX84">
        <v>1.65</v>
      </c>
      <c r="BY84">
        <v>4.0999999999999996</v>
      </c>
      <c r="BZ84">
        <v>5</v>
      </c>
      <c r="CA84">
        <v>1.67</v>
      </c>
      <c r="CB84">
        <v>4</v>
      </c>
      <c r="CC84">
        <v>5</v>
      </c>
      <c r="CD84">
        <v>1.68</v>
      </c>
      <c r="CE84">
        <v>4.16</v>
      </c>
      <c r="CF84">
        <v>5.19</v>
      </c>
      <c r="CG84">
        <v>1.65</v>
      </c>
      <c r="CH84">
        <v>4.2</v>
      </c>
      <c r="CI84">
        <v>5</v>
      </c>
      <c r="CJ84">
        <v>1.68</v>
      </c>
      <c r="CK84">
        <v>4.2699999999999996</v>
      </c>
      <c r="CL84">
        <v>5.01</v>
      </c>
      <c r="CM84">
        <v>1.71</v>
      </c>
      <c r="CN84">
        <v>4.33</v>
      </c>
      <c r="CO84">
        <v>5.5</v>
      </c>
      <c r="CP84">
        <v>1.66</v>
      </c>
      <c r="CQ84">
        <v>4.16</v>
      </c>
      <c r="CR84">
        <v>5.07</v>
      </c>
      <c r="CS84">
        <v>1.71</v>
      </c>
      <c r="CT84">
        <v>4.2</v>
      </c>
      <c r="CU84">
        <v>5.5</v>
      </c>
      <c r="CV84">
        <v>1.67</v>
      </c>
      <c r="CW84">
        <v>2.2000000000000002</v>
      </c>
      <c r="CX84">
        <v>1.71</v>
      </c>
      <c r="CY84">
        <v>2.2400000000000002</v>
      </c>
      <c r="CZ84">
        <v>1.73</v>
      </c>
      <c r="DA84">
        <v>2.2999999999999998</v>
      </c>
      <c r="DB84">
        <v>1.68</v>
      </c>
      <c r="DC84">
        <v>2.2400000000000002</v>
      </c>
      <c r="DD84">
        <v>1.73</v>
      </c>
      <c r="DE84">
        <v>2.34</v>
      </c>
      <c r="DF84">
        <v>-0.75</v>
      </c>
      <c r="DG84">
        <v>1.85</v>
      </c>
      <c r="DH84">
        <v>2.08</v>
      </c>
      <c r="DI84">
        <v>1.86</v>
      </c>
      <c r="DJ84">
        <v>2.08</v>
      </c>
      <c r="DK84">
        <v>1.88</v>
      </c>
      <c r="DL84">
        <v>2.08</v>
      </c>
      <c r="DM84">
        <v>1.83</v>
      </c>
      <c r="DN84">
        <v>2.04</v>
      </c>
      <c r="DO84">
        <v>1.89</v>
      </c>
      <c r="DP84">
        <v>2.09</v>
      </c>
    </row>
    <row r="85" spans="1:120" x14ac:dyDescent="0.3">
      <c r="A85" t="s">
        <v>120</v>
      </c>
      <c r="B85" t="s">
        <v>183</v>
      </c>
      <c r="C85" s="1">
        <v>0.625</v>
      </c>
      <c r="D85" t="s">
        <v>136</v>
      </c>
      <c r="E85" t="s">
        <v>133</v>
      </c>
      <c r="F85">
        <v>2</v>
      </c>
      <c r="G85">
        <v>2</v>
      </c>
      <c r="H85" t="s">
        <v>125</v>
      </c>
      <c r="I85">
        <v>1</v>
      </c>
      <c r="J85">
        <v>0</v>
      </c>
      <c r="K85" t="s">
        <v>124</v>
      </c>
      <c r="L85" t="s">
        <v>143</v>
      </c>
      <c r="M85">
        <v>19</v>
      </c>
      <c r="N85">
        <v>14</v>
      </c>
      <c r="O85">
        <v>6</v>
      </c>
      <c r="P85">
        <v>7</v>
      </c>
      <c r="Q85">
        <v>12</v>
      </c>
      <c r="R85">
        <v>10</v>
      </c>
      <c r="S85">
        <v>9</v>
      </c>
      <c r="T85">
        <v>6</v>
      </c>
      <c r="U85">
        <v>3</v>
      </c>
      <c r="V85">
        <v>3</v>
      </c>
      <c r="W85">
        <v>0</v>
      </c>
      <c r="X85">
        <v>0</v>
      </c>
      <c r="Y85">
        <v>1.62</v>
      </c>
      <c r="Z85">
        <v>4.5</v>
      </c>
      <c r="AA85">
        <v>4.5</v>
      </c>
      <c r="AB85">
        <v>1.62</v>
      </c>
      <c r="AC85">
        <v>4.33</v>
      </c>
      <c r="AD85">
        <v>5</v>
      </c>
      <c r="AE85">
        <v>1.62</v>
      </c>
      <c r="AF85">
        <v>4.33</v>
      </c>
      <c r="AG85">
        <v>5</v>
      </c>
      <c r="AH85">
        <v>1.66</v>
      </c>
      <c r="AI85">
        <v>4.34</v>
      </c>
      <c r="AJ85">
        <v>4.9000000000000004</v>
      </c>
      <c r="AK85">
        <v>1.65</v>
      </c>
      <c r="AL85">
        <v>4.2</v>
      </c>
      <c r="AM85">
        <v>5</v>
      </c>
      <c r="AN85">
        <v>1.68</v>
      </c>
      <c r="AO85">
        <v>4.38</v>
      </c>
      <c r="AP85">
        <v>4.9400000000000004</v>
      </c>
      <c r="AQ85">
        <v>1.68</v>
      </c>
      <c r="AR85">
        <v>4.5</v>
      </c>
      <c r="AS85">
        <v>5.0999999999999996</v>
      </c>
      <c r="AT85">
        <v>1.64</v>
      </c>
      <c r="AU85">
        <v>4.32</v>
      </c>
      <c r="AV85">
        <v>4.9400000000000004</v>
      </c>
      <c r="AW85">
        <v>1.67</v>
      </c>
      <c r="AX85">
        <v>4.5</v>
      </c>
      <c r="AY85">
        <v>5.5</v>
      </c>
      <c r="AZ85">
        <v>1.57</v>
      </c>
      <c r="BA85">
        <v>2.38</v>
      </c>
      <c r="BB85">
        <v>1.59</v>
      </c>
      <c r="BC85">
        <v>2.46</v>
      </c>
      <c r="BD85">
        <v>1.6</v>
      </c>
      <c r="BE85">
        <v>2.5</v>
      </c>
      <c r="BF85">
        <v>1.56</v>
      </c>
      <c r="BG85">
        <v>2.4300000000000002</v>
      </c>
      <c r="BH85">
        <v>1.61</v>
      </c>
      <c r="BI85">
        <v>2.52</v>
      </c>
      <c r="BJ85">
        <v>-1</v>
      </c>
      <c r="BK85">
        <v>2.0299999999999998</v>
      </c>
      <c r="BL85">
        <v>1.75</v>
      </c>
      <c r="BM85">
        <v>2.11</v>
      </c>
      <c r="BN85">
        <v>1.79</v>
      </c>
      <c r="BO85">
        <v>2.11</v>
      </c>
      <c r="BP85">
        <v>1.83</v>
      </c>
      <c r="BQ85">
        <v>2.0699999999999998</v>
      </c>
      <c r="BR85">
        <v>1.8</v>
      </c>
      <c r="BS85">
        <v>2.1</v>
      </c>
      <c r="BT85">
        <v>1.87</v>
      </c>
      <c r="BU85">
        <v>1.55</v>
      </c>
      <c r="BV85">
        <v>4.33</v>
      </c>
      <c r="BW85">
        <v>5.5</v>
      </c>
      <c r="BX85">
        <v>1.55</v>
      </c>
      <c r="BY85">
        <v>4.33</v>
      </c>
      <c r="BZ85">
        <v>5.75</v>
      </c>
      <c r="CA85">
        <v>1.55</v>
      </c>
      <c r="CB85">
        <v>4.4000000000000004</v>
      </c>
      <c r="CC85">
        <v>5.5</v>
      </c>
      <c r="CD85">
        <v>1.58</v>
      </c>
      <c r="CE85">
        <v>4.41</v>
      </c>
      <c r="CF85">
        <v>5.79</v>
      </c>
      <c r="CG85">
        <v>1.57</v>
      </c>
      <c r="CH85">
        <v>4.2</v>
      </c>
      <c r="CI85">
        <v>5.8</v>
      </c>
      <c r="CJ85">
        <v>1.59</v>
      </c>
      <c r="CK85">
        <v>4.45</v>
      </c>
      <c r="CL85">
        <v>5.64</v>
      </c>
      <c r="CM85">
        <v>1.6</v>
      </c>
      <c r="CN85">
        <v>4.55</v>
      </c>
      <c r="CO85">
        <v>5.9</v>
      </c>
      <c r="CP85">
        <v>1.57</v>
      </c>
      <c r="CQ85">
        <v>4.37</v>
      </c>
      <c r="CR85">
        <v>5.67</v>
      </c>
      <c r="CS85">
        <v>1.6</v>
      </c>
      <c r="CT85">
        <v>4.5</v>
      </c>
      <c r="CU85">
        <v>6.2</v>
      </c>
      <c r="CV85">
        <v>1.62</v>
      </c>
      <c r="CW85">
        <v>2.2999999999999998</v>
      </c>
      <c r="CX85">
        <v>1.63</v>
      </c>
      <c r="CY85">
        <v>2.4</v>
      </c>
      <c r="CZ85">
        <v>1.64</v>
      </c>
      <c r="DA85">
        <v>2.44</v>
      </c>
      <c r="DB85">
        <v>1.61</v>
      </c>
      <c r="DC85">
        <v>2.37</v>
      </c>
      <c r="DD85">
        <v>1.67</v>
      </c>
      <c r="DE85">
        <v>2.46</v>
      </c>
      <c r="DF85">
        <v>-1</v>
      </c>
      <c r="DG85">
        <v>1.98</v>
      </c>
      <c r="DH85">
        <v>1.95</v>
      </c>
      <c r="DI85">
        <v>1.96</v>
      </c>
      <c r="DJ85">
        <v>1.96</v>
      </c>
      <c r="DK85">
        <v>1.99</v>
      </c>
      <c r="DL85">
        <v>1.99</v>
      </c>
      <c r="DM85">
        <v>1.95</v>
      </c>
      <c r="DN85">
        <v>1.92</v>
      </c>
      <c r="DO85">
        <v>2.0099999999999998</v>
      </c>
      <c r="DP85">
        <v>1.98</v>
      </c>
    </row>
    <row r="86" spans="1:120" x14ac:dyDescent="0.3">
      <c r="A86" t="s">
        <v>120</v>
      </c>
      <c r="B86" t="s">
        <v>183</v>
      </c>
      <c r="C86" s="1">
        <v>0.625</v>
      </c>
      <c r="D86" t="s">
        <v>152</v>
      </c>
      <c r="E86" t="s">
        <v>139</v>
      </c>
      <c r="F86">
        <v>1</v>
      </c>
      <c r="G86">
        <v>0</v>
      </c>
      <c r="H86" t="s">
        <v>124</v>
      </c>
      <c r="I86">
        <v>1</v>
      </c>
      <c r="J86">
        <v>0</v>
      </c>
      <c r="K86" t="s">
        <v>124</v>
      </c>
      <c r="L86" t="s">
        <v>146</v>
      </c>
      <c r="M86">
        <v>22</v>
      </c>
      <c r="N86">
        <v>5</v>
      </c>
      <c r="O86">
        <v>8</v>
      </c>
      <c r="P86">
        <v>2</v>
      </c>
      <c r="Q86">
        <v>9</v>
      </c>
      <c r="R86">
        <v>9</v>
      </c>
      <c r="S86">
        <v>12</v>
      </c>
      <c r="T86">
        <v>1</v>
      </c>
      <c r="U86">
        <v>1</v>
      </c>
      <c r="V86">
        <v>3</v>
      </c>
      <c r="W86">
        <v>0</v>
      </c>
      <c r="X86">
        <v>0</v>
      </c>
      <c r="Y86">
        <v>1.1100000000000001</v>
      </c>
      <c r="Z86">
        <v>10</v>
      </c>
      <c r="AA86">
        <v>17</v>
      </c>
      <c r="AB86">
        <v>1.1200000000000001</v>
      </c>
      <c r="AC86">
        <v>11</v>
      </c>
      <c r="AD86">
        <v>19</v>
      </c>
      <c r="AE86">
        <v>1.1000000000000001</v>
      </c>
      <c r="AF86">
        <v>11</v>
      </c>
      <c r="AG86">
        <v>23</v>
      </c>
      <c r="AH86">
        <v>1.1000000000000001</v>
      </c>
      <c r="AI86">
        <v>11.9</v>
      </c>
      <c r="AJ86">
        <v>20.73</v>
      </c>
      <c r="AK86">
        <v>1.1200000000000001</v>
      </c>
      <c r="AL86">
        <v>9.5</v>
      </c>
      <c r="AM86">
        <v>21</v>
      </c>
      <c r="AN86">
        <v>1.1299999999999999</v>
      </c>
      <c r="AO86">
        <v>10.5</v>
      </c>
      <c r="AP86">
        <v>20</v>
      </c>
      <c r="AQ86">
        <v>1.1299999999999999</v>
      </c>
      <c r="AR86">
        <v>13</v>
      </c>
      <c r="AS86">
        <v>26</v>
      </c>
      <c r="AT86">
        <v>1.1100000000000001</v>
      </c>
      <c r="AU86">
        <v>10.94</v>
      </c>
      <c r="AV86">
        <v>21.04</v>
      </c>
      <c r="AW86">
        <v>1.1299999999999999</v>
      </c>
      <c r="AX86">
        <v>12.5</v>
      </c>
      <c r="AY86">
        <v>26</v>
      </c>
      <c r="AZ86">
        <v>1.29</v>
      </c>
      <c r="BA86">
        <v>3.75</v>
      </c>
      <c r="BB86">
        <v>1.32</v>
      </c>
      <c r="BC86">
        <v>3.28</v>
      </c>
      <c r="BD86">
        <v>1.3</v>
      </c>
      <c r="BE86">
        <v>3.95</v>
      </c>
      <c r="BF86">
        <v>1.27</v>
      </c>
      <c r="BG86">
        <v>3.73</v>
      </c>
      <c r="BH86">
        <v>1.3</v>
      </c>
      <c r="BI86">
        <v>4.0999999999999996</v>
      </c>
      <c r="BJ86">
        <v>-2.5</v>
      </c>
      <c r="BK86">
        <v>1.92</v>
      </c>
      <c r="BL86">
        <v>1.98</v>
      </c>
      <c r="BM86">
        <v>1.93</v>
      </c>
      <c r="BN86">
        <v>1.96</v>
      </c>
      <c r="BO86">
        <v>1.95</v>
      </c>
      <c r="BP86">
        <v>2</v>
      </c>
      <c r="BQ86">
        <v>1.91</v>
      </c>
      <c r="BR86">
        <v>1.95</v>
      </c>
      <c r="BS86">
        <v>2.0099999999999998</v>
      </c>
      <c r="BT86">
        <v>1.98</v>
      </c>
      <c r="BU86">
        <v>1.1299999999999999</v>
      </c>
      <c r="BV86">
        <v>9.5</v>
      </c>
      <c r="BW86">
        <v>15</v>
      </c>
      <c r="BX86">
        <v>1.1299999999999999</v>
      </c>
      <c r="BY86">
        <v>10.5</v>
      </c>
      <c r="BZ86">
        <v>18.5</v>
      </c>
      <c r="CA86">
        <v>1.1100000000000001</v>
      </c>
      <c r="CB86">
        <v>10</v>
      </c>
      <c r="CC86">
        <v>23</v>
      </c>
      <c r="CD86">
        <v>1.1200000000000001</v>
      </c>
      <c r="CE86">
        <v>10.5</v>
      </c>
      <c r="CF86">
        <v>23</v>
      </c>
      <c r="CG86">
        <v>1.1200000000000001</v>
      </c>
      <c r="CH86">
        <v>9</v>
      </c>
      <c r="CI86">
        <v>21</v>
      </c>
      <c r="CJ86">
        <v>1.1399999999999999</v>
      </c>
      <c r="CK86">
        <v>10.8</v>
      </c>
      <c r="CL86">
        <v>17.600000000000001</v>
      </c>
      <c r="CM86">
        <v>1.1399999999999999</v>
      </c>
      <c r="CN86">
        <v>11</v>
      </c>
      <c r="CO86">
        <v>25</v>
      </c>
      <c r="CP86">
        <v>1.1200000000000001</v>
      </c>
      <c r="CQ86">
        <v>10.029999999999999</v>
      </c>
      <c r="CR86">
        <v>20.56</v>
      </c>
      <c r="CS86">
        <v>1.1399999999999999</v>
      </c>
      <c r="CT86">
        <v>10.5</v>
      </c>
      <c r="CU86">
        <v>30</v>
      </c>
      <c r="CV86">
        <v>1.25</v>
      </c>
      <c r="CW86">
        <v>4</v>
      </c>
      <c r="CX86">
        <v>1.32</v>
      </c>
      <c r="CY86">
        <v>3.28</v>
      </c>
      <c r="CZ86">
        <v>1.25</v>
      </c>
      <c r="DA86">
        <v>4.42</v>
      </c>
      <c r="DB86">
        <v>1.24</v>
      </c>
      <c r="DC86">
        <v>4.1100000000000003</v>
      </c>
      <c r="DD86">
        <v>1.27</v>
      </c>
      <c r="DE86">
        <v>4.5999999999999996</v>
      </c>
      <c r="DF86">
        <v>-2.5</v>
      </c>
      <c r="DG86">
        <v>1.94</v>
      </c>
      <c r="DH86">
        <v>1.99</v>
      </c>
      <c r="DI86">
        <v>1.97</v>
      </c>
      <c r="DJ86">
        <v>1.93</v>
      </c>
      <c r="DK86">
        <v>1.97</v>
      </c>
      <c r="DL86">
        <v>2.0099999999999998</v>
      </c>
      <c r="DM86">
        <v>1.91</v>
      </c>
      <c r="DN86">
        <v>1.95</v>
      </c>
      <c r="DO86">
        <v>1.96</v>
      </c>
      <c r="DP86">
        <v>2.02</v>
      </c>
    </row>
    <row r="87" spans="1:120" x14ac:dyDescent="0.3">
      <c r="A87" t="s">
        <v>120</v>
      </c>
      <c r="B87" t="s">
        <v>183</v>
      </c>
      <c r="C87" s="1">
        <v>0.72916666666666663</v>
      </c>
      <c r="D87" t="s">
        <v>135</v>
      </c>
      <c r="E87" t="s">
        <v>123</v>
      </c>
      <c r="F87">
        <v>1</v>
      </c>
      <c r="G87">
        <v>1</v>
      </c>
      <c r="H87" t="s">
        <v>125</v>
      </c>
      <c r="I87">
        <v>0</v>
      </c>
      <c r="J87">
        <v>0</v>
      </c>
      <c r="K87" t="s">
        <v>125</v>
      </c>
      <c r="L87" t="s">
        <v>173</v>
      </c>
      <c r="M87">
        <v>10</v>
      </c>
      <c r="N87">
        <v>14</v>
      </c>
      <c r="O87">
        <v>5</v>
      </c>
      <c r="P87">
        <v>3</v>
      </c>
      <c r="Q87">
        <v>8</v>
      </c>
      <c r="R87">
        <v>8</v>
      </c>
      <c r="S87">
        <v>4</v>
      </c>
      <c r="T87">
        <v>2</v>
      </c>
      <c r="U87">
        <v>1</v>
      </c>
      <c r="V87">
        <v>0</v>
      </c>
      <c r="W87">
        <v>0</v>
      </c>
      <c r="X87">
        <v>0</v>
      </c>
      <c r="Y87">
        <v>2.75</v>
      </c>
      <c r="Z87">
        <v>3.25</v>
      </c>
      <c r="AA87">
        <v>2.63</v>
      </c>
      <c r="AB87">
        <v>2.75</v>
      </c>
      <c r="AC87">
        <v>3.3</v>
      </c>
      <c r="AD87">
        <v>2.5499999999999998</v>
      </c>
      <c r="AE87">
        <v>2.8</v>
      </c>
      <c r="AF87">
        <v>3.4</v>
      </c>
      <c r="AG87">
        <v>2.5499999999999998</v>
      </c>
      <c r="AH87">
        <v>2.8</v>
      </c>
      <c r="AI87">
        <v>3.38</v>
      </c>
      <c r="AJ87">
        <v>2.63</v>
      </c>
      <c r="AK87">
        <v>2.75</v>
      </c>
      <c r="AL87">
        <v>3.3</v>
      </c>
      <c r="AM87">
        <v>2.62</v>
      </c>
      <c r="AN87">
        <v>2.81</v>
      </c>
      <c r="AO87">
        <v>3.45</v>
      </c>
      <c r="AP87">
        <v>2.63</v>
      </c>
      <c r="AQ87">
        <v>2.83</v>
      </c>
      <c r="AR87">
        <v>3.45</v>
      </c>
      <c r="AS87">
        <v>2.66</v>
      </c>
      <c r="AT87">
        <v>2.76</v>
      </c>
      <c r="AU87">
        <v>3.37</v>
      </c>
      <c r="AV87">
        <v>2.6</v>
      </c>
      <c r="AW87">
        <v>2.82</v>
      </c>
      <c r="AX87">
        <v>3.45</v>
      </c>
      <c r="AY87">
        <v>2.78</v>
      </c>
      <c r="AZ87">
        <v>1.91</v>
      </c>
      <c r="BA87">
        <v>1.99</v>
      </c>
      <c r="BB87">
        <v>1.88</v>
      </c>
      <c r="BC87">
        <v>2.0099999999999998</v>
      </c>
      <c r="BD87">
        <v>1.96</v>
      </c>
      <c r="BE87">
        <v>2.0099999999999998</v>
      </c>
      <c r="BF87">
        <v>1.89</v>
      </c>
      <c r="BG87">
        <v>1.95</v>
      </c>
      <c r="BH87">
        <v>1.95</v>
      </c>
      <c r="BI87">
        <v>2.04</v>
      </c>
      <c r="BJ87">
        <v>0</v>
      </c>
      <c r="BK87">
        <v>1.95</v>
      </c>
      <c r="BL87">
        <v>1.83</v>
      </c>
      <c r="BM87">
        <v>2.02</v>
      </c>
      <c r="BN87">
        <v>1.89</v>
      </c>
      <c r="BO87">
        <v>2.02</v>
      </c>
      <c r="BP87">
        <v>1.9</v>
      </c>
      <c r="BQ87">
        <v>1.99</v>
      </c>
      <c r="BR87">
        <v>1.87</v>
      </c>
      <c r="BS87">
        <v>2.0099999999999998</v>
      </c>
      <c r="BT87">
        <v>1.97</v>
      </c>
      <c r="BU87">
        <v>2.6</v>
      </c>
      <c r="BV87">
        <v>3.4</v>
      </c>
      <c r="BW87">
        <v>2.63</v>
      </c>
      <c r="BX87">
        <v>2.65</v>
      </c>
      <c r="BY87">
        <v>3.3</v>
      </c>
      <c r="BZ87">
        <v>2.65</v>
      </c>
      <c r="CA87">
        <v>2.8</v>
      </c>
      <c r="CB87">
        <v>3.4</v>
      </c>
      <c r="CC87">
        <v>2.6</v>
      </c>
      <c r="CD87">
        <v>2.71</v>
      </c>
      <c r="CE87">
        <v>3.36</v>
      </c>
      <c r="CF87">
        <v>2.73</v>
      </c>
      <c r="CG87">
        <v>2.75</v>
      </c>
      <c r="CH87">
        <v>3.3</v>
      </c>
      <c r="CI87">
        <v>2.62</v>
      </c>
      <c r="CJ87">
        <v>2.77</v>
      </c>
      <c r="CK87">
        <v>3.49</v>
      </c>
      <c r="CL87">
        <v>2.62</v>
      </c>
      <c r="CM87">
        <v>2.89</v>
      </c>
      <c r="CN87">
        <v>3.5</v>
      </c>
      <c r="CO87">
        <v>2.73</v>
      </c>
      <c r="CP87">
        <v>2.76</v>
      </c>
      <c r="CQ87">
        <v>3.38</v>
      </c>
      <c r="CR87">
        <v>2.63</v>
      </c>
      <c r="CS87">
        <v>2.82</v>
      </c>
      <c r="CT87">
        <v>3.5</v>
      </c>
      <c r="CU87">
        <v>2.76</v>
      </c>
      <c r="CV87">
        <v>1.8</v>
      </c>
      <c r="CW87">
        <v>2</v>
      </c>
      <c r="CX87">
        <v>1.82</v>
      </c>
      <c r="CY87">
        <v>2.08</v>
      </c>
      <c r="CZ87">
        <v>1.94</v>
      </c>
      <c r="DA87">
        <v>2.1</v>
      </c>
      <c r="DB87">
        <v>1.83</v>
      </c>
      <c r="DC87">
        <v>2.02</v>
      </c>
      <c r="DD87">
        <v>1.86</v>
      </c>
      <c r="DE87">
        <v>2.14</v>
      </c>
      <c r="DF87">
        <v>0</v>
      </c>
      <c r="DG87">
        <v>1.95</v>
      </c>
      <c r="DH87">
        <v>1.98</v>
      </c>
      <c r="DI87">
        <v>1.95</v>
      </c>
      <c r="DJ87">
        <v>1.97</v>
      </c>
      <c r="DK87">
        <v>2.0099999999999998</v>
      </c>
      <c r="DL87">
        <v>1.99</v>
      </c>
      <c r="DM87">
        <v>1.97</v>
      </c>
      <c r="DN87">
        <v>1.92</v>
      </c>
      <c r="DO87">
        <v>2.0099999999999998</v>
      </c>
      <c r="DP87">
        <v>1.98</v>
      </c>
    </row>
    <row r="88" spans="1:120" x14ac:dyDescent="0.3">
      <c r="A88" t="s">
        <v>120</v>
      </c>
      <c r="B88" t="s">
        <v>184</v>
      </c>
      <c r="C88" s="1">
        <v>0.58333333333333337</v>
      </c>
      <c r="D88" t="s">
        <v>151</v>
      </c>
      <c r="E88" t="s">
        <v>138</v>
      </c>
      <c r="F88">
        <v>2</v>
      </c>
      <c r="G88">
        <v>1</v>
      </c>
      <c r="H88" t="s">
        <v>124</v>
      </c>
      <c r="I88">
        <v>1</v>
      </c>
      <c r="J88">
        <v>1</v>
      </c>
      <c r="K88" t="s">
        <v>125</v>
      </c>
      <c r="L88" t="s">
        <v>137</v>
      </c>
      <c r="M88">
        <v>17</v>
      </c>
      <c r="N88">
        <v>11</v>
      </c>
      <c r="O88">
        <v>7</v>
      </c>
      <c r="P88">
        <v>3</v>
      </c>
      <c r="Q88">
        <v>13</v>
      </c>
      <c r="R88">
        <v>16</v>
      </c>
      <c r="S88">
        <v>7</v>
      </c>
      <c r="T88">
        <v>4</v>
      </c>
      <c r="U88">
        <v>6</v>
      </c>
      <c r="V88">
        <v>3</v>
      </c>
      <c r="W88">
        <v>0</v>
      </c>
      <c r="X88">
        <v>0</v>
      </c>
      <c r="Y88">
        <v>1.73</v>
      </c>
      <c r="Z88">
        <v>4.33</v>
      </c>
      <c r="AA88">
        <v>4.2</v>
      </c>
      <c r="AB88">
        <v>1.82</v>
      </c>
      <c r="AC88">
        <v>4</v>
      </c>
      <c r="AD88">
        <v>4</v>
      </c>
      <c r="AE88">
        <v>1.75</v>
      </c>
      <c r="AF88">
        <v>4.2</v>
      </c>
      <c r="AG88">
        <v>4.2</v>
      </c>
      <c r="AH88">
        <v>1.75</v>
      </c>
      <c r="AI88">
        <v>4.3499999999999996</v>
      </c>
      <c r="AJ88">
        <v>4.28</v>
      </c>
      <c r="AK88">
        <v>1.8</v>
      </c>
      <c r="AL88">
        <v>4.2</v>
      </c>
      <c r="AM88">
        <v>4</v>
      </c>
      <c r="AN88">
        <v>1.8</v>
      </c>
      <c r="AO88">
        <v>4.33</v>
      </c>
      <c r="AP88">
        <v>4.17</v>
      </c>
      <c r="AQ88">
        <v>1.82</v>
      </c>
      <c r="AR88">
        <v>4.43</v>
      </c>
      <c r="AS88">
        <v>4.3</v>
      </c>
      <c r="AT88">
        <v>1.76</v>
      </c>
      <c r="AU88">
        <v>4.26</v>
      </c>
      <c r="AV88">
        <v>4.1500000000000004</v>
      </c>
      <c r="AW88">
        <v>1.8</v>
      </c>
      <c r="AX88">
        <v>4.4000000000000004</v>
      </c>
      <c r="AY88">
        <v>4.4000000000000004</v>
      </c>
      <c r="AZ88">
        <v>1.44</v>
      </c>
      <c r="BA88">
        <v>2.75</v>
      </c>
      <c r="BB88">
        <v>1.44</v>
      </c>
      <c r="BC88">
        <v>2.89</v>
      </c>
      <c r="BD88">
        <v>1.47</v>
      </c>
      <c r="BE88">
        <v>2.93</v>
      </c>
      <c r="BF88">
        <v>1.44</v>
      </c>
      <c r="BG88">
        <v>2.78</v>
      </c>
      <c r="BH88">
        <v>1.49</v>
      </c>
      <c r="BI88">
        <v>2.88</v>
      </c>
      <c r="BJ88">
        <v>-0.75</v>
      </c>
      <c r="BK88">
        <v>1.95</v>
      </c>
      <c r="BL88">
        <v>1.95</v>
      </c>
      <c r="BM88">
        <v>1.95</v>
      </c>
      <c r="BN88">
        <v>1.95</v>
      </c>
      <c r="BO88">
        <v>2</v>
      </c>
      <c r="BP88">
        <v>1.96</v>
      </c>
      <c r="BQ88">
        <v>1.92</v>
      </c>
      <c r="BR88">
        <v>1.91</v>
      </c>
      <c r="BS88">
        <v>1.98</v>
      </c>
      <c r="BT88">
        <v>2</v>
      </c>
      <c r="BU88">
        <v>1.75</v>
      </c>
      <c r="BV88">
        <v>4.2</v>
      </c>
      <c r="BW88">
        <v>4</v>
      </c>
      <c r="BX88">
        <v>1.78</v>
      </c>
      <c r="BY88">
        <v>4.0999999999999996</v>
      </c>
      <c r="BZ88">
        <v>4.0999999999999996</v>
      </c>
      <c r="CA88">
        <v>1.75</v>
      </c>
      <c r="CB88">
        <v>4</v>
      </c>
      <c r="CC88">
        <v>4.2</v>
      </c>
      <c r="CD88">
        <v>1.82</v>
      </c>
      <c r="CE88">
        <v>4.03</v>
      </c>
      <c r="CF88">
        <v>4.29</v>
      </c>
      <c r="CG88">
        <v>1.8</v>
      </c>
      <c r="CH88">
        <v>4.2</v>
      </c>
      <c r="CI88">
        <v>4</v>
      </c>
      <c r="CJ88">
        <v>1.77</v>
      </c>
      <c r="CK88">
        <v>4.32</v>
      </c>
      <c r="CL88">
        <v>4.3</v>
      </c>
      <c r="CM88">
        <v>1.82</v>
      </c>
      <c r="CN88">
        <v>4.32</v>
      </c>
      <c r="CO88">
        <v>4.4000000000000004</v>
      </c>
      <c r="CP88">
        <v>1.79</v>
      </c>
      <c r="CQ88">
        <v>4.1100000000000003</v>
      </c>
      <c r="CR88">
        <v>4.16</v>
      </c>
      <c r="CS88">
        <v>1.83</v>
      </c>
      <c r="CT88">
        <v>4.2</v>
      </c>
      <c r="CU88">
        <v>4.5</v>
      </c>
      <c r="CV88">
        <v>1.5</v>
      </c>
      <c r="CW88">
        <v>2.63</v>
      </c>
      <c r="CX88">
        <v>1.51</v>
      </c>
      <c r="CY88">
        <v>2.66</v>
      </c>
      <c r="CZ88">
        <v>1.53</v>
      </c>
      <c r="DA88">
        <v>2.7</v>
      </c>
      <c r="DB88">
        <v>1.5</v>
      </c>
      <c r="DC88">
        <v>2.62</v>
      </c>
      <c r="DD88">
        <v>1.54</v>
      </c>
      <c r="DE88">
        <v>2.8</v>
      </c>
      <c r="DF88">
        <v>-0.75</v>
      </c>
      <c r="DG88">
        <v>2.0099999999999998</v>
      </c>
      <c r="DH88">
        <v>1.89</v>
      </c>
      <c r="DI88">
        <v>2.06</v>
      </c>
      <c r="DJ88">
        <v>1.87</v>
      </c>
      <c r="DK88">
        <v>2.06</v>
      </c>
      <c r="DL88">
        <v>1.94</v>
      </c>
      <c r="DM88">
        <v>1.98</v>
      </c>
      <c r="DN88">
        <v>1.88</v>
      </c>
      <c r="DO88">
        <v>2.06</v>
      </c>
      <c r="DP88">
        <v>1.92</v>
      </c>
    </row>
    <row r="89" spans="1:120" x14ac:dyDescent="0.3">
      <c r="A89" t="s">
        <v>120</v>
      </c>
      <c r="B89" t="s">
        <v>184</v>
      </c>
      <c r="C89" s="1">
        <v>0.58333333333333337</v>
      </c>
      <c r="D89" t="s">
        <v>149</v>
      </c>
      <c r="E89" t="s">
        <v>156</v>
      </c>
      <c r="F89">
        <v>1</v>
      </c>
      <c r="G89">
        <v>0</v>
      </c>
      <c r="H89" t="s">
        <v>124</v>
      </c>
      <c r="I89">
        <v>1</v>
      </c>
      <c r="J89">
        <v>0</v>
      </c>
      <c r="K89" t="s">
        <v>124</v>
      </c>
      <c r="L89" t="s">
        <v>159</v>
      </c>
      <c r="M89">
        <v>14</v>
      </c>
      <c r="N89">
        <v>11</v>
      </c>
      <c r="O89">
        <v>6</v>
      </c>
      <c r="P89">
        <v>3</v>
      </c>
      <c r="Q89">
        <v>16</v>
      </c>
      <c r="R89">
        <v>12</v>
      </c>
      <c r="S89">
        <v>8</v>
      </c>
      <c r="T89">
        <v>8</v>
      </c>
      <c r="U89">
        <v>4</v>
      </c>
      <c r="V89">
        <v>4</v>
      </c>
      <c r="W89">
        <v>0</v>
      </c>
      <c r="X89">
        <v>0</v>
      </c>
      <c r="Y89">
        <v>3.9</v>
      </c>
      <c r="Z89">
        <v>4</v>
      </c>
      <c r="AA89">
        <v>1.83</v>
      </c>
      <c r="AB89">
        <v>4</v>
      </c>
      <c r="AC89">
        <v>3.9</v>
      </c>
      <c r="AD89">
        <v>1.83</v>
      </c>
      <c r="AE89">
        <v>3.9</v>
      </c>
      <c r="AF89">
        <v>3.9</v>
      </c>
      <c r="AG89">
        <v>1.87</v>
      </c>
      <c r="AH89">
        <v>4.05</v>
      </c>
      <c r="AI89">
        <v>3.98</v>
      </c>
      <c r="AJ89">
        <v>1.86</v>
      </c>
      <c r="AK89">
        <v>4</v>
      </c>
      <c r="AL89">
        <v>4</v>
      </c>
      <c r="AM89">
        <v>1.83</v>
      </c>
      <c r="AN89">
        <v>4.05</v>
      </c>
      <c r="AO89">
        <v>4.13</v>
      </c>
      <c r="AP89">
        <v>1.86</v>
      </c>
      <c r="AQ89">
        <v>4.0999999999999996</v>
      </c>
      <c r="AR89">
        <v>4.13</v>
      </c>
      <c r="AS89">
        <v>1.88</v>
      </c>
      <c r="AT89">
        <v>3.97</v>
      </c>
      <c r="AU89">
        <v>3.97</v>
      </c>
      <c r="AV89">
        <v>1.85</v>
      </c>
      <c r="AW89">
        <v>4.0999999999999996</v>
      </c>
      <c r="AX89">
        <v>4.0999999999999996</v>
      </c>
      <c r="AY89">
        <v>1.94</v>
      </c>
      <c r="AZ89">
        <v>1.57</v>
      </c>
      <c r="BA89">
        <v>2.38</v>
      </c>
      <c r="BB89">
        <v>1.61</v>
      </c>
      <c r="BC89">
        <v>2.41</v>
      </c>
      <c r="BD89">
        <v>1.63</v>
      </c>
      <c r="BE89">
        <v>2.48</v>
      </c>
      <c r="BF89">
        <v>1.59</v>
      </c>
      <c r="BG89">
        <v>2.4</v>
      </c>
      <c r="BH89">
        <v>1.64</v>
      </c>
      <c r="BI89">
        <v>2.5</v>
      </c>
      <c r="BJ89">
        <v>0.5</v>
      </c>
      <c r="BK89">
        <v>2.04</v>
      </c>
      <c r="BL89">
        <v>1.86</v>
      </c>
      <c r="BM89">
        <v>2.04</v>
      </c>
      <c r="BN89">
        <v>1.87</v>
      </c>
      <c r="BO89">
        <v>2.0499999999999998</v>
      </c>
      <c r="BP89">
        <v>1.89</v>
      </c>
      <c r="BQ89">
        <v>2.0099999999999998</v>
      </c>
      <c r="BR89">
        <v>1.85</v>
      </c>
      <c r="BS89">
        <v>2.0499999999999998</v>
      </c>
      <c r="BT89">
        <v>1.94</v>
      </c>
      <c r="BU89">
        <v>3.6</v>
      </c>
      <c r="BV89">
        <v>4</v>
      </c>
      <c r="BW89">
        <v>1.91</v>
      </c>
      <c r="BX89">
        <v>3.7</v>
      </c>
      <c r="BY89">
        <v>3.9</v>
      </c>
      <c r="BZ89">
        <v>1.93</v>
      </c>
      <c r="CA89">
        <v>3.75</v>
      </c>
      <c r="CB89">
        <v>3.9</v>
      </c>
      <c r="CC89">
        <v>1.95</v>
      </c>
      <c r="CD89">
        <v>3.78</v>
      </c>
      <c r="CE89">
        <v>3.97</v>
      </c>
      <c r="CF89">
        <v>1.95</v>
      </c>
      <c r="CG89">
        <v>3.75</v>
      </c>
      <c r="CH89">
        <v>3.9</v>
      </c>
      <c r="CI89">
        <v>1.91</v>
      </c>
      <c r="CJ89">
        <v>3.86</v>
      </c>
      <c r="CK89">
        <v>4.08</v>
      </c>
      <c r="CL89">
        <v>1.9</v>
      </c>
      <c r="CM89">
        <v>4</v>
      </c>
      <c r="CN89">
        <v>4.0999999999999996</v>
      </c>
      <c r="CO89">
        <v>1.97</v>
      </c>
      <c r="CP89">
        <v>3.73</v>
      </c>
      <c r="CQ89">
        <v>3.97</v>
      </c>
      <c r="CR89">
        <v>1.93</v>
      </c>
      <c r="CS89">
        <v>3.95</v>
      </c>
      <c r="CT89">
        <v>4</v>
      </c>
      <c r="CU89">
        <v>1.98</v>
      </c>
      <c r="CV89">
        <v>1.5</v>
      </c>
      <c r="CW89">
        <v>2.63</v>
      </c>
      <c r="CX89">
        <v>1.53</v>
      </c>
      <c r="CY89">
        <v>2.62</v>
      </c>
      <c r="CZ89">
        <v>1.56</v>
      </c>
      <c r="DA89">
        <v>2.75</v>
      </c>
      <c r="DB89">
        <v>1.52</v>
      </c>
      <c r="DC89">
        <v>2.59</v>
      </c>
      <c r="DD89">
        <v>1.59</v>
      </c>
      <c r="DE89">
        <v>2.68</v>
      </c>
      <c r="DF89">
        <v>0.5</v>
      </c>
      <c r="DG89">
        <v>1.95</v>
      </c>
      <c r="DH89">
        <v>1.95</v>
      </c>
      <c r="DI89">
        <v>1.96</v>
      </c>
      <c r="DJ89">
        <v>1.96</v>
      </c>
      <c r="DK89">
        <v>1.97</v>
      </c>
      <c r="DL89">
        <v>1.98</v>
      </c>
      <c r="DM89">
        <v>1.94</v>
      </c>
      <c r="DN89">
        <v>1.93</v>
      </c>
      <c r="DO89">
        <v>2.0099999999999998</v>
      </c>
      <c r="DP89">
        <v>1.98</v>
      </c>
    </row>
    <row r="90" spans="1:120" x14ac:dyDescent="0.3">
      <c r="A90" t="s">
        <v>120</v>
      </c>
      <c r="B90" t="s">
        <v>184</v>
      </c>
      <c r="C90" s="1">
        <v>0.58333333333333337</v>
      </c>
      <c r="D90" t="s">
        <v>144</v>
      </c>
      <c r="E90" t="s">
        <v>122</v>
      </c>
      <c r="F90">
        <v>2</v>
      </c>
      <c r="G90">
        <v>1</v>
      </c>
      <c r="H90" t="s">
        <v>124</v>
      </c>
      <c r="I90">
        <v>0</v>
      </c>
      <c r="J90">
        <v>0</v>
      </c>
      <c r="K90" t="s">
        <v>125</v>
      </c>
      <c r="L90" t="s">
        <v>162</v>
      </c>
      <c r="M90">
        <v>12</v>
      </c>
      <c r="N90">
        <v>18</v>
      </c>
      <c r="O90">
        <v>3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1</v>
      </c>
      <c r="W90">
        <v>0</v>
      </c>
      <c r="X90">
        <v>0</v>
      </c>
      <c r="Y90">
        <v>2.88</v>
      </c>
      <c r="Z90">
        <v>3.75</v>
      </c>
      <c r="AA90">
        <v>2.2999999999999998</v>
      </c>
      <c r="AB90">
        <v>2.87</v>
      </c>
      <c r="AC90">
        <v>3.75</v>
      </c>
      <c r="AD90">
        <v>2.2999999999999998</v>
      </c>
      <c r="AE90">
        <v>2.88</v>
      </c>
      <c r="AF90">
        <v>3.7</v>
      </c>
      <c r="AG90">
        <v>2.2999999999999998</v>
      </c>
      <c r="AH90">
        <v>2.94</v>
      </c>
      <c r="AI90">
        <v>3.73</v>
      </c>
      <c r="AJ90">
        <v>2.35</v>
      </c>
      <c r="AK90">
        <v>2.88</v>
      </c>
      <c r="AL90">
        <v>3.75</v>
      </c>
      <c r="AM90">
        <v>2.2999999999999998</v>
      </c>
      <c r="AN90">
        <v>2.91</v>
      </c>
      <c r="AO90">
        <v>3.98</v>
      </c>
      <c r="AP90">
        <v>2.33</v>
      </c>
      <c r="AQ90">
        <v>2.98</v>
      </c>
      <c r="AR90">
        <v>3.98</v>
      </c>
      <c r="AS90">
        <v>2.38</v>
      </c>
      <c r="AT90">
        <v>2.89</v>
      </c>
      <c r="AU90">
        <v>3.71</v>
      </c>
      <c r="AV90">
        <v>2.33</v>
      </c>
      <c r="AW90">
        <v>3</v>
      </c>
      <c r="AX90">
        <v>3.8</v>
      </c>
      <c r="AY90">
        <v>2.44</v>
      </c>
      <c r="AZ90">
        <v>1.53</v>
      </c>
      <c r="BA90">
        <v>2.5</v>
      </c>
      <c r="BB90">
        <v>1.53</v>
      </c>
      <c r="BC90">
        <v>2.6</v>
      </c>
      <c r="BD90">
        <v>1.55</v>
      </c>
      <c r="BE90">
        <v>2.69</v>
      </c>
      <c r="BF90">
        <v>1.51</v>
      </c>
      <c r="BG90">
        <v>2.5299999999999998</v>
      </c>
      <c r="BH90">
        <v>1.59</v>
      </c>
      <c r="BI90">
        <v>2.62</v>
      </c>
      <c r="BJ90">
        <v>0.25</v>
      </c>
      <c r="BK90">
        <v>1.86</v>
      </c>
      <c r="BL90">
        <v>2.04</v>
      </c>
      <c r="BM90">
        <v>1.85</v>
      </c>
      <c r="BN90">
        <v>2.06</v>
      </c>
      <c r="BO90">
        <v>1.87</v>
      </c>
      <c r="BP90">
        <v>2.06</v>
      </c>
      <c r="BQ90">
        <v>1.83</v>
      </c>
      <c r="BR90">
        <v>2.0099999999999998</v>
      </c>
      <c r="BS90">
        <v>1.87</v>
      </c>
      <c r="BT90">
        <v>2.12</v>
      </c>
      <c r="BU90">
        <v>3.3</v>
      </c>
      <c r="BV90">
        <v>3.75</v>
      </c>
      <c r="BW90">
        <v>2.1</v>
      </c>
      <c r="BX90">
        <v>3.2</v>
      </c>
      <c r="BY90">
        <v>3.6</v>
      </c>
      <c r="BZ90">
        <v>2.15</v>
      </c>
      <c r="CA90">
        <v>3.3</v>
      </c>
      <c r="CB90">
        <v>3.6</v>
      </c>
      <c r="CC90">
        <v>2.15</v>
      </c>
      <c r="CD90">
        <v>3.39</v>
      </c>
      <c r="CE90">
        <v>3.72</v>
      </c>
      <c r="CF90">
        <v>2.15</v>
      </c>
      <c r="CG90">
        <v>3.25</v>
      </c>
      <c r="CH90">
        <v>3.7</v>
      </c>
      <c r="CI90">
        <v>2.15</v>
      </c>
      <c r="CJ90">
        <v>3.45</v>
      </c>
      <c r="CK90">
        <v>3.82</v>
      </c>
      <c r="CL90">
        <v>2.09</v>
      </c>
      <c r="CM90">
        <v>3.45</v>
      </c>
      <c r="CN90">
        <v>3.82</v>
      </c>
      <c r="CO90">
        <v>2.21</v>
      </c>
      <c r="CP90">
        <v>3.3</v>
      </c>
      <c r="CQ90">
        <v>3.69</v>
      </c>
      <c r="CR90">
        <v>2.15</v>
      </c>
      <c r="CS90">
        <v>3.5</v>
      </c>
      <c r="CT90">
        <v>3.75</v>
      </c>
      <c r="CU90">
        <v>2.2000000000000002</v>
      </c>
      <c r="CV90">
        <v>1.62</v>
      </c>
      <c r="CW90">
        <v>2.2999999999999998</v>
      </c>
      <c r="CX90">
        <v>1.67</v>
      </c>
      <c r="CY90">
        <v>2.31</v>
      </c>
      <c r="CZ90">
        <v>1.69</v>
      </c>
      <c r="DA90">
        <v>2.41</v>
      </c>
      <c r="DB90">
        <v>1.63</v>
      </c>
      <c r="DC90">
        <v>2.3199999999999998</v>
      </c>
      <c r="DD90">
        <v>1.69</v>
      </c>
      <c r="DE90">
        <v>2.42</v>
      </c>
      <c r="DF90">
        <v>0.25</v>
      </c>
      <c r="DG90">
        <v>2.06</v>
      </c>
      <c r="DH90">
        <v>1.84</v>
      </c>
      <c r="DI90">
        <v>2.0499999999999998</v>
      </c>
      <c r="DJ90">
        <v>1.88</v>
      </c>
      <c r="DK90">
        <v>2.09</v>
      </c>
      <c r="DL90">
        <v>1.91</v>
      </c>
      <c r="DM90">
        <v>2.0099999999999998</v>
      </c>
      <c r="DN90">
        <v>1.86</v>
      </c>
      <c r="DO90">
        <v>2.09</v>
      </c>
      <c r="DP90">
        <v>1.91</v>
      </c>
    </row>
    <row r="91" spans="1:120" x14ac:dyDescent="0.3">
      <c r="A91" t="s">
        <v>120</v>
      </c>
      <c r="B91" t="s">
        <v>184</v>
      </c>
      <c r="C91" s="1">
        <v>0.6875</v>
      </c>
      <c r="D91" t="s">
        <v>132</v>
      </c>
      <c r="E91" t="s">
        <v>129</v>
      </c>
      <c r="F91">
        <v>2</v>
      </c>
      <c r="G91">
        <v>2</v>
      </c>
      <c r="H91" t="s">
        <v>125</v>
      </c>
      <c r="I91">
        <v>2</v>
      </c>
      <c r="J91">
        <v>1</v>
      </c>
      <c r="K91" t="s">
        <v>124</v>
      </c>
      <c r="L91" t="s">
        <v>153</v>
      </c>
      <c r="M91">
        <v>9</v>
      </c>
      <c r="N91">
        <v>9</v>
      </c>
      <c r="O91">
        <v>3</v>
      </c>
      <c r="P91">
        <v>4</v>
      </c>
      <c r="Q91">
        <v>14</v>
      </c>
      <c r="R91">
        <v>14</v>
      </c>
      <c r="S91">
        <v>1</v>
      </c>
      <c r="T91">
        <v>3</v>
      </c>
      <c r="U91">
        <v>2</v>
      </c>
      <c r="V91">
        <v>2</v>
      </c>
      <c r="W91">
        <v>0</v>
      </c>
      <c r="X91">
        <v>0</v>
      </c>
      <c r="Y91">
        <v>2.5</v>
      </c>
      <c r="Z91">
        <v>3.25</v>
      </c>
      <c r="AA91">
        <v>2.9</v>
      </c>
      <c r="AB91">
        <v>2.4500000000000002</v>
      </c>
      <c r="AC91">
        <v>3.4</v>
      </c>
      <c r="AD91">
        <v>2.9</v>
      </c>
      <c r="AE91">
        <v>2.5</v>
      </c>
      <c r="AF91">
        <v>3.3</v>
      </c>
      <c r="AG91">
        <v>2.9</v>
      </c>
      <c r="AH91">
        <v>2.54</v>
      </c>
      <c r="AI91">
        <v>3.4</v>
      </c>
      <c r="AJ91">
        <v>2.9</v>
      </c>
      <c r="AK91">
        <v>2.4500000000000002</v>
      </c>
      <c r="AL91">
        <v>3.4</v>
      </c>
      <c r="AM91">
        <v>2.9</v>
      </c>
      <c r="AN91">
        <v>2.5099999999999998</v>
      </c>
      <c r="AO91">
        <v>3.59</v>
      </c>
      <c r="AP91">
        <v>2.87</v>
      </c>
      <c r="AQ91">
        <v>2.54</v>
      </c>
      <c r="AR91">
        <v>3.59</v>
      </c>
      <c r="AS91">
        <v>2.96</v>
      </c>
      <c r="AT91">
        <v>2.4900000000000002</v>
      </c>
      <c r="AU91">
        <v>3.37</v>
      </c>
      <c r="AV91">
        <v>2.89</v>
      </c>
      <c r="AW91">
        <v>2.58</v>
      </c>
      <c r="AX91">
        <v>3.45</v>
      </c>
      <c r="AY91">
        <v>3.05</v>
      </c>
      <c r="AZ91">
        <v>1.92</v>
      </c>
      <c r="BA91">
        <v>1.98</v>
      </c>
      <c r="BB91">
        <v>1.93</v>
      </c>
      <c r="BC91">
        <v>1.95</v>
      </c>
      <c r="BD91">
        <v>1.94</v>
      </c>
      <c r="BE91">
        <v>1.99</v>
      </c>
      <c r="BF91">
        <v>1.89</v>
      </c>
      <c r="BG91">
        <v>1.94</v>
      </c>
      <c r="BH91">
        <v>2</v>
      </c>
      <c r="BI91">
        <v>1.99</v>
      </c>
      <c r="BJ91">
        <v>0</v>
      </c>
      <c r="BK91">
        <v>1.82</v>
      </c>
      <c r="BL91">
        <v>2.08</v>
      </c>
      <c r="BM91">
        <v>1.83</v>
      </c>
      <c r="BN91">
        <v>2.09</v>
      </c>
      <c r="BO91">
        <v>1.84</v>
      </c>
      <c r="BP91">
        <v>2.16</v>
      </c>
      <c r="BQ91">
        <v>1.81</v>
      </c>
      <c r="BR91">
        <v>2.08</v>
      </c>
      <c r="BS91">
        <v>1.83</v>
      </c>
      <c r="BT91">
        <v>2.17</v>
      </c>
      <c r="BU91">
        <v>2.2000000000000002</v>
      </c>
      <c r="BV91">
        <v>3.3</v>
      </c>
      <c r="BW91">
        <v>3.3</v>
      </c>
      <c r="BX91">
        <v>2.25</v>
      </c>
      <c r="BY91">
        <v>3.3</v>
      </c>
      <c r="BZ91">
        <v>3.3</v>
      </c>
      <c r="CA91">
        <v>2.2000000000000002</v>
      </c>
      <c r="CB91">
        <v>3.4</v>
      </c>
      <c r="CC91">
        <v>3.3</v>
      </c>
      <c r="CD91">
        <v>2.27</v>
      </c>
      <c r="CE91">
        <v>3.46</v>
      </c>
      <c r="CF91">
        <v>3.35</v>
      </c>
      <c r="CG91">
        <v>2.2999999999999998</v>
      </c>
      <c r="CH91">
        <v>3.3</v>
      </c>
      <c r="CI91">
        <v>3.25</v>
      </c>
      <c r="CJ91">
        <v>2.34</v>
      </c>
      <c r="CK91">
        <v>3.37</v>
      </c>
      <c r="CL91">
        <v>3.27</v>
      </c>
      <c r="CM91">
        <v>2.34</v>
      </c>
      <c r="CN91">
        <v>3.55</v>
      </c>
      <c r="CO91">
        <v>3.45</v>
      </c>
      <c r="CP91">
        <v>2.2599999999999998</v>
      </c>
      <c r="CQ91">
        <v>3.38</v>
      </c>
      <c r="CR91">
        <v>3.32</v>
      </c>
      <c r="CS91">
        <v>2.3199999999999998</v>
      </c>
      <c r="CT91">
        <v>3.5</v>
      </c>
      <c r="CU91">
        <v>3.45</v>
      </c>
      <c r="CV91">
        <v>1.84</v>
      </c>
      <c r="CW91">
        <v>1.94</v>
      </c>
      <c r="CX91">
        <v>1.9</v>
      </c>
      <c r="CY91">
        <v>2.0099999999999998</v>
      </c>
      <c r="CZ91">
        <v>1.91</v>
      </c>
      <c r="DA91">
        <v>2.02</v>
      </c>
      <c r="DB91">
        <v>1.88</v>
      </c>
      <c r="DC91">
        <v>1.96</v>
      </c>
      <c r="DD91">
        <v>1.94</v>
      </c>
      <c r="DE91">
        <v>2.04</v>
      </c>
      <c r="DF91">
        <v>-0.25</v>
      </c>
      <c r="DG91">
        <v>1.95</v>
      </c>
      <c r="DH91">
        <v>1.95</v>
      </c>
      <c r="DI91">
        <v>1.96</v>
      </c>
      <c r="DJ91">
        <v>1.96</v>
      </c>
      <c r="DK91">
        <v>1.99</v>
      </c>
      <c r="DL91">
        <v>1.99</v>
      </c>
      <c r="DM91">
        <v>1.93</v>
      </c>
      <c r="DN91">
        <v>1.93</v>
      </c>
      <c r="DO91">
        <v>1.99</v>
      </c>
      <c r="DP91">
        <v>2</v>
      </c>
    </row>
    <row r="92" spans="1:120" x14ac:dyDescent="0.3">
      <c r="A92" t="s">
        <v>120</v>
      </c>
      <c r="B92" s="2">
        <v>45333</v>
      </c>
      <c r="C92" s="1">
        <v>0.52083333333333337</v>
      </c>
      <c r="D92" t="s">
        <v>138</v>
      </c>
      <c r="E92" t="s">
        <v>132</v>
      </c>
      <c r="F92">
        <v>1</v>
      </c>
      <c r="G92">
        <v>0</v>
      </c>
      <c r="H92" t="s">
        <v>124</v>
      </c>
      <c r="I92">
        <v>1</v>
      </c>
      <c r="J92">
        <v>0</v>
      </c>
      <c r="K92" t="s">
        <v>124</v>
      </c>
      <c r="L92" t="s">
        <v>173</v>
      </c>
      <c r="M92">
        <v>9</v>
      </c>
      <c r="N92">
        <v>10</v>
      </c>
      <c r="O92">
        <v>4</v>
      </c>
      <c r="P92">
        <v>1</v>
      </c>
      <c r="Q92">
        <v>16</v>
      </c>
      <c r="R92">
        <v>18</v>
      </c>
      <c r="S92">
        <v>4</v>
      </c>
      <c r="T92">
        <v>6</v>
      </c>
      <c r="U92">
        <v>4</v>
      </c>
      <c r="V92">
        <v>4</v>
      </c>
      <c r="W92">
        <v>0</v>
      </c>
      <c r="X92">
        <v>0</v>
      </c>
      <c r="Y92">
        <v>3.75</v>
      </c>
      <c r="Z92">
        <v>3.75</v>
      </c>
      <c r="AA92">
        <v>1.95</v>
      </c>
      <c r="AB92">
        <v>3.8</v>
      </c>
      <c r="AC92">
        <v>3.7</v>
      </c>
      <c r="AD92">
        <v>1.95</v>
      </c>
      <c r="AE92">
        <v>3.9</v>
      </c>
      <c r="AF92">
        <v>3.6</v>
      </c>
      <c r="AG92">
        <v>1.95</v>
      </c>
      <c r="AH92">
        <v>3.85</v>
      </c>
      <c r="AI92">
        <v>3.69</v>
      </c>
      <c r="AJ92">
        <v>1.99</v>
      </c>
      <c r="AK92">
        <v>3.7</v>
      </c>
      <c r="AL92">
        <v>3.6</v>
      </c>
      <c r="AM92">
        <v>2</v>
      </c>
      <c r="AN92">
        <v>3.8</v>
      </c>
      <c r="AO92">
        <v>3.8</v>
      </c>
      <c r="AP92">
        <v>2</v>
      </c>
      <c r="AQ92">
        <v>3.88</v>
      </c>
      <c r="AR92">
        <v>3.8</v>
      </c>
      <c r="AS92">
        <v>2.0299999999999998</v>
      </c>
      <c r="AT92">
        <v>3.77</v>
      </c>
      <c r="AU92">
        <v>3.69</v>
      </c>
      <c r="AV92">
        <v>1.98</v>
      </c>
      <c r="AW92">
        <v>4</v>
      </c>
      <c r="AX92">
        <v>3.8</v>
      </c>
      <c r="AY92">
        <v>2.04</v>
      </c>
      <c r="AZ92">
        <v>1.84</v>
      </c>
      <c r="BA92">
        <v>2.06</v>
      </c>
      <c r="BB92">
        <v>1.83</v>
      </c>
      <c r="BC92">
        <v>2.0499999999999998</v>
      </c>
      <c r="BD92">
        <v>1.86</v>
      </c>
      <c r="BE92">
        <v>2.0699999999999998</v>
      </c>
      <c r="BF92">
        <v>1.82</v>
      </c>
      <c r="BG92">
        <v>2.02</v>
      </c>
      <c r="BH92">
        <v>1.9</v>
      </c>
      <c r="BI92">
        <v>2.08</v>
      </c>
      <c r="BJ92">
        <v>0.5</v>
      </c>
      <c r="BK92">
        <v>1.92</v>
      </c>
      <c r="BL92">
        <v>1.98</v>
      </c>
      <c r="BM92">
        <v>1.91</v>
      </c>
      <c r="BN92">
        <v>2</v>
      </c>
      <c r="BO92">
        <v>1.96</v>
      </c>
      <c r="BP92">
        <v>2</v>
      </c>
      <c r="BQ92">
        <v>1.89</v>
      </c>
      <c r="BR92">
        <v>1.97</v>
      </c>
      <c r="BS92">
        <v>1.94</v>
      </c>
      <c r="BT92">
        <v>2.04</v>
      </c>
      <c r="BU92">
        <v>4</v>
      </c>
      <c r="BV92">
        <v>3.6</v>
      </c>
      <c r="BW92">
        <v>1.95</v>
      </c>
      <c r="BX92">
        <v>3.9</v>
      </c>
      <c r="BY92">
        <v>3.6</v>
      </c>
      <c r="BZ92">
        <v>1.95</v>
      </c>
      <c r="CA92">
        <v>3.9</v>
      </c>
      <c r="CB92">
        <v>3.5</v>
      </c>
      <c r="CC92">
        <v>1.95</v>
      </c>
      <c r="CD92">
        <v>4.03</v>
      </c>
      <c r="CE92">
        <v>3.69</v>
      </c>
      <c r="CF92">
        <v>1.96</v>
      </c>
      <c r="CG92">
        <v>4.2</v>
      </c>
      <c r="CH92">
        <v>3.6</v>
      </c>
      <c r="CI92">
        <v>1.91</v>
      </c>
      <c r="CJ92">
        <v>4.3</v>
      </c>
      <c r="CK92">
        <v>3.63</v>
      </c>
      <c r="CL92">
        <v>1.91</v>
      </c>
      <c r="CM92">
        <v>4.3</v>
      </c>
      <c r="CN92">
        <v>3.75</v>
      </c>
      <c r="CO92">
        <v>2.0099999999999998</v>
      </c>
      <c r="CP92">
        <v>3.99</v>
      </c>
      <c r="CQ92">
        <v>3.61</v>
      </c>
      <c r="CR92">
        <v>1.95</v>
      </c>
      <c r="CS92">
        <v>4.0999999999999996</v>
      </c>
      <c r="CT92">
        <v>3.75</v>
      </c>
      <c r="CU92">
        <v>2.02</v>
      </c>
      <c r="CV92">
        <v>1.95</v>
      </c>
      <c r="CW92">
        <v>1.95</v>
      </c>
      <c r="CX92">
        <v>1.95</v>
      </c>
      <c r="CY92">
        <v>1.95</v>
      </c>
      <c r="CZ92">
        <v>1.96</v>
      </c>
      <c r="DA92">
        <v>2.0499999999999998</v>
      </c>
      <c r="DB92">
        <v>1.89</v>
      </c>
      <c r="DC92">
        <v>1.95</v>
      </c>
      <c r="DD92">
        <v>1.93</v>
      </c>
      <c r="DE92">
        <v>2.06</v>
      </c>
      <c r="DF92">
        <v>0.5</v>
      </c>
      <c r="DG92">
        <v>1.95</v>
      </c>
      <c r="DH92">
        <v>1.98</v>
      </c>
      <c r="DI92">
        <v>1.95</v>
      </c>
      <c r="DJ92">
        <v>1.97</v>
      </c>
      <c r="DK92">
        <v>1.97</v>
      </c>
      <c r="DL92">
        <v>2</v>
      </c>
      <c r="DM92">
        <v>1.91</v>
      </c>
      <c r="DN92">
        <v>1.95</v>
      </c>
      <c r="DO92">
        <v>1.96</v>
      </c>
      <c r="DP92">
        <v>2.02</v>
      </c>
    </row>
    <row r="93" spans="1:120" x14ac:dyDescent="0.3">
      <c r="A93" t="s">
        <v>120</v>
      </c>
      <c r="B93" s="2">
        <v>45333</v>
      </c>
      <c r="C93" s="1">
        <v>0.625</v>
      </c>
      <c r="D93" t="s">
        <v>142</v>
      </c>
      <c r="E93" t="s">
        <v>152</v>
      </c>
      <c r="F93">
        <v>2</v>
      </c>
      <c r="G93">
        <v>1</v>
      </c>
      <c r="H93" t="s">
        <v>124</v>
      </c>
      <c r="I93">
        <v>1</v>
      </c>
      <c r="J93">
        <v>0</v>
      </c>
      <c r="K93" t="s">
        <v>124</v>
      </c>
      <c r="L93" t="s">
        <v>143</v>
      </c>
      <c r="M93">
        <v>12</v>
      </c>
      <c r="N93">
        <v>18</v>
      </c>
      <c r="O93">
        <v>6</v>
      </c>
      <c r="P93">
        <v>4</v>
      </c>
      <c r="Q93">
        <v>11</v>
      </c>
      <c r="R93">
        <v>6</v>
      </c>
      <c r="S93">
        <v>3</v>
      </c>
      <c r="T93">
        <v>10</v>
      </c>
      <c r="U93">
        <v>2</v>
      </c>
      <c r="V93">
        <v>1</v>
      </c>
      <c r="W93">
        <v>0</v>
      </c>
      <c r="X93">
        <v>0</v>
      </c>
      <c r="Y93">
        <v>5.5</v>
      </c>
      <c r="Z93">
        <v>4.2</v>
      </c>
      <c r="AA93">
        <v>1.57</v>
      </c>
      <c r="AB93">
        <v>5.25</v>
      </c>
      <c r="AC93">
        <v>4.5</v>
      </c>
      <c r="AD93">
        <v>1.57</v>
      </c>
      <c r="AE93">
        <v>5.5</v>
      </c>
      <c r="AF93">
        <v>4.4000000000000004</v>
      </c>
      <c r="AG93">
        <v>1.57</v>
      </c>
      <c r="AH93">
        <v>5.29</v>
      </c>
      <c r="AI93">
        <v>4.4800000000000004</v>
      </c>
      <c r="AJ93">
        <v>1.6</v>
      </c>
      <c r="AK93">
        <v>5.5</v>
      </c>
      <c r="AL93">
        <v>4.33</v>
      </c>
      <c r="AM93">
        <v>1.6</v>
      </c>
      <c r="AN93">
        <v>5.3</v>
      </c>
      <c r="AO93">
        <v>4.54</v>
      </c>
      <c r="AP93">
        <v>1.62</v>
      </c>
      <c r="AQ93">
        <v>5.5</v>
      </c>
      <c r="AR93">
        <v>4.5999999999999996</v>
      </c>
      <c r="AS93">
        <v>1.62</v>
      </c>
      <c r="AT93">
        <v>5.32</v>
      </c>
      <c r="AU93">
        <v>4.4400000000000004</v>
      </c>
      <c r="AV93">
        <v>1.59</v>
      </c>
      <c r="AW93">
        <v>5.9</v>
      </c>
      <c r="AX93">
        <v>4.5999999999999996</v>
      </c>
      <c r="AY93">
        <v>1.62</v>
      </c>
      <c r="AZ93">
        <v>1.57</v>
      </c>
      <c r="BA93">
        <v>2.38</v>
      </c>
      <c r="BB93">
        <v>1.59</v>
      </c>
      <c r="BC93">
        <v>2.46</v>
      </c>
      <c r="BD93">
        <v>1.62</v>
      </c>
      <c r="BE93">
        <v>2.52</v>
      </c>
      <c r="BF93">
        <v>1.57</v>
      </c>
      <c r="BG93">
        <v>2.42</v>
      </c>
      <c r="BH93">
        <v>1.63</v>
      </c>
      <c r="BI93">
        <v>2.5</v>
      </c>
      <c r="BJ93">
        <v>1</v>
      </c>
      <c r="BK93">
        <v>1.91</v>
      </c>
      <c r="BL93">
        <v>1.99</v>
      </c>
      <c r="BM93">
        <v>1.89</v>
      </c>
      <c r="BN93">
        <v>2.0099999999999998</v>
      </c>
      <c r="BO93">
        <v>1.92</v>
      </c>
      <c r="BP93">
        <v>2.0099999999999998</v>
      </c>
      <c r="BQ93">
        <v>1.88</v>
      </c>
      <c r="BR93">
        <v>1.97</v>
      </c>
      <c r="BS93">
        <v>1.93</v>
      </c>
      <c r="BT93">
        <v>2.0499999999999998</v>
      </c>
      <c r="BU93">
        <v>5.75</v>
      </c>
      <c r="BV93">
        <v>4.2</v>
      </c>
      <c r="BW93">
        <v>1.55</v>
      </c>
      <c r="BX93">
        <v>5.5</v>
      </c>
      <c r="BY93">
        <v>4.4000000000000004</v>
      </c>
      <c r="BZ93">
        <v>1.55</v>
      </c>
      <c r="CA93">
        <v>6</v>
      </c>
      <c r="CB93">
        <v>4.4000000000000004</v>
      </c>
      <c r="CC93">
        <v>1.5</v>
      </c>
      <c r="CD93">
        <v>6.11</v>
      </c>
      <c r="CE93">
        <v>4.42</v>
      </c>
      <c r="CF93">
        <v>1.56</v>
      </c>
      <c r="CG93">
        <v>5.8</v>
      </c>
      <c r="CH93">
        <v>4.5</v>
      </c>
      <c r="CI93">
        <v>1.53</v>
      </c>
      <c r="CJ93">
        <v>6.27</v>
      </c>
      <c r="CK93">
        <v>4.3099999999999996</v>
      </c>
      <c r="CL93">
        <v>1.57</v>
      </c>
      <c r="CM93">
        <v>6.3</v>
      </c>
      <c r="CN93">
        <v>4.6500000000000004</v>
      </c>
      <c r="CO93">
        <v>1.62</v>
      </c>
      <c r="CP93">
        <v>5.83</v>
      </c>
      <c r="CQ93">
        <v>4.45</v>
      </c>
      <c r="CR93">
        <v>1.55</v>
      </c>
      <c r="CS93">
        <v>6.6</v>
      </c>
      <c r="CT93">
        <v>4.7</v>
      </c>
      <c r="CU93">
        <v>1.56</v>
      </c>
      <c r="CV93">
        <v>1.57</v>
      </c>
      <c r="CW93">
        <v>2.38</v>
      </c>
      <c r="CX93">
        <v>1.57</v>
      </c>
      <c r="CY93">
        <v>2.54</v>
      </c>
      <c r="CZ93">
        <v>1.64</v>
      </c>
      <c r="DA93">
        <v>2.59</v>
      </c>
      <c r="DB93">
        <v>1.56</v>
      </c>
      <c r="DC93">
        <v>2.48</v>
      </c>
      <c r="DD93">
        <v>1.59</v>
      </c>
      <c r="DE93">
        <v>2.66</v>
      </c>
      <c r="DF93">
        <v>1</v>
      </c>
      <c r="DG93">
        <v>1.98</v>
      </c>
      <c r="DH93">
        <v>1.95</v>
      </c>
      <c r="DI93">
        <v>1.99</v>
      </c>
      <c r="DJ93">
        <v>1.93</v>
      </c>
      <c r="DK93">
        <v>2.0099999999999998</v>
      </c>
      <c r="DL93">
        <v>2</v>
      </c>
      <c r="DM93">
        <v>1.97</v>
      </c>
      <c r="DN93">
        <v>1.9</v>
      </c>
      <c r="DO93">
        <v>2.04</v>
      </c>
      <c r="DP93">
        <v>1.95</v>
      </c>
    </row>
    <row r="94" spans="1:120" x14ac:dyDescent="0.3">
      <c r="A94" t="s">
        <v>120</v>
      </c>
      <c r="B94" s="2">
        <v>45333</v>
      </c>
      <c r="C94" s="1">
        <v>0.625</v>
      </c>
      <c r="D94" t="s">
        <v>128</v>
      </c>
      <c r="E94" t="s">
        <v>155</v>
      </c>
      <c r="F94">
        <v>1</v>
      </c>
      <c r="G94">
        <v>1</v>
      </c>
      <c r="H94" t="s">
        <v>125</v>
      </c>
      <c r="I94">
        <v>0</v>
      </c>
      <c r="J94">
        <v>0</v>
      </c>
      <c r="K94" t="s">
        <v>125</v>
      </c>
      <c r="L94" t="s">
        <v>131</v>
      </c>
      <c r="M94">
        <v>14</v>
      </c>
      <c r="N94">
        <v>20</v>
      </c>
      <c r="O94">
        <v>2</v>
      </c>
      <c r="P94">
        <v>6</v>
      </c>
      <c r="Q94">
        <v>11</v>
      </c>
      <c r="R94">
        <v>10</v>
      </c>
      <c r="S94">
        <v>4</v>
      </c>
      <c r="T94">
        <v>6</v>
      </c>
      <c r="U94">
        <v>4</v>
      </c>
      <c r="V94">
        <v>2</v>
      </c>
      <c r="W94">
        <v>1</v>
      </c>
      <c r="X94">
        <v>0</v>
      </c>
      <c r="Y94">
        <v>2.25</v>
      </c>
      <c r="Z94">
        <v>3.5</v>
      </c>
      <c r="AA94">
        <v>3.1</v>
      </c>
      <c r="AB94">
        <v>2.25</v>
      </c>
      <c r="AC94">
        <v>3.5</v>
      </c>
      <c r="AD94">
        <v>3.1</v>
      </c>
      <c r="AE94">
        <v>2.2999999999999998</v>
      </c>
      <c r="AF94">
        <v>3.5</v>
      </c>
      <c r="AG94">
        <v>3.1</v>
      </c>
      <c r="AH94">
        <v>2.2799999999999998</v>
      </c>
      <c r="AI94">
        <v>3.63</v>
      </c>
      <c r="AJ94">
        <v>3.13</v>
      </c>
      <c r="AK94">
        <v>2.25</v>
      </c>
      <c r="AL94">
        <v>3.6</v>
      </c>
      <c r="AM94">
        <v>3.1</v>
      </c>
      <c r="AN94">
        <v>2.2799999999999998</v>
      </c>
      <c r="AO94">
        <v>3.77</v>
      </c>
      <c r="AP94">
        <v>3.11</v>
      </c>
      <c r="AQ94">
        <v>2.2999999999999998</v>
      </c>
      <c r="AR94">
        <v>3.77</v>
      </c>
      <c r="AS94">
        <v>3.18</v>
      </c>
      <c r="AT94">
        <v>2.27</v>
      </c>
      <c r="AU94">
        <v>3.61</v>
      </c>
      <c r="AV94">
        <v>3.09</v>
      </c>
      <c r="AW94">
        <v>2.34</v>
      </c>
      <c r="AX94">
        <v>3.7</v>
      </c>
      <c r="AY94">
        <v>3.25</v>
      </c>
      <c r="AZ94">
        <v>1.73</v>
      </c>
      <c r="BA94">
        <v>2.1</v>
      </c>
      <c r="BB94">
        <v>1.72</v>
      </c>
      <c r="BC94">
        <v>2.2000000000000002</v>
      </c>
      <c r="BD94">
        <v>1.74</v>
      </c>
      <c r="BE94">
        <v>2.25</v>
      </c>
      <c r="BF94">
        <v>1.71</v>
      </c>
      <c r="BG94">
        <v>2.1800000000000002</v>
      </c>
      <c r="BH94">
        <v>1.74</v>
      </c>
      <c r="BI94">
        <v>2.2799999999999998</v>
      </c>
      <c r="BJ94">
        <v>-0.25</v>
      </c>
      <c r="BK94">
        <v>2</v>
      </c>
      <c r="BL94">
        <v>1.9</v>
      </c>
      <c r="BM94">
        <v>1.99</v>
      </c>
      <c r="BN94">
        <v>1.92</v>
      </c>
      <c r="BO94">
        <v>2.0499999999999998</v>
      </c>
      <c r="BP94">
        <v>1.92</v>
      </c>
      <c r="BQ94">
        <v>1.95</v>
      </c>
      <c r="BR94">
        <v>1.89</v>
      </c>
      <c r="BS94">
        <v>2.02</v>
      </c>
      <c r="BT94">
        <v>1.95</v>
      </c>
      <c r="BU94">
        <v>2.2999999999999998</v>
      </c>
      <c r="BV94">
        <v>3.7</v>
      </c>
      <c r="BW94">
        <v>2.9</v>
      </c>
      <c r="BX94">
        <v>2.37</v>
      </c>
      <c r="BY94">
        <v>3.6</v>
      </c>
      <c r="BZ94">
        <v>2.87</v>
      </c>
      <c r="CA94">
        <v>2.38</v>
      </c>
      <c r="CB94">
        <v>3.4</v>
      </c>
      <c r="CC94">
        <v>3</v>
      </c>
      <c r="CD94">
        <v>2.36</v>
      </c>
      <c r="CE94">
        <v>3.54</v>
      </c>
      <c r="CF94">
        <v>3.09</v>
      </c>
      <c r="CG94">
        <v>2.2999999999999998</v>
      </c>
      <c r="CH94">
        <v>3.6</v>
      </c>
      <c r="CI94">
        <v>3</v>
      </c>
      <c r="CJ94">
        <v>2.41</v>
      </c>
      <c r="CK94">
        <v>3.77</v>
      </c>
      <c r="CL94">
        <v>2.86</v>
      </c>
      <c r="CM94">
        <v>2.42</v>
      </c>
      <c r="CN94">
        <v>3.77</v>
      </c>
      <c r="CO94">
        <v>3.23</v>
      </c>
      <c r="CP94">
        <v>2.36</v>
      </c>
      <c r="CQ94">
        <v>3.59</v>
      </c>
      <c r="CR94">
        <v>2.97</v>
      </c>
      <c r="CS94">
        <v>2.44</v>
      </c>
      <c r="CT94">
        <v>3.6</v>
      </c>
      <c r="CU94">
        <v>3.15</v>
      </c>
      <c r="CV94">
        <v>1.67</v>
      </c>
      <c r="CW94">
        <v>2.2000000000000002</v>
      </c>
      <c r="CX94">
        <v>1.72</v>
      </c>
      <c r="CY94">
        <v>2.2200000000000002</v>
      </c>
      <c r="CZ94">
        <v>1.76</v>
      </c>
      <c r="DA94">
        <v>2.31</v>
      </c>
      <c r="DB94">
        <v>1.69</v>
      </c>
      <c r="DC94">
        <v>2.2200000000000002</v>
      </c>
      <c r="DD94">
        <v>1.73</v>
      </c>
      <c r="DE94">
        <v>2.34</v>
      </c>
      <c r="DF94">
        <v>-0.25</v>
      </c>
      <c r="DG94">
        <v>2.0499999999999998</v>
      </c>
      <c r="DH94">
        <v>1.88</v>
      </c>
      <c r="DI94">
        <v>2.0499999999999998</v>
      </c>
      <c r="DJ94">
        <v>1.88</v>
      </c>
      <c r="DK94">
        <v>2.0699999999999998</v>
      </c>
      <c r="DL94">
        <v>1.94</v>
      </c>
      <c r="DM94">
        <v>2.0299999999999998</v>
      </c>
      <c r="DN94">
        <v>1.84</v>
      </c>
      <c r="DO94">
        <v>2.1</v>
      </c>
      <c r="DP94">
        <v>1.89</v>
      </c>
    </row>
    <row r="95" spans="1:120" x14ac:dyDescent="0.3">
      <c r="A95" t="s">
        <v>120</v>
      </c>
      <c r="B95" s="2">
        <v>45333</v>
      </c>
      <c r="C95" s="1">
        <v>0.625</v>
      </c>
      <c r="D95" t="s">
        <v>129</v>
      </c>
      <c r="E95" t="s">
        <v>136</v>
      </c>
      <c r="F95">
        <v>2</v>
      </c>
      <c r="G95">
        <v>1</v>
      </c>
      <c r="H95" t="s">
        <v>124</v>
      </c>
      <c r="I95">
        <v>0</v>
      </c>
      <c r="J95">
        <v>1</v>
      </c>
      <c r="K95" t="s">
        <v>130</v>
      </c>
      <c r="L95" t="s">
        <v>146</v>
      </c>
      <c r="M95">
        <v>16</v>
      </c>
      <c r="N95">
        <v>13</v>
      </c>
      <c r="O95">
        <v>8</v>
      </c>
      <c r="P95">
        <v>5</v>
      </c>
      <c r="Q95">
        <v>10</v>
      </c>
      <c r="R95">
        <v>18</v>
      </c>
      <c r="S95">
        <v>10</v>
      </c>
      <c r="T95">
        <v>7</v>
      </c>
      <c r="U95">
        <v>1</v>
      </c>
      <c r="V95">
        <v>1</v>
      </c>
      <c r="W95">
        <v>0</v>
      </c>
      <c r="X95">
        <v>0</v>
      </c>
      <c r="Y95">
        <v>1.4</v>
      </c>
      <c r="Z95">
        <v>5</v>
      </c>
      <c r="AA95">
        <v>7.5</v>
      </c>
      <c r="AB95">
        <v>1.41</v>
      </c>
      <c r="AC95">
        <v>5.25</v>
      </c>
      <c r="AD95">
        <v>6.75</v>
      </c>
      <c r="AE95">
        <v>1.36</v>
      </c>
      <c r="AF95">
        <v>5</v>
      </c>
      <c r="AG95">
        <v>7</v>
      </c>
      <c r="AH95">
        <v>1.39</v>
      </c>
      <c r="AI95">
        <v>5.54</v>
      </c>
      <c r="AJ95">
        <v>7.11</v>
      </c>
      <c r="AK95">
        <v>1.4</v>
      </c>
      <c r="AL95">
        <v>5</v>
      </c>
      <c r="AM95">
        <v>7.5</v>
      </c>
      <c r="AN95">
        <v>1.43</v>
      </c>
      <c r="AO95">
        <v>5.4</v>
      </c>
      <c r="AP95">
        <v>7.13</v>
      </c>
      <c r="AQ95">
        <v>1.43</v>
      </c>
      <c r="AR95">
        <v>5.8</v>
      </c>
      <c r="AS95">
        <v>7.5</v>
      </c>
      <c r="AT95">
        <v>1.39</v>
      </c>
      <c r="AU95">
        <v>5.4</v>
      </c>
      <c r="AV95">
        <v>7.12</v>
      </c>
      <c r="AW95">
        <v>1.42</v>
      </c>
      <c r="AX95">
        <v>5.8</v>
      </c>
      <c r="AY95">
        <v>8</v>
      </c>
      <c r="AZ95">
        <v>1.4</v>
      </c>
      <c r="BA95">
        <v>3</v>
      </c>
      <c r="BB95">
        <v>1.39</v>
      </c>
      <c r="BC95">
        <v>3.13</v>
      </c>
      <c r="BD95">
        <v>1.41</v>
      </c>
      <c r="BE95">
        <v>3.17</v>
      </c>
      <c r="BF95">
        <v>1.39</v>
      </c>
      <c r="BG95">
        <v>2.99</v>
      </c>
      <c r="BH95">
        <v>1.45</v>
      </c>
      <c r="BI95">
        <v>3.15</v>
      </c>
      <c r="BJ95">
        <v>-1.5</v>
      </c>
      <c r="BK95">
        <v>2.04</v>
      </c>
      <c r="BL95">
        <v>1.86</v>
      </c>
      <c r="BM95">
        <v>2.06</v>
      </c>
      <c r="BN95">
        <v>1.85</v>
      </c>
      <c r="BO95">
        <v>2.09</v>
      </c>
      <c r="BP95">
        <v>1.88</v>
      </c>
      <c r="BQ95">
        <v>2.0299999999999998</v>
      </c>
      <c r="BR95">
        <v>1.84</v>
      </c>
      <c r="BS95">
        <v>2.08</v>
      </c>
      <c r="BT95">
        <v>1.88</v>
      </c>
      <c r="BU95">
        <v>1.36</v>
      </c>
      <c r="BV95">
        <v>5.25</v>
      </c>
      <c r="BW95">
        <v>7.5</v>
      </c>
      <c r="BX95">
        <v>1.39</v>
      </c>
      <c r="BY95">
        <v>5.5</v>
      </c>
      <c r="BZ95">
        <v>7</v>
      </c>
      <c r="CA95">
        <v>1.33</v>
      </c>
      <c r="CB95">
        <v>5.5</v>
      </c>
      <c r="CC95">
        <v>8</v>
      </c>
      <c r="CD95">
        <v>1.36</v>
      </c>
      <c r="CE95">
        <v>5.79</v>
      </c>
      <c r="CF95">
        <v>7.93</v>
      </c>
      <c r="CG95">
        <v>1.36</v>
      </c>
      <c r="CH95">
        <v>5.5</v>
      </c>
      <c r="CI95">
        <v>7.5</v>
      </c>
      <c r="CJ95">
        <v>1.41</v>
      </c>
      <c r="CK95">
        <v>5.39</v>
      </c>
      <c r="CL95">
        <v>7.44</v>
      </c>
      <c r="CM95">
        <v>1.41</v>
      </c>
      <c r="CN95">
        <v>6.3</v>
      </c>
      <c r="CO95">
        <v>8.4</v>
      </c>
      <c r="CP95">
        <v>1.38</v>
      </c>
      <c r="CQ95">
        <v>5.57</v>
      </c>
      <c r="CR95">
        <v>7.49</v>
      </c>
      <c r="CS95">
        <v>1.39</v>
      </c>
      <c r="CT95">
        <v>5.9</v>
      </c>
      <c r="CU95">
        <v>8.6</v>
      </c>
      <c r="CV95">
        <v>1.4</v>
      </c>
      <c r="CW95">
        <v>3</v>
      </c>
      <c r="CX95">
        <v>1.39</v>
      </c>
      <c r="CY95">
        <v>3.13</v>
      </c>
      <c r="CZ95">
        <v>1.43</v>
      </c>
      <c r="DA95">
        <v>3.39</v>
      </c>
      <c r="DB95">
        <v>1.39</v>
      </c>
      <c r="DC95">
        <v>3.06</v>
      </c>
      <c r="DD95">
        <v>1.43</v>
      </c>
      <c r="DE95">
        <v>3.25</v>
      </c>
      <c r="DF95">
        <v>-1.5</v>
      </c>
      <c r="DG95">
        <v>2.0099999999999998</v>
      </c>
      <c r="DH95">
        <v>1.92</v>
      </c>
      <c r="DI95">
        <v>2</v>
      </c>
      <c r="DJ95">
        <v>1.93</v>
      </c>
      <c r="DK95">
        <v>2.0499999999999998</v>
      </c>
      <c r="DL95">
        <v>1.99</v>
      </c>
      <c r="DM95">
        <v>1.98</v>
      </c>
      <c r="DN95">
        <v>1.89</v>
      </c>
      <c r="DO95">
        <v>2.0299999999999998</v>
      </c>
      <c r="DP95">
        <v>1.95</v>
      </c>
    </row>
    <row r="96" spans="1:120" x14ac:dyDescent="0.3">
      <c r="A96" t="s">
        <v>120</v>
      </c>
      <c r="B96" s="2">
        <v>45333</v>
      </c>
      <c r="C96" s="1">
        <v>0.625</v>
      </c>
      <c r="D96" t="s">
        <v>141</v>
      </c>
      <c r="E96" t="s">
        <v>144</v>
      </c>
      <c r="F96">
        <v>3</v>
      </c>
      <c r="G96">
        <v>0</v>
      </c>
      <c r="H96" t="s">
        <v>124</v>
      </c>
      <c r="I96">
        <v>1</v>
      </c>
      <c r="J96">
        <v>0</v>
      </c>
      <c r="K96" t="s">
        <v>124</v>
      </c>
      <c r="L96" t="s">
        <v>171</v>
      </c>
      <c r="M96">
        <v>19</v>
      </c>
      <c r="N96">
        <v>4</v>
      </c>
      <c r="O96">
        <v>6</v>
      </c>
      <c r="P96">
        <v>2</v>
      </c>
      <c r="Q96">
        <v>7</v>
      </c>
      <c r="R96">
        <v>9</v>
      </c>
      <c r="S96">
        <v>11</v>
      </c>
      <c r="T96">
        <v>6</v>
      </c>
      <c r="U96">
        <v>1</v>
      </c>
      <c r="V96">
        <v>2</v>
      </c>
      <c r="W96">
        <v>0</v>
      </c>
      <c r="X96">
        <v>1</v>
      </c>
      <c r="Y96">
        <v>2.15</v>
      </c>
      <c r="Z96">
        <v>3.5</v>
      </c>
      <c r="AA96">
        <v>3.4</v>
      </c>
      <c r="AB96">
        <v>2.15</v>
      </c>
      <c r="AC96">
        <v>3.5</v>
      </c>
      <c r="AD96">
        <v>3.3</v>
      </c>
      <c r="AE96">
        <v>2.15</v>
      </c>
      <c r="AF96">
        <v>3.4</v>
      </c>
      <c r="AG96">
        <v>3.5</v>
      </c>
      <c r="AH96">
        <v>2.15</v>
      </c>
      <c r="AI96">
        <v>3.51</v>
      </c>
      <c r="AJ96">
        <v>3.53</v>
      </c>
      <c r="AK96">
        <v>2.15</v>
      </c>
      <c r="AL96">
        <v>3.5</v>
      </c>
      <c r="AM96">
        <v>3.4</v>
      </c>
      <c r="AN96">
        <v>2.13</v>
      </c>
      <c r="AO96">
        <v>3.69</v>
      </c>
      <c r="AP96">
        <v>3.51</v>
      </c>
      <c r="AQ96">
        <v>2.2000000000000002</v>
      </c>
      <c r="AR96">
        <v>3.69</v>
      </c>
      <c r="AS96">
        <v>3.58</v>
      </c>
      <c r="AT96">
        <v>2.15</v>
      </c>
      <c r="AU96">
        <v>3.52</v>
      </c>
      <c r="AV96">
        <v>3.43</v>
      </c>
      <c r="AW96">
        <v>2.2000000000000002</v>
      </c>
      <c r="AX96">
        <v>3.6</v>
      </c>
      <c r="AY96">
        <v>3.65</v>
      </c>
      <c r="AZ96">
        <v>1.89</v>
      </c>
      <c r="BA96">
        <v>2.0099999999999998</v>
      </c>
      <c r="BB96">
        <v>1.88</v>
      </c>
      <c r="BC96">
        <v>2.02</v>
      </c>
      <c r="BD96">
        <v>1.9</v>
      </c>
      <c r="BE96">
        <v>2.0299999999999998</v>
      </c>
      <c r="BF96">
        <v>1.86</v>
      </c>
      <c r="BG96">
        <v>1.98</v>
      </c>
      <c r="BH96">
        <v>1.92</v>
      </c>
      <c r="BI96">
        <v>2.06</v>
      </c>
      <c r="BJ96">
        <v>-0.25</v>
      </c>
      <c r="BK96">
        <v>1.87</v>
      </c>
      <c r="BL96">
        <v>2.0299999999999998</v>
      </c>
      <c r="BM96">
        <v>1.86</v>
      </c>
      <c r="BN96">
        <v>2.0499999999999998</v>
      </c>
      <c r="BO96">
        <v>1.91</v>
      </c>
      <c r="BP96">
        <v>2.06</v>
      </c>
      <c r="BQ96">
        <v>1.84</v>
      </c>
      <c r="BR96">
        <v>2.0099999999999998</v>
      </c>
      <c r="BS96">
        <v>1.89</v>
      </c>
      <c r="BT96">
        <v>2.11</v>
      </c>
      <c r="BU96">
        <v>2</v>
      </c>
      <c r="BV96">
        <v>3.5</v>
      </c>
      <c r="BW96">
        <v>3.75</v>
      </c>
      <c r="BX96">
        <v>2.0499999999999998</v>
      </c>
      <c r="BY96">
        <v>3.4</v>
      </c>
      <c r="BZ96">
        <v>3.6</v>
      </c>
      <c r="CA96">
        <v>2</v>
      </c>
      <c r="CB96">
        <v>3.4</v>
      </c>
      <c r="CC96">
        <v>3.9</v>
      </c>
      <c r="CD96">
        <v>2.0499999999999998</v>
      </c>
      <c r="CE96">
        <v>3.46</v>
      </c>
      <c r="CF96">
        <v>3.95</v>
      </c>
      <c r="CG96">
        <v>2.0499999999999998</v>
      </c>
      <c r="CH96">
        <v>3.5</v>
      </c>
      <c r="CI96">
        <v>3.7</v>
      </c>
      <c r="CJ96">
        <v>2.09</v>
      </c>
      <c r="CK96">
        <v>3.57</v>
      </c>
      <c r="CL96">
        <v>3.68</v>
      </c>
      <c r="CM96">
        <v>2.1</v>
      </c>
      <c r="CN96">
        <v>3.57</v>
      </c>
      <c r="CO96">
        <v>4</v>
      </c>
      <c r="CP96">
        <v>2.0499999999999998</v>
      </c>
      <c r="CQ96">
        <v>3.48</v>
      </c>
      <c r="CR96">
        <v>3.78</v>
      </c>
      <c r="CS96">
        <v>2.1</v>
      </c>
      <c r="CT96">
        <v>3.5</v>
      </c>
      <c r="CU96">
        <v>4</v>
      </c>
      <c r="CV96">
        <v>2.0299999999999998</v>
      </c>
      <c r="CW96">
        <v>1.87</v>
      </c>
      <c r="CX96">
        <v>2.0299999999999998</v>
      </c>
      <c r="CY96">
        <v>1.88</v>
      </c>
      <c r="CZ96">
        <v>2.13</v>
      </c>
      <c r="DA96">
        <v>2</v>
      </c>
      <c r="DB96">
        <v>1.99</v>
      </c>
      <c r="DC96">
        <v>1.85</v>
      </c>
      <c r="DD96">
        <v>2.06</v>
      </c>
      <c r="DE96">
        <v>1.93</v>
      </c>
      <c r="DF96">
        <v>-0.5</v>
      </c>
      <c r="DG96">
        <v>2.0699999999999998</v>
      </c>
      <c r="DH96">
        <v>1.86</v>
      </c>
      <c r="DI96">
        <v>2.06</v>
      </c>
      <c r="DJ96">
        <v>1.87</v>
      </c>
      <c r="DK96">
        <v>2.09</v>
      </c>
      <c r="DL96">
        <v>1.87</v>
      </c>
      <c r="DM96">
        <v>2.04</v>
      </c>
      <c r="DN96">
        <v>1.83</v>
      </c>
      <c r="DO96">
        <v>2.1</v>
      </c>
      <c r="DP96">
        <v>1.89</v>
      </c>
    </row>
    <row r="97" spans="1:120" x14ac:dyDescent="0.3">
      <c r="A97" t="s">
        <v>120</v>
      </c>
      <c r="B97" s="2">
        <v>45333</v>
      </c>
      <c r="C97" s="1">
        <v>0.625</v>
      </c>
      <c r="D97" t="s">
        <v>139</v>
      </c>
      <c r="E97" t="s">
        <v>135</v>
      </c>
      <c r="F97">
        <v>1</v>
      </c>
      <c r="G97">
        <v>0</v>
      </c>
      <c r="H97" t="s">
        <v>124</v>
      </c>
      <c r="I97">
        <v>0</v>
      </c>
      <c r="J97">
        <v>0</v>
      </c>
      <c r="K97" t="s">
        <v>125</v>
      </c>
      <c r="L97" t="s">
        <v>176</v>
      </c>
      <c r="M97">
        <v>9</v>
      </c>
      <c r="N97">
        <v>16</v>
      </c>
      <c r="O97">
        <v>2</v>
      </c>
      <c r="P97">
        <v>5</v>
      </c>
      <c r="Q97">
        <v>14</v>
      </c>
      <c r="R97">
        <v>18</v>
      </c>
      <c r="S97">
        <v>3</v>
      </c>
      <c r="T97">
        <v>6</v>
      </c>
      <c r="U97">
        <v>4</v>
      </c>
      <c r="V97">
        <v>2</v>
      </c>
      <c r="W97">
        <v>0</v>
      </c>
      <c r="X97">
        <v>0</v>
      </c>
      <c r="Y97">
        <v>2.63</v>
      </c>
      <c r="Z97">
        <v>3.4</v>
      </c>
      <c r="AA97">
        <v>2.63</v>
      </c>
      <c r="AB97">
        <v>2.5499999999999998</v>
      </c>
      <c r="AC97">
        <v>3.5</v>
      </c>
      <c r="AD97">
        <v>2.65</v>
      </c>
      <c r="AE97">
        <v>2.7</v>
      </c>
      <c r="AF97">
        <v>3.4</v>
      </c>
      <c r="AG97">
        <v>2.63</v>
      </c>
      <c r="AH97">
        <v>2.7</v>
      </c>
      <c r="AI97">
        <v>3.45</v>
      </c>
      <c r="AJ97">
        <v>2.69</v>
      </c>
      <c r="AK97">
        <v>2.62</v>
      </c>
      <c r="AL97">
        <v>3.5</v>
      </c>
      <c r="AM97">
        <v>2.62</v>
      </c>
      <c r="AN97">
        <v>2.69</v>
      </c>
      <c r="AO97">
        <v>3.63</v>
      </c>
      <c r="AP97">
        <v>2.64</v>
      </c>
      <c r="AQ97">
        <v>2.7</v>
      </c>
      <c r="AR97">
        <v>3.63</v>
      </c>
      <c r="AS97">
        <v>2.75</v>
      </c>
      <c r="AT97">
        <v>2.65</v>
      </c>
      <c r="AU97">
        <v>3.48</v>
      </c>
      <c r="AV97">
        <v>2.66</v>
      </c>
      <c r="AW97">
        <v>2.76</v>
      </c>
      <c r="AX97">
        <v>3.55</v>
      </c>
      <c r="AY97">
        <v>2.76</v>
      </c>
      <c r="AZ97">
        <v>1.84</v>
      </c>
      <c r="BA97">
        <v>2.06</v>
      </c>
      <c r="BB97">
        <v>1.85</v>
      </c>
      <c r="BC97">
        <v>2.0499999999999998</v>
      </c>
      <c r="BD97">
        <v>1.86</v>
      </c>
      <c r="BE97">
        <v>2.06</v>
      </c>
      <c r="BF97">
        <v>1.83</v>
      </c>
      <c r="BG97">
        <v>2.02</v>
      </c>
      <c r="BH97">
        <v>1.87</v>
      </c>
      <c r="BI97">
        <v>2.1</v>
      </c>
      <c r="BJ97">
        <v>0</v>
      </c>
      <c r="BK97">
        <v>1.95</v>
      </c>
      <c r="BL97">
        <v>1.95</v>
      </c>
      <c r="BM97">
        <v>1.95</v>
      </c>
      <c r="BN97">
        <v>1.95</v>
      </c>
      <c r="BO97">
        <v>1.97</v>
      </c>
      <c r="BP97">
        <v>1.97</v>
      </c>
      <c r="BQ97">
        <v>1.94</v>
      </c>
      <c r="BR97">
        <v>1.93</v>
      </c>
      <c r="BS97">
        <v>1.99</v>
      </c>
      <c r="BT97">
        <v>1.99</v>
      </c>
      <c r="BU97">
        <v>2.63</v>
      </c>
      <c r="BV97">
        <v>3.25</v>
      </c>
      <c r="BW97">
        <v>2.63</v>
      </c>
      <c r="BX97">
        <v>2.65</v>
      </c>
      <c r="BY97">
        <v>3.2</v>
      </c>
      <c r="BZ97">
        <v>2.7</v>
      </c>
      <c r="CA97">
        <v>2.63</v>
      </c>
      <c r="CB97">
        <v>3.4</v>
      </c>
      <c r="CC97">
        <v>2.7</v>
      </c>
      <c r="CD97">
        <v>2.72</v>
      </c>
      <c r="CE97">
        <v>3.31</v>
      </c>
      <c r="CF97">
        <v>2.8</v>
      </c>
      <c r="CG97">
        <v>2.7</v>
      </c>
      <c r="CH97">
        <v>3.4</v>
      </c>
      <c r="CI97">
        <v>2.62</v>
      </c>
      <c r="CJ97">
        <v>2.82</v>
      </c>
      <c r="CK97">
        <v>3.37</v>
      </c>
      <c r="CL97">
        <v>2.63</v>
      </c>
      <c r="CM97">
        <v>2.82</v>
      </c>
      <c r="CN97">
        <v>3.53</v>
      </c>
      <c r="CO97">
        <v>2.85</v>
      </c>
      <c r="CP97">
        <v>2.7</v>
      </c>
      <c r="CQ97">
        <v>3.32</v>
      </c>
      <c r="CR97">
        <v>2.71</v>
      </c>
      <c r="CS97">
        <v>2.8</v>
      </c>
      <c r="CT97">
        <v>3.45</v>
      </c>
      <c r="CU97">
        <v>2.82</v>
      </c>
      <c r="CV97">
        <v>1.99</v>
      </c>
      <c r="CW97">
        <v>1.91</v>
      </c>
      <c r="CX97">
        <v>2</v>
      </c>
      <c r="CY97">
        <v>1.9</v>
      </c>
      <c r="CZ97">
        <v>2</v>
      </c>
      <c r="DA97">
        <v>2.11</v>
      </c>
      <c r="DB97">
        <v>1.94</v>
      </c>
      <c r="DC97">
        <v>1.9</v>
      </c>
      <c r="DD97">
        <v>2</v>
      </c>
      <c r="DE97">
        <v>1.98</v>
      </c>
      <c r="DF97">
        <v>0</v>
      </c>
      <c r="DG97">
        <v>1.95</v>
      </c>
      <c r="DH97">
        <v>1.98</v>
      </c>
      <c r="DI97">
        <v>1.93</v>
      </c>
      <c r="DJ97">
        <v>1.99</v>
      </c>
      <c r="DK97">
        <v>1.98</v>
      </c>
      <c r="DL97">
        <v>1.99</v>
      </c>
      <c r="DM97">
        <v>1.94</v>
      </c>
      <c r="DN97">
        <v>1.94</v>
      </c>
      <c r="DO97">
        <v>1.99</v>
      </c>
      <c r="DP97">
        <v>2</v>
      </c>
    </row>
    <row r="98" spans="1:120" x14ac:dyDescent="0.3">
      <c r="A98" t="s">
        <v>120</v>
      </c>
      <c r="B98" s="2">
        <v>45333</v>
      </c>
      <c r="C98" s="1">
        <v>0.72916666666666663</v>
      </c>
      <c r="D98" t="s">
        <v>133</v>
      </c>
      <c r="E98" t="s">
        <v>149</v>
      </c>
      <c r="F98">
        <v>2</v>
      </c>
      <c r="G98">
        <v>2</v>
      </c>
      <c r="H98" t="s">
        <v>125</v>
      </c>
      <c r="I98">
        <v>0</v>
      </c>
      <c r="J98">
        <v>0</v>
      </c>
      <c r="K98" t="s">
        <v>125</v>
      </c>
      <c r="L98" t="s">
        <v>153</v>
      </c>
      <c r="M98">
        <v>11</v>
      </c>
      <c r="N98">
        <v>19</v>
      </c>
      <c r="O98">
        <v>6</v>
      </c>
      <c r="P98">
        <v>7</v>
      </c>
      <c r="Q98">
        <v>7</v>
      </c>
      <c r="R98">
        <v>9</v>
      </c>
      <c r="S98">
        <v>3</v>
      </c>
      <c r="T98">
        <v>6</v>
      </c>
      <c r="U98">
        <v>1</v>
      </c>
      <c r="V98">
        <v>2</v>
      </c>
      <c r="W98">
        <v>0</v>
      </c>
      <c r="X98">
        <v>0</v>
      </c>
      <c r="Y98">
        <v>2.5</v>
      </c>
      <c r="Z98">
        <v>3.4</v>
      </c>
      <c r="AA98">
        <v>2.88</v>
      </c>
      <c r="AB98">
        <v>2.5499999999999998</v>
      </c>
      <c r="AC98">
        <v>3.4</v>
      </c>
      <c r="AD98">
        <v>2.75</v>
      </c>
      <c r="AE98">
        <v>2.5</v>
      </c>
      <c r="AF98">
        <v>3.4</v>
      </c>
      <c r="AG98">
        <v>2.8</v>
      </c>
      <c r="AH98">
        <v>2.5499999999999998</v>
      </c>
      <c r="AI98">
        <v>3.34</v>
      </c>
      <c r="AJ98">
        <v>2.92</v>
      </c>
      <c r="AK98">
        <v>2.5</v>
      </c>
      <c r="AL98">
        <v>3.5</v>
      </c>
      <c r="AM98">
        <v>2.8</v>
      </c>
      <c r="AN98">
        <v>2.5299999999999998</v>
      </c>
      <c r="AO98">
        <v>3.59</v>
      </c>
      <c r="AP98">
        <v>2.85</v>
      </c>
      <c r="AQ98">
        <v>2.61</v>
      </c>
      <c r="AR98">
        <v>3.59</v>
      </c>
      <c r="AS98">
        <v>2.92</v>
      </c>
      <c r="AT98">
        <v>2.5299999999999998</v>
      </c>
      <c r="AU98">
        <v>3.4</v>
      </c>
      <c r="AV98">
        <v>2.85</v>
      </c>
      <c r="AW98">
        <v>2.6</v>
      </c>
      <c r="AX98">
        <v>3.5</v>
      </c>
      <c r="AY98">
        <v>3</v>
      </c>
      <c r="AZ98">
        <v>1.9</v>
      </c>
      <c r="BA98">
        <v>2</v>
      </c>
      <c r="BB98">
        <v>1.92</v>
      </c>
      <c r="BC98">
        <v>1.97</v>
      </c>
      <c r="BD98">
        <v>1.93</v>
      </c>
      <c r="BE98">
        <v>2</v>
      </c>
      <c r="BF98">
        <v>1.89</v>
      </c>
      <c r="BG98">
        <v>1.95</v>
      </c>
      <c r="BH98">
        <v>1.92</v>
      </c>
      <c r="BI98">
        <v>2.06</v>
      </c>
      <c r="BJ98">
        <v>0</v>
      </c>
      <c r="BK98">
        <v>1.82</v>
      </c>
      <c r="BL98">
        <v>2.08</v>
      </c>
      <c r="BM98">
        <v>1.83</v>
      </c>
      <c r="BN98">
        <v>2.1</v>
      </c>
      <c r="BO98">
        <v>1.85</v>
      </c>
      <c r="BP98">
        <v>2.12</v>
      </c>
      <c r="BQ98">
        <v>1.82</v>
      </c>
      <c r="BR98">
        <v>2.06</v>
      </c>
      <c r="BS98">
        <v>1.85</v>
      </c>
      <c r="BT98">
        <v>2.14</v>
      </c>
      <c r="BU98">
        <v>2.35</v>
      </c>
      <c r="BV98">
        <v>3.4</v>
      </c>
      <c r="BW98">
        <v>3</v>
      </c>
      <c r="BX98">
        <v>2.4</v>
      </c>
      <c r="BY98">
        <v>3.3</v>
      </c>
      <c r="BZ98">
        <v>3</v>
      </c>
      <c r="CA98">
        <v>2.4</v>
      </c>
      <c r="CB98">
        <v>3.3</v>
      </c>
      <c r="CC98">
        <v>3</v>
      </c>
      <c r="CD98">
        <v>2.44</v>
      </c>
      <c r="CE98">
        <v>3.34</v>
      </c>
      <c r="CF98">
        <v>3.13</v>
      </c>
      <c r="CG98">
        <v>2.4</v>
      </c>
      <c r="CH98">
        <v>3.25</v>
      </c>
      <c r="CI98">
        <v>3.1</v>
      </c>
      <c r="CJ98">
        <v>2.54</v>
      </c>
      <c r="CK98">
        <v>3.48</v>
      </c>
      <c r="CL98">
        <v>2.86</v>
      </c>
      <c r="CM98">
        <v>2.54</v>
      </c>
      <c r="CN98">
        <v>3.48</v>
      </c>
      <c r="CO98">
        <v>3.16</v>
      </c>
      <c r="CP98">
        <v>2.4300000000000002</v>
      </c>
      <c r="CQ98">
        <v>3.34</v>
      </c>
      <c r="CR98">
        <v>3.03</v>
      </c>
      <c r="CS98">
        <v>2.52</v>
      </c>
      <c r="CT98">
        <v>3.45</v>
      </c>
      <c r="CU98">
        <v>3.15</v>
      </c>
      <c r="CV98">
        <v>1.99</v>
      </c>
      <c r="CW98">
        <v>1.91</v>
      </c>
      <c r="CX98">
        <v>2</v>
      </c>
      <c r="CY98">
        <v>1.91</v>
      </c>
      <c r="CZ98">
        <v>2</v>
      </c>
      <c r="DA98">
        <v>2</v>
      </c>
      <c r="DB98">
        <v>1.96</v>
      </c>
      <c r="DC98">
        <v>1.89</v>
      </c>
      <c r="DD98">
        <v>2.02</v>
      </c>
      <c r="DE98">
        <v>1.96</v>
      </c>
      <c r="DF98">
        <v>-0.25</v>
      </c>
      <c r="DG98">
        <v>2.1</v>
      </c>
      <c r="DH98">
        <v>1.83</v>
      </c>
      <c r="DI98">
        <v>2.11</v>
      </c>
      <c r="DJ98">
        <v>1.83</v>
      </c>
      <c r="DK98">
        <v>2.14</v>
      </c>
      <c r="DL98">
        <v>1.85</v>
      </c>
      <c r="DM98">
        <v>2.08</v>
      </c>
      <c r="DN98">
        <v>1.8</v>
      </c>
      <c r="DO98">
        <v>2.16</v>
      </c>
      <c r="DP98">
        <v>1.85</v>
      </c>
    </row>
    <row r="99" spans="1:120" x14ac:dyDescent="0.3">
      <c r="A99" t="s">
        <v>120</v>
      </c>
      <c r="B99" s="2">
        <v>45362</v>
      </c>
      <c r="C99" s="1">
        <v>0.58333333333333337</v>
      </c>
      <c r="D99" t="s">
        <v>156</v>
      </c>
      <c r="E99" t="s">
        <v>145</v>
      </c>
      <c r="F99">
        <v>4</v>
      </c>
      <c r="G99">
        <v>1</v>
      </c>
      <c r="H99" t="s">
        <v>124</v>
      </c>
      <c r="I99">
        <v>0</v>
      </c>
      <c r="J99">
        <v>1</v>
      </c>
      <c r="K99" t="s">
        <v>130</v>
      </c>
      <c r="L99" t="s">
        <v>140</v>
      </c>
      <c r="M99">
        <v>16</v>
      </c>
      <c r="N99">
        <v>12</v>
      </c>
      <c r="O99">
        <v>6</v>
      </c>
      <c r="P99">
        <v>1</v>
      </c>
      <c r="Q99">
        <v>14</v>
      </c>
      <c r="R99">
        <v>14</v>
      </c>
      <c r="S99">
        <v>6</v>
      </c>
      <c r="T99">
        <v>4</v>
      </c>
      <c r="U99">
        <v>2</v>
      </c>
      <c r="V99">
        <v>0</v>
      </c>
      <c r="W99">
        <v>0</v>
      </c>
      <c r="X99">
        <v>0</v>
      </c>
      <c r="Y99">
        <v>1.91</v>
      </c>
      <c r="Z99">
        <v>4</v>
      </c>
      <c r="AA99">
        <v>3.6</v>
      </c>
      <c r="AB99">
        <v>1.88</v>
      </c>
      <c r="AC99">
        <v>4</v>
      </c>
      <c r="AD99">
        <v>3.7</v>
      </c>
      <c r="AE99">
        <v>1.91</v>
      </c>
      <c r="AF99">
        <v>4</v>
      </c>
      <c r="AG99">
        <v>3.7</v>
      </c>
      <c r="AH99">
        <v>1.97</v>
      </c>
      <c r="AI99">
        <v>4.07</v>
      </c>
      <c r="AJ99">
        <v>3.55</v>
      </c>
      <c r="AK99">
        <v>1.91</v>
      </c>
      <c r="AL99">
        <v>4</v>
      </c>
      <c r="AM99">
        <v>3.7</v>
      </c>
      <c r="AN99">
        <v>1.92</v>
      </c>
      <c r="AO99">
        <v>4.28</v>
      </c>
      <c r="AP99">
        <v>3.71</v>
      </c>
      <c r="AQ99">
        <v>1.98</v>
      </c>
      <c r="AR99">
        <v>4.28</v>
      </c>
      <c r="AS99">
        <v>3.71</v>
      </c>
      <c r="AT99">
        <v>1.93</v>
      </c>
      <c r="AU99">
        <v>4.07</v>
      </c>
      <c r="AV99">
        <v>3.55</v>
      </c>
      <c r="AW99">
        <v>1.99</v>
      </c>
      <c r="AX99">
        <v>4.2</v>
      </c>
      <c r="AY99">
        <v>3.8</v>
      </c>
      <c r="AZ99">
        <v>1.44</v>
      </c>
      <c r="BA99">
        <v>2.75</v>
      </c>
      <c r="BB99">
        <v>1.47</v>
      </c>
      <c r="BC99">
        <v>2.81</v>
      </c>
      <c r="BD99">
        <v>1.47</v>
      </c>
      <c r="BE99">
        <v>2.9</v>
      </c>
      <c r="BF99">
        <v>1.44</v>
      </c>
      <c r="BG99">
        <v>2.78</v>
      </c>
      <c r="BH99">
        <v>1.48</v>
      </c>
      <c r="BI99">
        <v>2.98</v>
      </c>
      <c r="BJ99">
        <v>-0.5</v>
      </c>
      <c r="BK99">
        <v>1.95</v>
      </c>
      <c r="BL99">
        <v>1.95</v>
      </c>
      <c r="BM99">
        <v>1.98</v>
      </c>
      <c r="BN99">
        <v>1.93</v>
      </c>
      <c r="BO99">
        <v>1.98</v>
      </c>
      <c r="BP99">
        <v>1.98</v>
      </c>
      <c r="BQ99">
        <v>1.94</v>
      </c>
      <c r="BR99">
        <v>1.92</v>
      </c>
      <c r="BS99">
        <v>1.99</v>
      </c>
      <c r="BT99">
        <v>2</v>
      </c>
      <c r="BU99">
        <v>1.91</v>
      </c>
      <c r="BV99">
        <v>4</v>
      </c>
      <c r="BW99">
        <v>3.5</v>
      </c>
      <c r="BX99">
        <v>1.93</v>
      </c>
      <c r="BY99">
        <v>4</v>
      </c>
      <c r="BZ99">
        <v>3.5</v>
      </c>
      <c r="CA99">
        <v>1.95</v>
      </c>
      <c r="CB99">
        <v>3.9</v>
      </c>
      <c r="CC99">
        <v>3.7</v>
      </c>
      <c r="CD99">
        <v>1.99</v>
      </c>
      <c r="CE99">
        <v>4.04</v>
      </c>
      <c r="CF99">
        <v>3.59</v>
      </c>
      <c r="CG99">
        <v>1.95</v>
      </c>
      <c r="CH99">
        <v>3.9</v>
      </c>
      <c r="CI99">
        <v>3.6</v>
      </c>
      <c r="CJ99">
        <v>1.96</v>
      </c>
      <c r="CK99">
        <v>4.1100000000000003</v>
      </c>
      <c r="CL99">
        <v>3.6</v>
      </c>
      <c r="CM99">
        <v>1.99</v>
      </c>
      <c r="CN99">
        <v>4.1500000000000004</v>
      </c>
      <c r="CO99">
        <v>3.77</v>
      </c>
      <c r="CP99">
        <v>1.94</v>
      </c>
      <c r="CQ99">
        <v>4.0199999999999996</v>
      </c>
      <c r="CR99">
        <v>3.61</v>
      </c>
      <c r="CS99">
        <v>2</v>
      </c>
      <c r="CT99">
        <v>4.0999999999999996</v>
      </c>
      <c r="CU99">
        <v>3.8</v>
      </c>
      <c r="CV99">
        <v>1.44</v>
      </c>
      <c r="CW99">
        <v>2.75</v>
      </c>
      <c r="CX99">
        <v>1.48</v>
      </c>
      <c r="CY99">
        <v>2.77</v>
      </c>
      <c r="CZ99">
        <v>1.48</v>
      </c>
      <c r="DA99">
        <v>2.9</v>
      </c>
      <c r="DB99">
        <v>1.45</v>
      </c>
      <c r="DC99">
        <v>2.79</v>
      </c>
      <c r="DD99">
        <v>1.49</v>
      </c>
      <c r="DE99">
        <v>3</v>
      </c>
      <c r="DF99">
        <v>-0.5</v>
      </c>
      <c r="DG99">
        <v>2</v>
      </c>
      <c r="DH99">
        <v>1.93</v>
      </c>
      <c r="DI99">
        <v>2</v>
      </c>
      <c r="DJ99">
        <v>1.93</v>
      </c>
      <c r="DK99">
        <v>2</v>
      </c>
      <c r="DL99">
        <v>1.97</v>
      </c>
      <c r="DM99">
        <v>1.94</v>
      </c>
      <c r="DN99">
        <v>1.93</v>
      </c>
      <c r="DO99">
        <v>2</v>
      </c>
      <c r="DP99">
        <v>1.98</v>
      </c>
    </row>
    <row r="100" spans="1:120" x14ac:dyDescent="0.3">
      <c r="A100" t="s">
        <v>120</v>
      </c>
      <c r="B100" s="2">
        <v>45362</v>
      </c>
      <c r="C100" s="1">
        <v>0.6875</v>
      </c>
      <c r="D100" t="s">
        <v>122</v>
      </c>
      <c r="E100" t="s">
        <v>151</v>
      </c>
      <c r="F100">
        <v>1</v>
      </c>
      <c r="G100">
        <v>1</v>
      </c>
      <c r="H100" t="s">
        <v>125</v>
      </c>
      <c r="I100">
        <v>0</v>
      </c>
      <c r="J100">
        <v>0</v>
      </c>
      <c r="K100" t="s">
        <v>125</v>
      </c>
      <c r="L100" t="s">
        <v>126</v>
      </c>
      <c r="M100">
        <v>11</v>
      </c>
      <c r="N100">
        <v>12</v>
      </c>
      <c r="O100">
        <v>4</v>
      </c>
      <c r="P100">
        <v>3</v>
      </c>
      <c r="Q100">
        <v>19</v>
      </c>
      <c r="R100">
        <v>14</v>
      </c>
      <c r="S100">
        <v>4</v>
      </c>
      <c r="T100">
        <v>8</v>
      </c>
      <c r="U100">
        <v>6</v>
      </c>
      <c r="V100">
        <v>2</v>
      </c>
      <c r="W100">
        <v>0</v>
      </c>
      <c r="X100">
        <v>0</v>
      </c>
      <c r="Y100">
        <v>2.6</v>
      </c>
      <c r="Z100">
        <v>3.5</v>
      </c>
      <c r="AA100">
        <v>2.6</v>
      </c>
      <c r="AB100">
        <v>2.5499999999999998</v>
      </c>
      <c r="AC100">
        <v>3.8</v>
      </c>
      <c r="AD100">
        <v>2.5499999999999998</v>
      </c>
      <c r="AE100">
        <v>2.63</v>
      </c>
      <c r="AF100">
        <v>3.7</v>
      </c>
      <c r="AG100">
        <v>2.5499999999999998</v>
      </c>
      <c r="AH100">
        <v>2.61</v>
      </c>
      <c r="AI100">
        <v>3.81</v>
      </c>
      <c r="AJ100">
        <v>2.58</v>
      </c>
      <c r="AK100">
        <v>2.6</v>
      </c>
      <c r="AL100">
        <v>3.8</v>
      </c>
      <c r="AM100">
        <v>2.5</v>
      </c>
      <c r="AN100">
        <v>2.61</v>
      </c>
      <c r="AO100">
        <v>4.0599999999999996</v>
      </c>
      <c r="AP100">
        <v>2.5299999999999998</v>
      </c>
      <c r="AQ100">
        <v>2.63</v>
      </c>
      <c r="AR100">
        <v>4.0599999999999996</v>
      </c>
      <c r="AS100">
        <v>2.61</v>
      </c>
      <c r="AT100">
        <v>2.58</v>
      </c>
      <c r="AU100">
        <v>3.78</v>
      </c>
      <c r="AV100">
        <v>2.56</v>
      </c>
      <c r="AW100">
        <v>2.7</v>
      </c>
      <c r="AX100">
        <v>3.9</v>
      </c>
      <c r="AY100">
        <v>2.66</v>
      </c>
      <c r="AZ100">
        <v>1.44</v>
      </c>
      <c r="BA100">
        <v>2.75</v>
      </c>
      <c r="BB100">
        <v>1.45</v>
      </c>
      <c r="BC100">
        <v>2.85</v>
      </c>
      <c r="BD100">
        <v>1.47</v>
      </c>
      <c r="BE100">
        <v>2.93</v>
      </c>
      <c r="BF100">
        <v>1.44</v>
      </c>
      <c r="BG100">
        <v>2.79</v>
      </c>
      <c r="BH100">
        <v>1.5</v>
      </c>
      <c r="BI100">
        <v>2.96</v>
      </c>
      <c r="BJ100">
        <v>0</v>
      </c>
      <c r="BK100">
        <v>1.95</v>
      </c>
      <c r="BL100">
        <v>1.95</v>
      </c>
      <c r="BM100">
        <v>1.97</v>
      </c>
      <c r="BN100">
        <v>1.93</v>
      </c>
      <c r="BO100">
        <v>1.98</v>
      </c>
      <c r="BP100">
        <v>1.97</v>
      </c>
      <c r="BQ100">
        <v>1.95</v>
      </c>
      <c r="BR100">
        <v>1.92</v>
      </c>
      <c r="BS100">
        <v>2</v>
      </c>
      <c r="BT100">
        <v>1.98</v>
      </c>
      <c r="BU100">
        <v>2.63</v>
      </c>
      <c r="BV100">
        <v>3.5</v>
      </c>
      <c r="BW100">
        <v>2.6</v>
      </c>
      <c r="BX100">
        <v>2.65</v>
      </c>
      <c r="BY100">
        <v>3.5</v>
      </c>
      <c r="BZ100">
        <v>2.6</v>
      </c>
      <c r="CA100">
        <v>2.63</v>
      </c>
      <c r="CB100">
        <v>3.6</v>
      </c>
      <c r="CC100">
        <v>2.5499999999999998</v>
      </c>
      <c r="CD100">
        <v>2.72</v>
      </c>
      <c r="CE100">
        <v>3.65</v>
      </c>
      <c r="CF100">
        <v>2.59</v>
      </c>
      <c r="CG100">
        <v>2.7</v>
      </c>
      <c r="CH100">
        <v>3.6</v>
      </c>
      <c r="CI100">
        <v>2.5</v>
      </c>
      <c r="CJ100">
        <v>2.68</v>
      </c>
      <c r="CK100">
        <v>3.57</v>
      </c>
      <c r="CL100">
        <v>2.65</v>
      </c>
      <c r="CM100">
        <v>2.73</v>
      </c>
      <c r="CN100">
        <v>3.75</v>
      </c>
      <c r="CO100">
        <v>2.65</v>
      </c>
      <c r="CP100">
        <v>2.65</v>
      </c>
      <c r="CQ100">
        <v>3.6</v>
      </c>
      <c r="CR100">
        <v>2.58</v>
      </c>
      <c r="CS100">
        <v>2.76</v>
      </c>
      <c r="CT100">
        <v>3.75</v>
      </c>
      <c r="CU100">
        <v>2.66</v>
      </c>
      <c r="CV100">
        <v>1.5</v>
      </c>
      <c r="CW100">
        <v>2.63</v>
      </c>
      <c r="CX100">
        <v>1.51</v>
      </c>
      <c r="CY100">
        <v>2.67</v>
      </c>
      <c r="CZ100">
        <v>1.51</v>
      </c>
      <c r="DA100">
        <v>2.8</v>
      </c>
      <c r="DB100">
        <v>1.48</v>
      </c>
      <c r="DC100">
        <v>2.67</v>
      </c>
      <c r="DD100">
        <v>1.54</v>
      </c>
      <c r="DE100">
        <v>2.84</v>
      </c>
      <c r="DF100">
        <v>0</v>
      </c>
      <c r="DG100">
        <v>1.99</v>
      </c>
      <c r="DH100">
        <v>1.94</v>
      </c>
      <c r="DI100">
        <v>2.0099999999999998</v>
      </c>
      <c r="DJ100">
        <v>1.92</v>
      </c>
      <c r="DK100">
        <v>2.0099999999999998</v>
      </c>
      <c r="DL100">
        <v>1.96</v>
      </c>
      <c r="DM100">
        <v>1.97</v>
      </c>
      <c r="DN100">
        <v>1.91</v>
      </c>
      <c r="DO100">
        <v>2.0299999999999998</v>
      </c>
      <c r="DP100">
        <v>1.96</v>
      </c>
    </row>
    <row r="101" spans="1:120" x14ac:dyDescent="0.3">
      <c r="A101" t="s">
        <v>120</v>
      </c>
      <c r="B101" s="2">
        <v>45393</v>
      </c>
      <c r="C101" s="1">
        <v>0.83333333333333337</v>
      </c>
      <c r="D101" t="s">
        <v>123</v>
      </c>
      <c r="E101" t="s">
        <v>148</v>
      </c>
      <c r="F101">
        <v>2</v>
      </c>
      <c r="G101">
        <v>1</v>
      </c>
      <c r="H101" t="s">
        <v>124</v>
      </c>
      <c r="I101">
        <v>0</v>
      </c>
      <c r="J101">
        <v>1</v>
      </c>
      <c r="K101" t="s">
        <v>130</v>
      </c>
      <c r="L101" t="s">
        <v>164</v>
      </c>
      <c r="M101">
        <v>26</v>
      </c>
      <c r="N101">
        <v>5</v>
      </c>
      <c r="O101">
        <v>12</v>
      </c>
      <c r="P101">
        <v>2</v>
      </c>
      <c r="Q101">
        <v>3</v>
      </c>
      <c r="R101">
        <v>10</v>
      </c>
      <c r="S101">
        <v>11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2</v>
      </c>
      <c r="Z101">
        <v>3.7</v>
      </c>
      <c r="AA101">
        <v>3.5</v>
      </c>
      <c r="AB101">
        <v>2.0499999999999998</v>
      </c>
      <c r="AC101">
        <v>3.6</v>
      </c>
      <c r="AD101">
        <v>3.5</v>
      </c>
      <c r="AE101">
        <v>2</v>
      </c>
      <c r="AF101">
        <v>3.6</v>
      </c>
      <c r="AG101">
        <v>3.5</v>
      </c>
      <c r="AH101">
        <v>2.04</v>
      </c>
      <c r="AI101">
        <v>3.73</v>
      </c>
      <c r="AJ101">
        <v>3.61</v>
      </c>
      <c r="AK101">
        <v>2.0499999999999998</v>
      </c>
      <c r="AL101">
        <v>3.7</v>
      </c>
      <c r="AM101">
        <v>3.5</v>
      </c>
      <c r="AN101">
        <v>2.0499999999999998</v>
      </c>
      <c r="AO101">
        <v>3.89</v>
      </c>
      <c r="AP101">
        <v>3.57</v>
      </c>
      <c r="AQ101">
        <v>2.08</v>
      </c>
      <c r="AR101">
        <v>3.9</v>
      </c>
      <c r="AS101">
        <v>3.61</v>
      </c>
      <c r="AT101">
        <v>2.0299999999999998</v>
      </c>
      <c r="AU101">
        <v>3.73</v>
      </c>
      <c r="AV101">
        <v>3.52</v>
      </c>
      <c r="AW101">
        <v>2.08</v>
      </c>
      <c r="AX101">
        <v>3.85</v>
      </c>
      <c r="AY101">
        <v>3.75</v>
      </c>
      <c r="AZ101">
        <v>1.67</v>
      </c>
      <c r="BA101">
        <v>2.2000000000000002</v>
      </c>
      <c r="BB101">
        <v>1.68</v>
      </c>
      <c r="BC101">
        <v>2.2799999999999998</v>
      </c>
      <c r="BD101">
        <v>1.7</v>
      </c>
      <c r="BE101">
        <v>2.31</v>
      </c>
      <c r="BF101">
        <v>1.67</v>
      </c>
      <c r="BG101">
        <v>2.23</v>
      </c>
      <c r="BH101">
        <v>1.72</v>
      </c>
      <c r="BI101">
        <v>2.2999999999999998</v>
      </c>
      <c r="BJ101">
        <v>-0.5</v>
      </c>
      <c r="BK101">
        <v>2.04</v>
      </c>
      <c r="BL101">
        <v>1.86</v>
      </c>
      <c r="BM101">
        <v>2.0499999999999998</v>
      </c>
      <c r="BN101">
        <v>1.86</v>
      </c>
      <c r="BO101">
        <v>2.0699999999999998</v>
      </c>
      <c r="BP101">
        <v>1.87</v>
      </c>
      <c r="BQ101">
        <v>2.0299999999999998</v>
      </c>
      <c r="BR101">
        <v>1.84</v>
      </c>
      <c r="BS101">
        <v>2.08</v>
      </c>
      <c r="BT101">
        <v>1.9</v>
      </c>
      <c r="BU101">
        <v>1.95</v>
      </c>
      <c r="BV101">
        <v>3.8</v>
      </c>
      <c r="BW101">
        <v>3.6</v>
      </c>
      <c r="BX101">
        <v>2</v>
      </c>
      <c r="BY101">
        <v>3.7</v>
      </c>
      <c r="BZ101">
        <v>3.5</v>
      </c>
      <c r="CA101">
        <v>2</v>
      </c>
      <c r="CB101">
        <v>3.75</v>
      </c>
      <c r="CC101">
        <v>3.6</v>
      </c>
      <c r="CD101">
        <v>2.02</v>
      </c>
      <c r="CE101">
        <v>3.76</v>
      </c>
      <c r="CF101">
        <v>3.73</v>
      </c>
      <c r="CG101">
        <v>2</v>
      </c>
      <c r="CH101">
        <v>3.7</v>
      </c>
      <c r="CI101">
        <v>3.6</v>
      </c>
      <c r="CJ101">
        <v>1.99</v>
      </c>
      <c r="CK101">
        <v>3.88</v>
      </c>
      <c r="CL101">
        <v>3.68</v>
      </c>
      <c r="CM101">
        <v>2.0499999999999998</v>
      </c>
      <c r="CN101">
        <v>3.88</v>
      </c>
      <c r="CO101">
        <v>3.76</v>
      </c>
      <c r="CP101">
        <v>2.02</v>
      </c>
      <c r="CQ101">
        <v>3.74</v>
      </c>
      <c r="CR101">
        <v>3.62</v>
      </c>
      <c r="CS101">
        <v>2.04</v>
      </c>
      <c r="CT101">
        <v>3.85</v>
      </c>
      <c r="CU101">
        <v>3.9</v>
      </c>
      <c r="CV101">
        <v>1.67</v>
      </c>
      <c r="CW101">
        <v>2.2000000000000002</v>
      </c>
      <c r="CX101">
        <v>1.73</v>
      </c>
      <c r="CY101">
        <v>2.19</v>
      </c>
      <c r="CZ101">
        <v>1.76</v>
      </c>
      <c r="DA101">
        <v>2.29</v>
      </c>
      <c r="DB101">
        <v>1.71</v>
      </c>
      <c r="DC101">
        <v>2.1800000000000002</v>
      </c>
      <c r="DD101">
        <v>1.77</v>
      </c>
      <c r="DE101">
        <v>2.2799999999999998</v>
      </c>
      <c r="DF101">
        <v>-0.5</v>
      </c>
      <c r="DG101">
        <v>2</v>
      </c>
      <c r="DH101">
        <v>1.9</v>
      </c>
      <c r="DI101">
        <v>2.0299999999999998</v>
      </c>
      <c r="DJ101">
        <v>1.92</v>
      </c>
      <c r="DK101">
        <v>2.04</v>
      </c>
      <c r="DL101">
        <v>1.92</v>
      </c>
      <c r="DM101">
        <v>2</v>
      </c>
      <c r="DN101">
        <v>1.86</v>
      </c>
      <c r="DO101">
        <v>2.0499999999999998</v>
      </c>
      <c r="DP101">
        <v>1.94</v>
      </c>
    </row>
    <row r="102" spans="1:120" x14ac:dyDescent="0.3">
      <c r="A102" t="s">
        <v>120</v>
      </c>
      <c r="B102" s="2">
        <v>45546</v>
      </c>
      <c r="C102" s="1">
        <v>0.625</v>
      </c>
      <c r="D102" t="s">
        <v>148</v>
      </c>
      <c r="E102" t="s">
        <v>142</v>
      </c>
      <c r="F102">
        <v>3</v>
      </c>
      <c r="G102">
        <v>2</v>
      </c>
      <c r="H102" t="s">
        <v>124</v>
      </c>
      <c r="I102">
        <v>1</v>
      </c>
      <c r="J102">
        <v>1</v>
      </c>
      <c r="K102" t="s">
        <v>125</v>
      </c>
      <c r="L102" t="s">
        <v>159</v>
      </c>
      <c r="M102">
        <v>12</v>
      </c>
      <c r="N102">
        <v>15</v>
      </c>
      <c r="O102">
        <v>6</v>
      </c>
      <c r="P102">
        <v>3</v>
      </c>
      <c r="Q102">
        <v>8</v>
      </c>
      <c r="R102">
        <v>16</v>
      </c>
      <c r="S102">
        <v>6</v>
      </c>
      <c r="T102">
        <v>4</v>
      </c>
      <c r="U102">
        <v>2</v>
      </c>
      <c r="V102">
        <v>4</v>
      </c>
      <c r="W102">
        <v>0</v>
      </c>
      <c r="X102">
        <v>0</v>
      </c>
      <c r="Y102">
        <v>2.5</v>
      </c>
      <c r="Z102">
        <v>3.5</v>
      </c>
      <c r="AA102">
        <v>2.7</v>
      </c>
      <c r="AB102">
        <v>2.4</v>
      </c>
      <c r="AC102">
        <v>3.6</v>
      </c>
      <c r="AD102">
        <v>2.8</v>
      </c>
      <c r="AE102">
        <v>2.5499999999999998</v>
      </c>
      <c r="AF102">
        <v>3.6</v>
      </c>
      <c r="AG102">
        <v>2.63</v>
      </c>
      <c r="AH102">
        <v>2.59</v>
      </c>
      <c r="AI102">
        <v>3.56</v>
      </c>
      <c r="AJ102">
        <v>2.73</v>
      </c>
      <c r="AK102">
        <v>2.5</v>
      </c>
      <c r="AL102">
        <v>3.5</v>
      </c>
      <c r="AM102">
        <v>2.75</v>
      </c>
      <c r="AN102">
        <v>2.5499999999999998</v>
      </c>
      <c r="AO102">
        <v>3.69</v>
      </c>
      <c r="AP102">
        <v>2.76</v>
      </c>
      <c r="AQ102">
        <v>2.61</v>
      </c>
      <c r="AR102">
        <v>3.7</v>
      </c>
      <c r="AS102">
        <v>2.8</v>
      </c>
      <c r="AT102">
        <v>2.5299999999999998</v>
      </c>
      <c r="AU102">
        <v>3.59</v>
      </c>
      <c r="AV102">
        <v>2.72</v>
      </c>
      <c r="AW102">
        <v>2.62</v>
      </c>
      <c r="AX102">
        <v>3.75</v>
      </c>
      <c r="AY102">
        <v>2.8</v>
      </c>
      <c r="AZ102">
        <v>1.62</v>
      </c>
      <c r="BA102">
        <v>2.2999999999999998</v>
      </c>
      <c r="BB102">
        <v>1.63</v>
      </c>
      <c r="BC102">
        <v>2.39</v>
      </c>
      <c r="BD102">
        <v>1.63</v>
      </c>
      <c r="BE102">
        <v>2.4700000000000002</v>
      </c>
      <c r="BF102">
        <v>1.6</v>
      </c>
      <c r="BG102">
        <v>2.39</v>
      </c>
      <c r="BH102">
        <v>1.64</v>
      </c>
      <c r="BI102">
        <v>2.52</v>
      </c>
      <c r="BJ102">
        <v>0</v>
      </c>
      <c r="BK102">
        <v>1.89</v>
      </c>
      <c r="BL102">
        <v>2.0099999999999998</v>
      </c>
      <c r="BM102">
        <v>1.9</v>
      </c>
      <c r="BN102">
        <v>2.0099999999999998</v>
      </c>
      <c r="BO102">
        <v>1.9</v>
      </c>
      <c r="BP102">
        <v>2.06</v>
      </c>
      <c r="BQ102">
        <v>1.86</v>
      </c>
      <c r="BR102">
        <v>2.0099999999999998</v>
      </c>
      <c r="BS102">
        <v>1.93</v>
      </c>
      <c r="BT102">
        <v>2.0499999999999998</v>
      </c>
      <c r="BU102">
        <v>2.6</v>
      </c>
      <c r="BV102">
        <v>3.5</v>
      </c>
      <c r="BW102">
        <v>2.63</v>
      </c>
      <c r="BX102">
        <v>2.6</v>
      </c>
      <c r="BY102">
        <v>3.5</v>
      </c>
      <c r="BZ102">
        <v>2.65</v>
      </c>
      <c r="CA102">
        <v>2.5499999999999998</v>
      </c>
      <c r="CB102">
        <v>3.6</v>
      </c>
      <c r="CC102">
        <v>2.63</v>
      </c>
      <c r="CD102">
        <v>2.64</v>
      </c>
      <c r="CE102">
        <v>3.53</v>
      </c>
      <c r="CF102">
        <v>2.74</v>
      </c>
      <c r="CG102">
        <v>2.62</v>
      </c>
      <c r="CH102">
        <v>3.6</v>
      </c>
      <c r="CI102">
        <v>2.6</v>
      </c>
      <c r="CJ102">
        <v>2.65</v>
      </c>
      <c r="CK102">
        <v>3.57</v>
      </c>
      <c r="CL102">
        <v>2.68</v>
      </c>
      <c r="CM102">
        <v>2.65</v>
      </c>
      <c r="CN102">
        <v>3.7</v>
      </c>
      <c r="CO102">
        <v>2.75</v>
      </c>
      <c r="CP102">
        <v>2.6</v>
      </c>
      <c r="CQ102">
        <v>3.58</v>
      </c>
      <c r="CR102">
        <v>2.66</v>
      </c>
      <c r="CS102">
        <v>2.68</v>
      </c>
      <c r="CT102">
        <v>3.75</v>
      </c>
      <c r="CU102">
        <v>2.76</v>
      </c>
      <c r="CV102">
        <v>1.67</v>
      </c>
      <c r="CW102">
        <v>2.2000000000000002</v>
      </c>
      <c r="CX102">
        <v>1.71</v>
      </c>
      <c r="CY102">
        <v>2.23</v>
      </c>
      <c r="CZ102">
        <v>1.75</v>
      </c>
      <c r="DA102">
        <v>2.4500000000000002</v>
      </c>
      <c r="DB102">
        <v>1.64</v>
      </c>
      <c r="DC102">
        <v>2.31</v>
      </c>
      <c r="DD102">
        <v>1.67</v>
      </c>
      <c r="DE102">
        <v>2.48</v>
      </c>
      <c r="DF102">
        <v>0</v>
      </c>
      <c r="DG102">
        <v>1.93</v>
      </c>
      <c r="DH102">
        <v>2</v>
      </c>
      <c r="DI102">
        <v>1.93</v>
      </c>
      <c r="DJ102">
        <v>2</v>
      </c>
      <c r="DK102">
        <v>1.95</v>
      </c>
      <c r="DL102">
        <v>2.02</v>
      </c>
      <c r="DM102">
        <v>1.92</v>
      </c>
      <c r="DN102">
        <v>1.96</v>
      </c>
      <c r="DO102">
        <v>1.97</v>
      </c>
      <c r="DP102">
        <v>2.02</v>
      </c>
    </row>
    <row r="103" spans="1:120" x14ac:dyDescent="0.3">
      <c r="A103" t="s">
        <v>120</v>
      </c>
      <c r="B103" s="2">
        <v>45546</v>
      </c>
      <c r="C103" s="1">
        <v>0.625</v>
      </c>
      <c r="D103" t="s">
        <v>149</v>
      </c>
      <c r="E103" t="s">
        <v>123</v>
      </c>
      <c r="F103">
        <v>0</v>
      </c>
      <c r="G103">
        <v>2</v>
      </c>
      <c r="H103" t="s">
        <v>130</v>
      </c>
      <c r="I103">
        <v>0</v>
      </c>
      <c r="J103">
        <v>1</v>
      </c>
      <c r="K103" t="s">
        <v>130</v>
      </c>
      <c r="L103" t="s">
        <v>160</v>
      </c>
      <c r="M103">
        <v>13</v>
      </c>
      <c r="N103">
        <v>17</v>
      </c>
      <c r="O103">
        <v>5</v>
      </c>
      <c r="P103">
        <v>7</v>
      </c>
      <c r="Q103">
        <v>10</v>
      </c>
      <c r="R103">
        <v>11</v>
      </c>
      <c r="S103">
        <v>1</v>
      </c>
      <c r="T103">
        <v>8</v>
      </c>
      <c r="U103">
        <v>1</v>
      </c>
      <c r="V103">
        <v>1</v>
      </c>
      <c r="W103">
        <v>1</v>
      </c>
      <c r="X103">
        <v>0</v>
      </c>
      <c r="Y103">
        <v>2.7</v>
      </c>
      <c r="Z103">
        <v>3.5</v>
      </c>
      <c r="AA103">
        <v>2.5499999999999998</v>
      </c>
      <c r="AB103">
        <v>2.6</v>
      </c>
      <c r="AC103">
        <v>3.4</v>
      </c>
      <c r="AD103">
        <v>2.7</v>
      </c>
      <c r="AE103">
        <v>2.7</v>
      </c>
      <c r="AF103">
        <v>3.4</v>
      </c>
      <c r="AG103">
        <v>2.63</v>
      </c>
      <c r="AH103">
        <v>2.79</v>
      </c>
      <c r="AI103">
        <v>3.44</v>
      </c>
      <c r="AJ103">
        <v>2.6</v>
      </c>
      <c r="AK103">
        <v>2.7</v>
      </c>
      <c r="AL103">
        <v>3.4</v>
      </c>
      <c r="AM103">
        <v>2.62</v>
      </c>
      <c r="AN103">
        <v>2.72</v>
      </c>
      <c r="AO103">
        <v>3.57</v>
      </c>
      <c r="AP103">
        <v>2.65</v>
      </c>
      <c r="AQ103">
        <v>2.82</v>
      </c>
      <c r="AR103">
        <v>3.73</v>
      </c>
      <c r="AS103">
        <v>2.7</v>
      </c>
      <c r="AT103">
        <v>2.7</v>
      </c>
      <c r="AU103">
        <v>3.48</v>
      </c>
      <c r="AV103">
        <v>2.61</v>
      </c>
      <c r="AW103">
        <v>2.9</v>
      </c>
      <c r="AX103">
        <v>3.5</v>
      </c>
      <c r="AY103">
        <v>2.68</v>
      </c>
      <c r="AZ103">
        <v>1.95</v>
      </c>
      <c r="BA103">
        <v>1.95</v>
      </c>
      <c r="BB103">
        <v>1.94</v>
      </c>
      <c r="BC103">
        <v>1.94</v>
      </c>
      <c r="BD103">
        <v>1.99</v>
      </c>
      <c r="BE103">
        <v>1.96</v>
      </c>
      <c r="BF103">
        <v>1.93</v>
      </c>
      <c r="BG103">
        <v>1.91</v>
      </c>
      <c r="BH103">
        <v>2</v>
      </c>
      <c r="BI103">
        <v>1.97</v>
      </c>
      <c r="BJ103">
        <v>0</v>
      </c>
      <c r="BK103">
        <v>1.99</v>
      </c>
      <c r="BL103">
        <v>1.91</v>
      </c>
      <c r="BM103">
        <v>2.0299999999999998</v>
      </c>
      <c r="BN103">
        <v>1.88</v>
      </c>
      <c r="BO103">
        <v>2.0299999999999998</v>
      </c>
      <c r="BP103">
        <v>1.95</v>
      </c>
      <c r="BQ103">
        <v>1.96</v>
      </c>
      <c r="BR103">
        <v>1.91</v>
      </c>
      <c r="BS103">
        <v>2.06</v>
      </c>
      <c r="BT103">
        <v>1.93</v>
      </c>
      <c r="BU103">
        <v>3.3</v>
      </c>
      <c r="BV103">
        <v>3.25</v>
      </c>
      <c r="BW103">
        <v>2.25</v>
      </c>
      <c r="BX103">
        <v>3.3</v>
      </c>
      <c r="BY103">
        <v>3.3</v>
      </c>
      <c r="BZ103">
        <v>2.25</v>
      </c>
      <c r="CA103">
        <v>3.4</v>
      </c>
      <c r="CB103">
        <v>3.3</v>
      </c>
      <c r="CC103">
        <v>2.2000000000000002</v>
      </c>
      <c r="CD103">
        <v>3.37</v>
      </c>
      <c r="CE103">
        <v>3.3</v>
      </c>
      <c r="CF103">
        <v>2.34</v>
      </c>
      <c r="CG103">
        <v>3.4</v>
      </c>
      <c r="CH103">
        <v>3.4</v>
      </c>
      <c r="CI103">
        <v>2.2000000000000002</v>
      </c>
      <c r="CJ103">
        <v>3.38</v>
      </c>
      <c r="CK103">
        <v>3.33</v>
      </c>
      <c r="CL103">
        <v>2.2999999999999998</v>
      </c>
      <c r="CM103">
        <v>3.52</v>
      </c>
      <c r="CN103">
        <v>3.58</v>
      </c>
      <c r="CO103">
        <v>2.34</v>
      </c>
      <c r="CP103">
        <v>3.35</v>
      </c>
      <c r="CQ103">
        <v>3.34</v>
      </c>
      <c r="CR103">
        <v>2.2599999999999998</v>
      </c>
      <c r="CS103">
        <v>3.6</v>
      </c>
      <c r="CT103">
        <v>3.4</v>
      </c>
      <c r="CU103">
        <v>2.3199999999999998</v>
      </c>
      <c r="CV103">
        <v>2.1</v>
      </c>
      <c r="CW103">
        <v>1.73</v>
      </c>
      <c r="CX103">
        <v>2.1800000000000002</v>
      </c>
      <c r="CY103">
        <v>1.74</v>
      </c>
      <c r="CZ103">
        <v>2.2400000000000002</v>
      </c>
      <c r="DA103">
        <v>1.81</v>
      </c>
      <c r="DB103">
        <v>2.08</v>
      </c>
      <c r="DC103">
        <v>1.78</v>
      </c>
      <c r="DD103">
        <v>2.16</v>
      </c>
      <c r="DE103">
        <v>1.85</v>
      </c>
      <c r="DF103">
        <v>0.25</v>
      </c>
      <c r="DG103">
        <v>1.93</v>
      </c>
      <c r="DH103">
        <v>2</v>
      </c>
      <c r="DI103">
        <v>1.93</v>
      </c>
      <c r="DJ103">
        <v>2</v>
      </c>
      <c r="DK103">
        <v>1.97</v>
      </c>
      <c r="DL103">
        <v>2</v>
      </c>
      <c r="DM103">
        <v>1.93</v>
      </c>
      <c r="DN103">
        <v>1.93</v>
      </c>
      <c r="DO103">
        <v>2</v>
      </c>
      <c r="DP103">
        <v>1.98</v>
      </c>
    </row>
    <row r="104" spans="1:120" x14ac:dyDescent="0.3">
      <c r="A104" t="s">
        <v>120</v>
      </c>
      <c r="B104" s="2">
        <v>45546</v>
      </c>
      <c r="C104" s="1">
        <v>0.625</v>
      </c>
      <c r="D104" t="s">
        <v>144</v>
      </c>
      <c r="E104" t="s">
        <v>135</v>
      </c>
      <c r="F104">
        <v>0</v>
      </c>
      <c r="G104">
        <v>0</v>
      </c>
      <c r="H104" t="s">
        <v>125</v>
      </c>
      <c r="I104">
        <v>0</v>
      </c>
      <c r="J104">
        <v>0</v>
      </c>
      <c r="K104" t="s">
        <v>125</v>
      </c>
      <c r="L104" t="s">
        <v>164</v>
      </c>
      <c r="M104">
        <v>11</v>
      </c>
      <c r="N104">
        <v>18</v>
      </c>
      <c r="O104">
        <v>6</v>
      </c>
      <c r="P104">
        <v>4</v>
      </c>
      <c r="Q104">
        <v>10</v>
      </c>
      <c r="R104">
        <v>9</v>
      </c>
      <c r="S104">
        <v>7</v>
      </c>
      <c r="T104">
        <v>6</v>
      </c>
      <c r="U104">
        <v>1</v>
      </c>
      <c r="V104">
        <v>2</v>
      </c>
      <c r="W104">
        <v>0</v>
      </c>
      <c r="X104">
        <v>0</v>
      </c>
      <c r="Y104">
        <v>2.15</v>
      </c>
      <c r="Z104">
        <v>3.4</v>
      </c>
      <c r="AA104">
        <v>3.4</v>
      </c>
      <c r="AB104">
        <v>2.15</v>
      </c>
      <c r="AC104">
        <v>3.4</v>
      </c>
      <c r="AD104">
        <v>3.4</v>
      </c>
      <c r="AE104">
        <v>2.15</v>
      </c>
      <c r="AF104">
        <v>3.4</v>
      </c>
      <c r="AG104">
        <v>3.4</v>
      </c>
      <c r="AH104">
        <v>2.2000000000000002</v>
      </c>
      <c r="AI104">
        <v>3.55</v>
      </c>
      <c r="AJ104">
        <v>3.37</v>
      </c>
      <c r="AK104">
        <v>2.15</v>
      </c>
      <c r="AL104">
        <v>3.5</v>
      </c>
      <c r="AM104">
        <v>3.4</v>
      </c>
      <c r="AN104">
        <v>2.1800000000000002</v>
      </c>
      <c r="AO104">
        <v>3.71</v>
      </c>
      <c r="AP104">
        <v>3.36</v>
      </c>
      <c r="AQ104">
        <v>2.23</v>
      </c>
      <c r="AR104">
        <v>3.71</v>
      </c>
      <c r="AS104">
        <v>3.5</v>
      </c>
      <c r="AT104">
        <v>2.1800000000000002</v>
      </c>
      <c r="AU104">
        <v>3.47</v>
      </c>
      <c r="AV104">
        <v>3.38</v>
      </c>
      <c r="AW104">
        <v>2.2200000000000002</v>
      </c>
      <c r="AX104">
        <v>3.55</v>
      </c>
      <c r="AY104">
        <v>3.7</v>
      </c>
      <c r="AZ104">
        <v>1.84</v>
      </c>
      <c r="BA104">
        <v>2.06</v>
      </c>
      <c r="BB104">
        <v>1.79</v>
      </c>
      <c r="BC104">
        <v>2.1</v>
      </c>
      <c r="BD104">
        <v>1.87</v>
      </c>
      <c r="BE104">
        <v>2.13</v>
      </c>
      <c r="BF104">
        <v>1.81</v>
      </c>
      <c r="BG104">
        <v>2.0299999999999998</v>
      </c>
      <c r="BH104">
        <v>1.9</v>
      </c>
      <c r="BI104">
        <v>2.06</v>
      </c>
      <c r="BJ104">
        <v>-0.25</v>
      </c>
      <c r="BK104">
        <v>1.88</v>
      </c>
      <c r="BL104">
        <v>2.02</v>
      </c>
      <c r="BM104">
        <v>1.88</v>
      </c>
      <c r="BN104">
        <v>2.0299999999999998</v>
      </c>
      <c r="BO104">
        <v>1.89</v>
      </c>
      <c r="BP104">
        <v>2.0499999999999998</v>
      </c>
      <c r="BQ104">
        <v>1.85</v>
      </c>
      <c r="BR104">
        <v>1.99</v>
      </c>
      <c r="BS104">
        <v>1.9</v>
      </c>
      <c r="BT104">
        <v>2.08</v>
      </c>
      <c r="BU104">
        <v>2.15</v>
      </c>
      <c r="BV104">
        <v>3.3</v>
      </c>
      <c r="BW104">
        <v>3.5</v>
      </c>
      <c r="BX104">
        <v>2.15</v>
      </c>
      <c r="BY104">
        <v>3.4</v>
      </c>
      <c r="BZ104">
        <v>3.4</v>
      </c>
      <c r="CA104">
        <v>2.15</v>
      </c>
      <c r="CB104">
        <v>3.4</v>
      </c>
      <c r="CC104">
        <v>3.5</v>
      </c>
      <c r="CD104">
        <v>2.17</v>
      </c>
      <c r="CE104">
        <v>3.53</v>
      </c>
      <c r="CF104">
        <v>3.52</v>
      </c>
      <c r="CG104">
        <v>2.15</v>
      </c>
      <c r="CH104">
        <v>3.5</v>
      </c>
      <c r="CI104">
        <v>3.4</v>
      </c>
      <c r="CJ104">
        <v>2.15</v>
      </c>
      <c r="CK104">
        <v>3.38</v>
      </c>
      <c r="CL104">
        <v>3.71</v>
      </c>
      <c r="CM104">
        <v>2.2000000000000002</v>
      </c>
      <c r="CN104">
        <v>3.58</v>
      </c>
      <c r="CO104">
        <v>3.71</v>
      </c>
      <c r="CP104">
        <v>2.16</v>
      </c>
      <c r="CQ104">
        <v>3.44</v>
      </c>
      <c r="CR104">
        <v>3.49</v>
      </c>
      <c r="CS104">
        <v>2.1800000000000002</v>
      </c>
      <c r="CT104">
        <v>3.6</v>
      </c>
      <c r="CU104">
        <v>3.7</v>
      </c>
      <c r="CV104">
        <v>1.95</v>
      </c>
      <c r="CW104">
        <v>1.95</v>
      </c>
      <c r="CX104">
        <v>1.95</v>
      </c>
      <c r="CY104">
        <v>1.95</v>
      </c>
      <c r="CZ104">
        <v>2</v>
      </c>
      <c r="DA104">
        <v>2</v>
      </c>
      <c r="DB104">
        <v>1.92</v>
      </c>
      <c r="DC104">
        <v>1.93</v>
      </c>
      <c r="DD104">
        <v>1.98</v>
      </c>
      <c r="DE104">
        <v>2</v>
      </c>
      <c r="DF104">
        <v>-0.25</v>
      </c>
      <c r="DG104">
        <v>1.87</v>
      </c>
      <c r="DH104">
        <v>2.06</v>
      </c>
      <c r="DI104">
        <v>1.88</v>
      </c>
      <c r="DJ104">
        <v>2.0499999999999998</v>
      </c>
      <c r="DK104">
        <v>1.89</v>
      </c>
      <c r="DL104">
        <v>2.08</v>
      </c>
      <c r="DM104">
        <v>1.85</v>
      </c>
      <c r="DN104">
        <v>2.02</v>
      </c>
      <c r="DO104">
        <v>1.89</v>
      </c>
      <c r="DP104">
        <v>2.11</v>
      </c>
    </row>
    <row r="105" spans="1:120" x14ac:dyDescent="0.3">
      <c r="A105" t="s">
        <v>120</v>
      </c>
      <c r="B105" s="2">
        <v>45546</v>
      </c>
      <c r="C105" s="1">
        <v>0.625</v>
      </c>
      <c r="D105" t="s">
        <v>133</v>
      </c>
      <c r="E105" t="s">
        <v>139</v>
      </c>
      <c r="F105">
        <v>2</v>
      </c>
      <c r="G105">
        <v>0</v>
      </c>
      <c r="H105" t="s">
        <v>124</v>
      </c>
      <c r="I105">
        <v>1</v>
      </c>
      <c r="J105">
        <v>0</v>
      </c>
      <c r="K105" t="s">
        <v>124</v>
      </c>
      <c r="L105" t="s">
        <v>185</v>
      </c>
      <c r="M105">
        <v>8</v>
      </c>
      <c r="N105">
        <v>9</v>
      </c>
      <c r="O105">
        <v>4</v>
      </c>
      <c r="P105">
        <v>0</v>
      </c>
      <c r="Q105">
        <v>14</v>
      </c>
      <c r="R105">
        <v>12</v>
      </c>
      <c r="S105">
        <v>1</v>
      </c>
      <c r="T105">
        <v>9</v>
      </c>
      <c r="U105">
        <v>1</v>
      </c>
      <c r="V105">
        <v>4</v>
      </c>
      <c r="W105">
        <v>0</v>
      </c>
      <c r="X105">
        <v>0</v>
      </c>
      <c r="Y105">
        <v>1.91</v>
      </c>
      <c r="Z105">
        <v>3.75</v>
      </c>
      <c r="AA105">
        <v>3.75</v>
      </c>
      <c r="AB105">
        <v>1.95</v>
      </c>
      <c r="AC105">
        <v>3.7</v>
      </c>
      <c r="AD105">
        <v>3.7</v>
      </c>
      <c r="AE105">
        <v>1.91</v>
      </c>
      <c r="AF105">
        <v>3.8</v>
      </c>
      <c r="AG105">
        <v>3.8</v>
      </c>
      <c r="AH105">
        <v>1.99</v>
      </c>
      <c r="AI105">
        <v>3.84</v>
      </c>
      <c r="AJ105">
        <v>3.7</v>
      </c>
      <c r="AK105">
        <v>1.95</v>
      </c>
      <c r="AL105">
        <v>3.75</v>
      </c>
      <c r="AM105">
        <v>3.7</v>
      </c>
      <c r="AN105">
        <v>1.99</v>
      </c>
      <c r="AO105">
        <v>3.94</v>
      </c>
      <c r="AP105">
        <v>3.72</v>
      </c>
      <c r="AQ105">
        <v>2.0099999999999998</v>
      </c>
      <c r="AR105">
        <v>4.13</v>
      </c>
      <c r="AS105">
        <v>3.8</v>
      </c>
      <c r="AT105">
        <v>1.96</v>
      </c>
      <c r="AU105">
        <v>3.84</v>
      </c>
      <c r="AV105">
        <v>3.67</v>
      </c>
      <c r="AW105">
        <v>1.99</v>
      </c>
      <c r="AX105">
        <v>3.95</v>
      </c>
      <c r="AY105">
        <v>4</v>
      </c>
      <c r="AZ105">
        <v>1.67</v>
      </c>
      <c r="BA105">
        <v>2.2000000000000002</v>
      </c>
      <c r="BB105">
        <v>1.67</v>
      </c>
      <c r="BC105">
        <v>2.2999999999999998</v>
      </c>
      <c r="BD105">
        <v>1.72</v>
      </c>
      <c r="BE105">
        <v>2.34</v>
      </c>
      <c r="BF105">
        <v>1.66</v>
      </c>
      <c r="BG105">
        <v>2.2599999999999998</v>
      </c>
      <c r="BH105">
        <v>1.71</v>
      </c>
      <c r="BI105">
        <v>2.38</v>
      </c>
      <c r="BJ105">
        <v>-0.5</v>
      </c>
      <c r="BK105">
        <v>1.98</v>
      </c>
      <c r="BL105">
        <v>1.92</v>
      </c>
      <c r="BM105">
        <v>1.99</v>
      </c>
      <c r="BN105">
        <v>1.91</v>
      </c>
      <c r="BO105">
        <v>2</v>
      </c>
      <c r="BP105">
        <v>1.98</v>
      </c>
      <c r="BQ105">
        <v>1.96</v>
      </c>
      <c r="BR105">
        <v>1.9</v>
      </c>
      <c r="BS105">
        <v>1.99</v>
      </c>
      <c r="BT105">
        <v>2</v>
      </c>
      <c r="BU105">
        <v>1.91</v>
      </c>
      <c r="BV105">
        <v>3.75</v>
      </c>
      <c r="BW105">
        <v>3.8</v>
      </c>
      <c r="BX105">
        <v>1.95</v>
      </c>
      <c r="BY105">
        <v>3.75</v>
      </c>
      <c r="BZ105">
        <v>3.7</v>
      </c>
      <c r="CA105">
        <v>1.85</v>
      </c>
      <c r="CB105">
        <v>3.8</v>
      </c>
      <c r="CC105">
        <v>4.2</v>
      </c>
      <c r="CD105">
        <v>1.95</v>
      </c>
      <c r="CE105">
        <v>3.75</v>
      </c>
      <c r="CF105">
        <v>4.01</v>
      </c>
      <c r="CG105">
        <v>1.91</v>
      </c>
      <c r="CH105">
        <v>3.8</v>
      </c>
      <c r="CI105">
        <v>4</v>
      </c>
      <c r="CJ105">
        <v>1.9</v>
      </c>
      <c r="CK105">
        <v>3.82</v>
      </c>
      <c r="CL105">
        <v>4.1100000000000003</v>
      </c>
      <c r="CM105">
        <v>2.06</v>
      </c>
      <c r="CN105">
        <v>4</v>
      </c>
      <c r="CO105">
        <v>4.33</v>
      </c>
      <c r="CP105">
        <v>1.92</v>
      </c>
      <c r="CQ105">
        <v>3.79</v>
      </c>
      <c r="CR105">
        <v>3.93</v>
      </c>
      <c r="CS105">
        <v>1.95</v>
      </c>
      <c r="CT105">
        <v>3.9</v>
      </c>
      <c r="CU105">
        <v>4.2</v>
      </c>
      <c r="CV105">
        <v>1.73</v>
      </c>
      <c r="CW105">
        <v>2.1</v>
      </c>
      <c r="CX105">
        <v>1.72</v>
      </c>
      <c r="CY105">
        <v>2.2000000000000002</v>
      </c>
      <c r="CZ105">
        <v>1.75</v>
      </c>
      <c r="DA105">
        <v>2.2599999999999998</v>
      </c>
      <c r="DB105">
        <v>1.71</v>
      </c>
      <c r="DC105">
        <v>2.19</v>
      </c>
      <c r="DD105">
        <v>1.75</v>
      </c>
      <c r="DE105">
        <v>2.2999999999999998</v>
      </c>
      <c r="DF105">
        <v>-0.5</v>
      </c>
      <c r="DG105">
        <v>1.94</v>
      </c>
      <c r="DH105">
        <v>1.99</v>
      </c>
      <c r="DI105">
        <v>1.96</v>
      </c>
      <c r="DJ105">
        <v>1.96</v>
      </c>
      <c r="DK105">
        <v>2.0499999999999998</v>
      </c>
      <c r="DL105">
        <v>2.06</v>
      </c>
      <c r="DM105">
        <v>1.92</v>
      </c>
      <c r="DN105">
        <v>1.95</v>
      </c>
      <c r="DO105">
        <v>1.95</v>
      </c>
      <c r="DP105">
        <v>2.04</v>
      </c>
    </row>
    <row r="106" spans="1:120" x14ac:dyDescent="0.3">
      <c r="A106" t="s">
        <v>120</v>
      </c>
      <c r="B106" s="2">
        <v>45546</v>
      </c>
      <c r="C106" s="1">
        <v>0.72916666666666663</v>
      </c>
      <c r="D106" t="s">
        <v>136</v>
      </c>
      <c r="E106" t="s">
        <v>152</v>
      </c>
      <c r="F106">
        <v>2</v>
      </c>
      <c r="G106">
        <v>1</v>
      </c>
      <c r="H106" t="s">
        <v>124</v>
      </c>
      <c r="I106">
        <v>0</v>
      </c>
      <c r="J106">
        <v>1</v>
      </c>
      <c r="K106" t="s">
        <v>130</v>
      </c>
      <c r="L106" t="s">
        <v>150</v>
      </c>
      <c r="M106">
        <v>10</v>
      </c>
      <c r="N106">
        <v>15</v>
      </c>
      <c r="O106">
        <v>4</v>
      </c>
      <c r="P106">
        <v>6</v>
      </c>
      <c r="Q106">
        <v>12</v>
      </c>
      <c r="R106">
        <v>10</v>
      </c>
      <c r="S106">
        <v>0</v>
      </c>
      <c r="T106">
        <v>4</v>
      </c>
      <c r="U106">
        <v>3</v>
      </c>
      <c r="V106">
        <v>3</v>
      </c>
      <c r="W106">
        <v>0</v>
      </c>
      <c r="X106">
        <v>0</v>
      </c>
      <c r="Y106">
        <v>4.0999999999999996</v>
      </c>
      <c r="Z106">
        <v>4.2</v>
      </c>
      <c r="AA106">
        <v>1.73</v>
      </c>
      <c r="AB106">
        <v>4.33</v>
      </c>
      <c r="AC106">
        <v>4</v>
      </c>
      <c r="AD106">
        <v>1.77</v>
      </c>
      <c r="AE106">
        <v>4.33</v>
      </c>
      <c r="AF106">
        <v>4.2</v>
      </c>
      <c r="AG106">
        <v>1.75</v>
      </c>
      <c r="AH106">
        <v>4.49</v>
      </c>
      <c r="AI106">
        <v>4.18</v>
      </c>
      <c r="AJ106">
        <v>1.74</v>
      </c>
      <c r="AK106">
        <v>4.4000000000000004</v>
      </c>
      <c r="AL106">
        <v>4</v>
      </c>
      <c r="AM106">
        <v>1.75</v>
      </c>
      <c r="AN106">
        <v>4.33</v>
      </c>
      <c r="AO106">
        <v>4.33</v>
      </c>
      <c r="AP106">
        <v>1.77</v>
      </c>
      <c r="AQ106">
        <v>4.5999999999999996</v>
      </c>
      <c r="AR106">
        <v>4.33</v>
      </c>
      <c r="AS106">
        <v>1.8</v>
      </c>
      <c r="AT106">
        <v>4.34</v>
      </c>
      <c r="AU106">
        <v>4.17</v>
      </c>
      <c r="AV106">
        <v>1.75</v>
      </c>
      <c r="AW106">
        <v>4.5999999999999996</v>
      </c>
      <c r="AX106">
        <v>4.4000000000000004</v>
      </c>
      <c r="AY106">
        <v>1.79</v>
      </c>
      <c r="AZ106">
        <v>1.53</v>
      </c>
      <c r="BA106">
        <v>2.5</v>
      </c>
      <c r="BB106">
        <v>1.56</v>
      </c>
      <c r="BC106">
        <v>2.5299999999999998</v>
      </c>
      <c r="BD106">
        <v>1.57</v>
      </c>
      <c r="BE106">
        <v>2.63</v>
      </c>
      <c r="BF106">
        <v>1.53</v>
      </c>
      <c r="BG106">
        <v>2.5</v>
      </c>
      <c r="BH106">
        <v>1.55</v>
      </c>
      <c r="BI106">
        <v>2.68</v>
      </c>
      <c r="BJ106">
        <v>0.75</v>
      </c>
      <c r="BK106">
        <v>1.95</v>
      </c>
      <c r="BL106">
        <v>1.95</v>
      </c>
      <c r="BM106">
        <v>1.95</v>
      </c>
      <c r="BN106">
        <v>1.95</v>
      </c>
      <c r="BO106">
        <v>1.98</v>
      </c>
      <c r="BP106">
        <v>2</v>
      </c>
      <c r="BQ106">
        <v>1.91</v>
      </c>
      <c r="BR106">
        <v>1.93</v>
      </c>
      <c r="BS106">
        <v>1.98</v>
      </c>
      <c r="BT106">
        <v>2</v>
      </c>
      <c r="BU106">
        <v>4</v>
      </c>
      <c r="BV106">
        <v>4</v>
      </c>
      <c r="BW106">
        <v>1.8</v>
      </c>
      <c r="BX106">
        <v>4</v>
      </c>
      <c r="BY106">
        <v>4</v>
      </c>
      <c r="BZ106">
        <v>1.82</v>
      </c>
      <c r="CA106">
        <v>4.0999999999999996</v>
      </c>
      <c r="CB106">
        <v>4.0999999999999996</v>
      </c>
      <c r="CC106">
        <v>1.8</v>
      </c>
      <c r="CD106">
        <v>4.0999999999999996</v>
      </c>
      <c r="CE106">
        <v>4.1500000000000004</v>
      </c>
      <c r="CF106">
        <v>1.83</v>
      </c>
      <c r="CG106">
        <v>4.2</v>
      </c>
      <c r="CH106">
        <v>4</v>
      </c>
      <c r="CI106">
        <v>1.8</v>
      </c>
      <c r="CJ106">
        <v>4.3600000000000003</v>
      </c>
      <c r="CK106">
        <v>4.0999999999999996</v>
      </c>
      <c r="CL106">
        <v>1.8</v>
      </c>
      <c r="CM106">
        <v>4.4800000000000004</v>
      </c>
      <c r="CN106">
        <v>4.3</v>
      </c>
      <c r="CO106">
        <v>1.85</v>
      </c>
      <c r="CP106">
        <v>4.1100000000000003</v>
      </c>
      <c r="CQ106">
        <v>4.13</v>
      </c>
      <c r="CR106">
        <v>1.8</v>
      </c>
      <c r="CS106">
        <v>4.3</v>
      </c>
      <c r="CT106">
        <v>4.3</v>
      </c>
      <c r="CU106">
        <v>1.85</v>
      </c>
      <c r="CV106">
        <v>1.44</v>
      </c>
      <c r="CW106">
        <v>2.75</v>
      </c>
      <c r="CX106">
        <v>1.49</v>
      </c>
      <c r="CY106">
        <v>2.74</v>
      </c>
      <c r="CZ106">
        <v>1.53</v>
      </c>
      <c r="DA106">
        <v>2.9</v>
      </c>
      <c r="DB106">
        <v>1.47</v>
      </c>
      <c r="DC106">
        <v>2.75</v>
      </c>
      <c r="DD106">
        <v>1.51</v>
      </c>
      <c r="DE106">
        <v>2.94</v>
      </c>
      <c r="DF106">
        <v>0.75</v>
      </c>
      <c r="DG106">
        <v>1.86</v>
      </c>
      <c r="DH106">
        <v>2.0699999999999998</v>
      </c>
      <c r="DI106">
        <v>1.85</v>
      </c>
      <c r="DJ106">
        <v>2.08</v>
      </c>
      <c r="DK106">
        <v>1.93</v>
      </c>
      <c r="DL106">
        <v>2.08</v>
      </c>
      <c r="DM106">
        <v>1.87</v>
      </c>
      <c r="DN106">
        <v>2</v>
      </c>
      <c r="DO106">
        <v>1.9</v>
      </c>
      <c r="DP106">
        <v>2.09</v>
      </c>
    </row>
    <row r="107" spans="1:120" x14ac:dyDescent="0.3">
      <c r="A107" t="s">
        <v>120</v>
      </c>
      <c r="B107" s="2">
        <v>45546</v>
      </c>
      <c r="C107" s="1">
        <v>0.83333333333333337</v>
      </c>
      <c r="D107" t="s">
        <v>129</v>
      </c>
      <c r="E107" t="s">
        <v>145</v>
      </c>
      <c r="F107">
        <v>2</v>
      </c>
      <c r="G107">
        <v>0</v>
      </c>
      <c r="H107" t="s">
        <v>124</v>
      </c>
      <c r="I107">
        <v>1</v>
      </c>
      <c r="J107">
        <v>0</v>
      </c>
      <c r="K107" t="s">
        <v>124</v>
      </c>
      <c r="L107" t="s">
        <v>162</v>
      </c>
      <c r="M107">
        <v>14</v>
      </c>
      <c r="N107">
        <v>12</v>
      </c>
      <c r="O107">
        <v>5</v>
      </c>
      <c r="P107">
        <v>2</v>
      </c>
      <c r="Q107">
        <v>11</v>
      </c>
      <c r="R107">
        <v>15</v>
      </c>
      <c r="S107">
        <v>2</v>
      </c>
      <c r="T107">
        <v>9</v>
      </c>
      <c r="U107">
        <v>0</v>
      </c>
      <c r="V107">
        <v>3</v>
      </c>
      <c r="W107">
        <v>0</v>
      </c>
      <c r="X107">
        <v>0</v>
      </c>
      <c r="Y107">
        <v>1.42</v>
      </c>
      <c r="Z107">
        <v>5.25</v>
      </c>
      <c r="AA107">
        <v>6.5</v>
      </c>
      <c r="AB107">
        <v>1.44</v>
      </c>
      <c r="AC107">
        <v>5</v>
      </c>
      <c r="AD107">
        <v>6.25</v>
      </c>
      <c r="AE107">
        <v>1.4</v>
      </c>
      <c r="AF107">
        <v>5</v>
      </c>
      <c r="AG107">
        <v>6.5</v>
      </c>
      <c r="AH107">
        <v>1.42</v>
      </c>
      <c r="AI107">
        <v>5.45</v>
      </c>
      <c r="AJ107">
        <v>6.7</v>
      </c>
      <c r="AK107">
        <v>1.44</v>
      </c>
      <c r="AL107">
        <v>4.8</v>
      </c>
      <c r="AM107">
        <v>7</v>
      </c>
      <c r="AN107">
        <v>1.44</v>
      </c>
      <c r="AO107">
        <v>5.35</v>
      </c>
      <c r="AP107">
        <v>6.98</v>
      </c>
      <c r="AQ107">
        <v>1.45</v>
      </c>
      <c r="AR107">
        <v>5.5</v>
      </c>
      <c r="AS107">
        <v>7.4</v>
      </c>
      <c r="AT107">
        <v>1.42</v>
      </c>
      <c r="AU107">
        <v>5.26</v>
      </c>
      <c r="AV107">
        <v>6.7</v>
      </c>
      <c r="AW107">
        <v>1.46</v>
      </c>
      <c r="AX107">
        <v>5.5</v>
      </c>
      <c r="AY107">
        <v>7.2</v>
      </c>
      <c r="AZ107">
        <v>1.44</v>
      </c>
      <c r="BA107">
        <v>2.75</v>
      </c>
      <c r="BB107">
        <v>1.44</v>
      </c>
      <c r="BC107">
        <v>2.87</v>
      </c>
      <c r="BD107">
        <v>1.45</v>
      </c>
      <c r="BE107">
        <v>2.98</v>
      </c>
      <c r="BF107">
        <v>1.43</v>
      </c>
      <c r="BG107">
        <v>2.83</v>
      </c>
      <c r="BH107">
        <v>1.47</v>
      </c>
      <c r="BI107">
        <v>2.98</v>
      </c>
      <c r="BJ107">
        <v>-1.25</v>
      </c>
      <c r="BK107">
        <v>1.87</v>
      </c>
      <c r="BL107">
        <v>2.0299999999999998</v>
      </c>
      <c r="BM107">
        <v>1.86</v>
      </c>
      <c r="BN107">
        <v>2.06</v>
      </c>
      <c r="BO107">
        <v>1.94</v>
      </c>
      <c r="BP107">
        <v>2.06</v>
      </c>
      <c r="BQ107">
        <v>1.87</v>
      </c>
      <c r="BR107">
        <v>1.97</v>
      </c>
      <c r="BS107">
        <v>1.92</v>
      </c>
      <c r="BT107">
        <v>2.06</v>
      </c>
      <c r="BU107">
        <v>1.45</v>
      </c>
      <c r="BV107">
        <v>4.75</v>
      </c>
      <c r="BW107">
        <v>6.25</v>
      </c>
      <c r="BX107">
        <v>1.5</v>
      </c>
      <c r="BY107">
        <v>4.5999999999999996</v>
      </c>
      <c r="BZ107">
        <v>6</v>
      </c>
      <c r="CA107">
        <v>1.44</v>
      </c>
      <c r="CB107">
        <v>4.75</v>
      </c>
      <c r="CC107">
        <v>6.5</v>
      </c>
      <c r="CD107">
        <v>1.47</v>
      </c>
      <c r="CE107">
        <v>4.9000000000000004</v>
      </c>
      <c r="CF107">
        <v>7</v>
      </c>
      <c r="CG107">
        <v>1.5</v>
      </c>
      <c r="CH107">
        <v>4.5</v>
      </c>
      <c r="CI107">
        <v>6.5</v>
      </c>
      <c r="CJ107">
        <v>1.51</v>
      </c>
      <c r="CK107">
        <v>4.84</v>
      </c>
      <c r="CL107">
        <v>6.17</v>
      </c>
      <c r="CM107">
        <v>1.51</v>
      </c>
      <c r="CN107">
        <v>4.9000000000000004</v>
      </c>
      <c r="CO107">
        <v>7</v>
      </c>
      <c r="CP107">
        <v>1.48</v>
      </c>
      <c r="CQ107">
        <v>4.74</v>
      </c>
      <c r="CR107">
        <v>6.41</v>
      </c>
      <c r="CS107">
        <v>1.51</v>
      </c>
      <c r="CT107">
        <v>4.9000000000000004</v>
      </c>
      <c r="CU107">
        <v>7.2</v>
      </c>
      <c r="CV107">
        <v>1.57</v>
      </c>
      <c r="CW107">
        <v>2.38</v>
      </c>
      <c r="CX107">
        <v>1.58</v>
      </c>
      <c r="CY107">
        <v>2.4900000000000002</v>
      </c>
      <c r="CZ107">
        <v>1.61</v>
      </c>
      <c r="DA107">
        <v>2.5</v>
      </c>
      <c r="DB107">
        <v>1.57</v>
      </c>
      <c r="DC107">
        <v>2.4500000000000002</v>
      </c>
      <c r="DD107">
        <v>1.63</v>
      </c>
      <c r="DE107">
        <v>2.58</v>
      </c>
      <c r="DF107">
        <v>-1.25</v>
      </c>
      <c r="DG107">
        <v>2.0499999999999998</v>
      </c>
      <c r="DH107">
        <v>1.88</v>
      </c>
      <c r="DI107">
        <v>2.06</v>
      </c>
      <c r="DJ107">
        <v>1.88</v>
      </c>
      <c r="DK107">
        <v>2.12</v>
      </c>
      <c r="DL107">
        <v>1.88</v>
      </c>
      <c r="DM107">
        <v>2.04</v>
      </c>
      <c r="DN107">
        <v>1.83</v>
      </c>
      <c r="DO107">
        <v>2.13</v>
      </c>
      <c r="DP107">
        <v>1.88</v>
      </c>
    </row>
    <row r="108" spans="1:120" x14ac:dyDescent="0.3">
      <c r="A108" t="s">
        <v>120</v>
      </c>
      <c r="B108" s="2">
        <v>45576</v>
      </c>
      <c r="C108" s="1">
        <v>0.58333333333333337</v>
      </c>
      <c r="D108" t="s">
        <v>122</v>
      </c>
      <c r="E108" t="s">
        <v>155</v>
      </c>
      <c r="F108">
        <v>3</v>
      </c>
      <c r="G108">
        <v>0</v>
      </c>
      <c r="H108" t="s">
        <v>124</v>
      </c>
      <c r="I108">
        <v>2</v>
      </c>
      <c r="J108">
        <v>0</v>
      </c>
      <c r="K108" t="s">
        <v>124</v>
      </c>
      <c r="L108" t="s">
        <v>171</v>
      </c>
      <c r="M108">
        <v>13</v>
      </c>
      <c r="N108">
        <v>6</v>
      </c>
      <c r="O108">
        <v>3</v>
      </c>
      <c r="P108">
        <v>5</v>
      </c>
      <c r="Q108">
        <v>9</v>
      </c>
      <c r="R108">
        <v>5</v>
      </c>
      <c r="S108">
        <v>1</v>
      </c>
      <c r="T108">
        <v>5</v>
      </c>
      <c r="U108">
        <v>0</v>
      </c>
      <c r="V108">
        <v>1</v>
      </c>
      <c r="W108">
        <v>0</v>
      </c>
      <c r="X108">
        <v>0</v>
      </c>
      <c r="Y108">
        <v>1.38</v>
      </c>
      <c r="Z108">
        <v>5.5</v>
      </c>
      <c r="AA108">
        <v>6.5</v>
      </c>
      <c r="AB108">
        <v>1.38</v>
      </c>
      <c r="AC108">
        <v>5.25</v>
      </c>
      <c r="AD108">
        <v>7.5</v>
      </c>
      <c r="AE108">
        <v>1.36</v>
      </c>
      <c r="AF108">
        <v>5.5</v>
      </c>
      <c r="AG108">
        <v>7.5</v>
      </c>
      <c r="AH108">
        <v>1.39</v>
      </c>
      <c r="AI108">
        <v>5.34</v>
      </c>
      <c r="AJ108">
        <v>7.62</v>
      </c>
      <c r="AK108">
        <v>1.4</v>
      </c>
      <c r="AL108">
        <v>5</v>
      </c>
      <c r="AM108">
        <v>7.5</v>
      </c>
      <c r="AN108">
        <v>1.41</v>
      </c>
      <c r="AO108">
        <v>5.39</v>
      </c>
      <c r="AP108">
        <v>7.7</v>
      </c>
      <c r="AQ108">
        <v>1.43</v>
      </c>
      <c r="AR108">
        <v>5.6</v>
      </c>
      <c r="AS108">
        <v>8</v>
      </c>
      <c r="AT108">
        <v>1.39</v>
      </c>
      <c r="AU108">
        <v>5.35</v>
      </c>
      <c r="AV108">
        <v>7.46</v>
      </c>
      <c r="AW108">
        <v>1.4</v>
      </c>
      <c r="AX108">
        <v>6</v>
      </c>
      <c r="AY108">
        <v>8.1999999999999993</v>
      </c>
      <c r="AZ108">
        <v>1.44</v>
      </c>
      <c r="BA108">
        <v>2.75</v>
      </c>
      <c r="BB108">
        <v>1.5</v>
      </c>
      <c r="BC108">
        <v>2.69</v>
      </c>
      <c r="BD108">
        <v>1.51</v>
      </c>
      <c r="BE108">
        <v>2.8</v>
      </c>
      <c r="BF108">
        <v>1.46</v>
      </c>
      <c r="BG108">
        <v>2.72</v>
      </c>
      <c r="BH108">
        <v>1.5</v>
      </c>
      <c r="BI108">
        <v>2.86</v>
      </c>
      <c r="BJ108">
        <v>-1.5</v>
      </c>
      <c r="BK108">
        <v>2.04</v>
      </c>
      <c r="BL108">
        <v>1.86</v>
      </c>
      <c r="BM108">
        <v>2.0699999999999998</v>
      </c>
      <c r="BN108">
        <v>1.85</v>
      </c>
      <c r="BO108">
        <v>2.0699999999999998</v>
      </c>
      <c r="BP108">
        <v>1.88</v>
      </c>
      <c r="BQ108">
        <v>2.0299999999999998</v>
      </c>
      <c r="BR108">
        <v>1.84</v>
      </c>
      <c r="BS108">
        <v>2.09</v>
      </c>
      <c r="BT108">
        <v>1.81</v>
      </c>
      <c r="BU108">
        <v>1.33</v>
      </c>
      <c r="BV108">
        <v>5.75</v>
      </c>
      <c r="BW108">
        <v>8</v>
      </c>
      <c r="BX108">
        <v>1.32</v>
      </c>
      <c r="BY108">
        <v>5.75</v>
      </c>
      <c r="BZ108">
        <v>8.5</v>
      </c>
      <c r="CA108">
        <v>1.3</v>
      </c>
      <c r="CB108">
        <v>5.5</v>
      </c>
      <c r="CC108">
        <v>9</v>
      </c>
      <c r="CD108">
        <v>1.35</v>
      </c>
      <c r="CE108">
        <v>5.62</v>
      </c>
      <c r="CF108">
        <v>8.93</v>
      </c>
      <c r="CG108">
        <v>1.33</v>
      </c>
      <c r="CH108">
        <v>5.5</v>
      </c>
      <c r="CI108">
        <v>9</v>
      </c>
      <c r="CJ108">
        <v>1.35</v>
      </c>
      <c r="CK108">
        <v>5.85</v>
      </c>
      <c r="CL108">
        <v>8.48</v>
      </c>
      <c r="CM108">
        <v>1.36</v>
      </c>
      <c r="CN108">
        <v>5.85</v>
      </c>
      <c r="CO108">
        <v>9.86</v>
      </c>
      <c r="CP108">
        <v>1.33</v>
      </c>
      <c r="CQ108">
        <v>5.66</v>
      </c>
      <c r="CR108">
        <v>8.8699999999999992</v>
      </c>
      <c r="CS108">
        <v>1.34</v>
      </c>
      <c r="CT108">
        <v>6.2</v>
      </c>
      <c r="CU108">
        <v>10</v>
      </c>
      <c r="CV108">
        <v>1.5</v>
      </c>
      <c r="CW108">
        <v>2.63</v>
      </c>
      <c r="CX108">
        <v>1.5</v>
      </c>
      <c r="CY108">
        <v>2.7</v>
      </c>
      <c r="CZ108">
        <v>1.52</v>
      </c>
      <c r="DA108">
        <v>2.8</v>
      </c>
      <c r="DB108">
        <v>1.48</v>
      </c>
      <c r="DC108">
        <v>2.68</v>
      </c>
      <c r="DD108">
        <v>1.55</v>
      </c>
      <c r="DE108">
        <v>2.78</v>
      </c>
      <c r="DF108">
        <v>-1.5</v>
      </c>
      <c r="DG108">
        <v>1.92</v>
      </c>
      <c r="DH108">
        <v>2.0099999999999998</v>
      </c>
      <c r="DI108">
        <v>1.96</v>
      </c>
      <c r="DJ108">
        <v>1.96</v>
      </c>
      <c r="DK108">
        <v>1.96</v>
      </c>
      <c r="DL108">
        <v>2.04</v>
      </c>
      <c r="DM108">
        <v>1.9</v>
      </c>
      <c r="DN108">
        <v>1.96</v>
      </c>
      <c r="DO108">
        <v>1.98</v>
      </c>
      <c r="DP108">
        <v>1.98</v>
      </c>
    </row>
    <row r="109" spans="1:120" x14ac:dyDescent="0.3">
      <c r="A109" t="s">
        <v>120</v>
      </c>
      <c r="B109" s="2">
        <v>45576</v>
      </c>
      <c r="C109" s="1">
        <v>0.58333333333333337</v>
      </c>
      <c r="D109" t="s">
        <v>141</v>
      </c>
      <c r="E109" t="s">
        <v>138</v>
      </c>
      <c r="F109">
        <v>1</v>
      </c>
      <c r="G109">
        <v>3</v>
      </c>
      <c r="H109" t="s">
        <v>130</v>
      </c>
      <c r="I109">
        <v>1</v>
      </c>
      <c r="J109">
        <v>0</v>
      </c>
      <c r="K109" t="s">
        <v>124</v>
      </c>
      <c r="L109" t="s">
        <v>153</v>
      </c>
      <c r="M109">
        <v>9</v>
      </c>
      <c r="N109">
        <v>17</v>
      </c>
      <c r="O109">
        <v>3</v>
      </c>
      <c r="P109">
        <v>6</v>
      </c>
      <c r="Q109">
        <v>13</v>
      </c>
      <c r="R109">
        <v>6</v>
      </c>
      <c r="S109">
        <v>4</v>
      </c>
      <c r="T109">
        <v>5</v>
      </c>
      <c r="U109">
        <v>1</v>
      </c>
      <c r="V109">
        <v>1</v>
      </c>
      <c r="W109">
        <v>0</v>
      </c>
      <c r="X109">
        <v>0</v>
      </c>
      <c r="Y109">
        <v>2.7</v>
      </c>
      <c r="Z109">
        <v>3.3</v>
      </c>
      <c r="AA109">
        <v>2.7</v>
      </c>
      <c r="AB109">
        <v>2.7</v>
      </c>
      <c r="AC109">
        <v>3.3</v>
      </c>
      <c r="AD109">
        <v>2.65</v>
      </c>
      <c r="AE109">
        <v>2.6</v>
      </c>
      <c r="AF109">
        <v>3.4</v>
      </c>
      <c r="AG109">
        <v>2.7</v>
      </c>
      <c r="AH109">
        <v>2.71</v>
      </c>
      <c r="AI109">
        <v>3.29</v>
      </c>
      <c r="AJ109">
        <v>2.78</v>
      </c>
      <c r="AK109">
        <v>2.62</v>
      </c>
      <c r="AL109">
        <v>3.4</v>
      </c>
      <c r="AM109">
        <v>2.7</v>
      </c>
      <c r="AN109">
        <v>2.68</v>
      </c>
      <c r="AO109">
        <v>3.57</v>
      </c>
      <c r="AP109">
        <v>2.69</v>
      </c>
      <c r="AQ109">
        <v>2.75</v>
      </c>
      <c r="AR109">
        <v>3.57</v>
      </c>
      <c r="AS109">
        <v>2.82</v>
      </c>
      <c r="AT109">
        <v>2.69</v>
      </c>
      <c r="AU109">
        <v>3.31</v>
      </c>
      <c r="AV109">
        <v>2.72</v>
      </c>
      <c r="AW109">
        <v>2.78</v>
      </c>
      <c r="AX109">
        <v>3.4</v>
      </c>
      <c r="AY109">
        <v>2.86</v>
      </c>
      <c r="AZ109">
        <v>1.97</v>
      </c>
      <c r="BA109">
        <v>1.93</v>
      </c>
      <c r="BB109">
        <v>1.94</v>
      </c>
      <c r="BC109">
        <v>1.94</v>
      </c>
      <c r="BD109">
        <v>2</v>
      </c>
      <c r="BE109">
        <v>1.96</v>
      </c>
      <c r="BF109">
        <v>1.94</v>
      </c>
      <c r="BG109">
        <v>1.9</v>
      </c>
      <c r="BH109">
        <v>1.97</v>
      </c>
      <c r="BI109">
        <v>1.96</v>
      </c>
      <c r="BJ109">
        <v>0</v>
      </c>
      <c r="BK109">
        <v>1.95</v>
      </c>
      <c r="BL109">
        <v>1.95</v>
      </c>
      <c r="BM109">
        <v>1.93</v>
      </c>
      <c r="BN109">
        <v>1.97</v>
      </c>
      <c r="BO109">
        <v>1.95</v>
      </c>
      <c r="BP109">
        <v>1.98</v>
      </c>
      <c r="BQ109">
        <v>1.93</v>
      </c>
      <c r="BR109">
        <v>1.93</v>
      </c>
      <c r="BS109">
        <v>1.96</v>
      </c>
      <c r="BT109">
        <v>2.0299999999999998</v>
      </c>
      <c r="BU109">
        <v>2.7</v>
      </c>
      <c r="BV109">
        <v>3.3</v>
      </c>
      <c r="BW109">
        <v>2.6</v>
      </c>
      <c r="BX109">
        <v>2.7</v>
      </c>
      <c r="BY109">
        <v>3.3</v>
      </c>
      <c r="BZ109">
        <v>2.65</v>
      </c>
      <c r="CA109">
        <v>2.7</v>
      </c>
      <c r="CB109">
        <v>3.25</v>
      </c>
      <c r="CC109">
        <v>2.7</v>
      </c>
      <c r="CD109">
        <v>2.81</v>
      </c>
      <c r="CE109">
        <v>3.3</v>
      </c>
      <c r="CF109">
        <v>2.72</v>
      </c>
      <c r="CG109">
        <v>2.8</v>
      </c>
      <c r="CH109">
        <v>3.25</v>
      </c>
      <c r="CI109">
        <v>2.62</v>
      </c>
      <c r="CJ109">
        <v>2.9</v>
      </c>
      <c r="CK109">
        <v>3.39</v>
      </c>
      <c r="CL109">
        <v>2.56</v>
      </c>
      <c r="CM109">
        <v>2.9</v>
      </c>
      <c r="CN109">
        <v>3.45</v>
      </c>
      <c r="CO109">
        <v>2.75</v>
      </c>
      <c r="CP109">
        <v>2.76</v>
      </c>
      <c r="CQ109">
        <v>3.3</v>
      </c>
      <c r="CR109">
        <v>2.67</v>
      </c>
      <c r="CS109">
        <v>2.88</v>
      </c>
      <c r="CT109">
        <v>3.35</v>
      </c>
      <c r="CU109">
        <v>2.78</v>
      </c>
      <c r="CV109">
        <v>1.97</v>
      </c>
      <c r="CW109">
        <v>1.93</v>
      </c>
      <c r="CX109">
        <v>1.97</v>
      </c>
      <c r="CY109">
        <v>1.93</v>
      </c>
      <c r="CZ109">
        <v>1.98</v>
      </c>
      <c r="DA109">
        <v>2</v>
      </c>
      <c r="DB109">
        <v>1.93</v>
      </c>
      <c r="DC109">
        <v>1.92</v>
      </c>
      <c r="DD109">
        <v>1.99</v>
      </c>
      <c r="DE109">
        <v>2</v>
      </c>
      <c r="DF109">
        <v>0</v>
      </c>
      <c r="DG109">
        <v>2.0099999999999998</v>
      </c>
      <c r="DH109">
        <v>1.92</v>
      </c>
      <c r="DI109">
        <v>2</v>
      </c>
      <c r="DJ109">
        <v>1.93</v>
      </c>
      <c r="DK109">
        <v>2.0499999999999998</v>
      </c>
      <c r="DL109">
        <v>1.94</v>
      </c>
      <c r="DM109">
        <v>1.99</v>
      </c>
      <c r="DN109">
        <v>1.9</v>
      </c>
      <c r="DO109">
        <v>2.04</v>
      </c>
      <c r="DP109">
        <v>1.95</v>
      </c>
    </row>
    <row r="110" spans="1:120" x14ac:dyDescent="0.3">
      <c r="A110" t="s">
        <v>120</v>
      </c>
      <c r="B110" s="2">
        <v>45576</v>
      </c>
      <c r="C110" s="1">
        <v>0.58333333333333337</v>
      </c>
      <c r="D110" t="s">
        <v>156</v>
      </c>
      <c r="E110" t="s">
        <v>128</v>
      </c>
      <c r="F110">
        <v>1</v>
      </c>
      <c r="G110">
        <v>2</v>
      </c>
      <c r="H110" t="s">
        <v>130</v>
      </c>
      <c r="I110">
        <v>0</v>
      </c>
      <c r="J110">
        <v>2</v>
      </c>
      <c r="K110" t="s">
        <v>130</v>
      </c>
      <c r="L110" t="s">
        <v>163</v>
      </c>
      <c r="M110">
        <v>17</v>
      </c>
      <c r="N110">
        <v>8</v>
      </c>
      <c r="O110">
        <v>5</v>
      </c>
      <c r="P110">
        <v>3</v>
      </c>
      <c r="Q110">
        <v>10</v>
      </c>
      <c r="R110">
        <v>19</v>
      </c>
      <c r="S110">
        <v>12</v>
      </c>
      <c r="T110">
        <v>2</v>
      </c>
      <c r="U110">
        <v>1</v>
      </c>
      <c r="V110">
        <v>5</v>
      </c>
      <c r="W110">
        <v>0</v>
      </c>
      <c r="X110">
        <v>0</v>
      </c>
      <c r="Y110">
        <v>1.25</v>
      </c>
      <c r="Z110">
        <v>6.5</v>
      </c>
      <c r="AA110">
        <v>9</v>
      </c>
      <c r="AB110">
        <v>1.26</v>
      </c>
      <c r="AC110">
        <v>6.75</v>
      </c>
      <c r="AD110">
        <v>10</v>
      </c>
      <c r="AE110">
        <v>1.25</v>
      </c>
      <c r="AF110">
        <v>7</v>
      </c>
      <c r="AG110">
        <v>10</v>
      </c>
      <c r="AH110">
        <v>1.25</v>
      </c>
      <c r="AI110">
        <v>6.95</v>
      </c>
      <c r="AJ110">
        <v>9.8699999999999992</v>
      </c>
      <c r="AK110">
        <v>1.25</v>
      </c>
      <c r="AL110">
        <v>6.5</v>
      </c>
      <c r="AM110">
        <v>11</v>
      </c>
      <c r="AN110">
        <v>1.27</v>
      </c>
      <c r="AO110">
        <v>6.88</v>
      </c>
      <c r="AP110">
        <v>10.4</v>
      </c>
      <c r="AQ110">
        <v>1.27</v>
      </c>
      <c r="AR110">
        <v>7.3</v>
      </c>
      <c r="AS110">
        <v>11</v>
      </c>
      <c r="AT110">
        <v>1.26</v>
      </c>
      <c r="AU110">
        <v>6.76</v>
      </c>
      <c r="AV110">
        <v>9.98</v>
      </c>
      <c r="AW110">
        <v>1.29</v>
      </c>
      <c r="AX110">
        <v>7.4</v>
      </c>
      <c r="AY110">
        <v>10.5</v>
      </c>
      <c r="AZ110">
        <v>1.3</v>
      </c>
      <c r="BA110">
        <v>3.5</v>
      </c>
      <c r="BB110">
        <v>1.32</v>
      </c>
      <c r="BC110">
        <v>3.49</v>
      </c>
      <c r="BD110">
        <v>1.33</v>
      </c>
      <c r="BE110">
        <v>3.7</v>
      </c>
      <c r="BF110">
        <v>1.3</v>
      </c>
      <c r="BG110">
        <v>3.49</v>
      </c>
      <c r="BH110">
        <v>1.33</v>
      </c>
      <c r="BI110">
        <v>3.8</v>
      </c>
      <c r="BJ110">
        <v>-1.75</v>
      </c>
      <c r="BK110">
        <v>1.85</v>
      </c>
      <c r="BL110">
        <v>2.0499999999999998</v>
      </c>
      <c r="BM110">
        <v>1.83</v>
      </c>
      <c r="BN110">
        <v>2.0699999999999998</v>
      </c>
      <c r="BO110">
        <v>1.9</v>
      </c>
      <c r="BP110">
        <v>2.0699999999999998</v>
      </c>
      <c r="BQ110">
        <v>1.83</v>
      </c>
      <c r="BR110">
        <v>2.0099999999999998</v>
      </c>
      <c r="BS110">
        <v>1.9</v>
      </c>
      <c r="BT110">
        <v>2.0499999999999998</v>
      </c>
      <c r="BU110">
        <v>1.25</v>
      </c>
      <c r="BV110">
        <v>6.5</v>
      </c>
      <c r="BW110">
        <v>9.5</v>
      </c>
      <c r="BX110">
        <v>1.26</v>
      </c>
      <c r="BY110">
        <v>6.75</v>
      </c>
      <c r="BZ110">
        <v>10</v>
      </c>
      <c r="CA110">
        <v>1.25</v>
      </c>
      <c r="CB110">
        <v>6.5</v>
      </c>
      <c r="CC110">
        <v>10.5</v>
      </c>
      <c r="CD110">
        <v>1.26</v>
      </c>
      <c r="CE110">
        <v>6.72</v>
      </c>
      <c r="CF110">
        <v>10.66</v>
      </c>
      <c r="CG110">
        <v>1.25</v>
      </c>
      <c r="CH110">
        <v>6.5</v>
      </c>
      <c r="CI110">
        <v>11</v>
      </c>
      <c r="CJ110">
        <v>1.27</v>
      </c>
      <c r="CK110">
        <v>6.83</v>
      </c>
      <c r="CL110">
        <v>10.4</v>
      </c>
      <c r="CM110">
        <v>1.28</v>
      </c>
      <c r="CN110">
        <v>7.3</v>
      </c>
      <c r="CO110">
        <v>12</v>
      </c>
      <c r="CP110">
        <v>1.25</v>
      </c>
      <c r="CQ110">
        <v>6.71</v>
      </c>
      <c r="CR110">
        <v>10.56</v>
      </c>
      <c r="CS110">
        <v>1.28</v>
      </c>
      <c r="CT110">
        <v>7</v>
      </c>
      <c r="CU110">
        <v>12</v>
      </c>
      <c r="CV110">
        <v>1.33</v>
      </c>
      <c r="CW110">
        <v>3.4</v>
      </c>
      <c r="CX110">
        <v>1.34</v>
      </c>
      <c r="CY110">
        <v>3.42</v>
      </c>
      <c r="CZ110">
        <v>1.36</v>
      </c>
      <c r="DA110">
        <v>3.7</v>
      </c>
      <c r="DB110">
        <v>1.32</v>
      </c>
      <c r="DC110">
        <v>3.44</v>
      </c>
      <c r="DD110">
        <v>1.37</v>
      </c>
      <c r="DE110">
        <v>3.65</v>
      </c>
      <c r="DF110">
        <v>-1.75</v>
      </c>
      <c r="DG110">
        <v>1.86</v>
      </c>
      <c r="DH110">
        <v>2.0699999999999998</v>
      </c>
      <c r="DI110">
        <v>1.88</v>
      </c>
      <c r="DJ110">
        <v>2.0299999999999998</v>
      </c>
      <c r="DK110">
        <v>1.88</v>
      </c>
      <c r="DL110">
        <v>2.09</v>
      </c>
      <c r="DM110">
        <v>1.84</v>
      </c>
      <c r="DN110">
        <v>2.0299999999999998</v>
      </c>
      <c r="DO110">
        <v>1.91</v>
      </c>
      <c r="DP110">
        <v>2.08</v>
      </c>
    </row>
    <row r="111" spans="1:120" x14ac:dyDescent="0.3">
      <c r="A111" t="s">
        <v>120</v>
      </c>
      <c r="B111" s="2">
        <v>45576</v>
      </c>
      <c r="C111" s="1">
        <v>0.6875</v>
      </c>
      <c r="D111" t="s">
        <v>151</v>
      </c>
      <c r="E111" t="s">
        <v>132</v>
      </c>
      <c r="F111">
        <v>1</v>
      </c>
      <c r="G111">
        <v>1</v>
      </c>
      <c r="H111" t="s">
        <v>125</v>
      </c>
      <c r="I111">
        <v>0</v>
      </c>
      <c r="J111">
        <v>0</v>
      </c>
      <c r="K111" t="s">
        <v>125</v>
      </c>
      <c r="L111" t="s">
        <v>143</v>
      </c>
      <c r="M111">
        <v>17</v>
      </c>
      <c r="N111">
        <v>13</v>
      </c>
      <c r="O111">
        <v>3</v>
      </c>
      <c r="P111">
        <v>3</v>
      </c>
      <c r="Q111">
        <v>12</v>
      </c>
      <c r="R111">
        <v>12</v>
      </c>
      <c r="S111">
        <v>4</v>
      </c>
      <c r="T111">
        <v>3</v>
      </c>
      <c r="U111">
        <v>4</v>
      </c>
      <c r="V111">
        <v>2</v>
      </c>
      <c r="W111">
        <v>0</v>
      </c>
      <c r="X111">
        <v>0</v>
      </c>
      <c r="Y111">
        <v>2.7</v>
      </c>
      <c r="Z111">
        <v>3.4</v>
      </c>
      <c r="AA111">
        <v>2.5499999999999998</v>
      </c>
      <c r="AB111">
        <v>2.8</v>
      </c>
      <c r="AC111">
        <v>3.5</v>
      </c>
      <c r="AD111">
        <v>2.4500000000000002</v>
      </c>
      <c r="AE111">
        <v>2.8</v>
      </c>
      <c r="AF111">
        <v>3.4</v>
      </c>
      <c r="AG111">
        <v>2.5499999999999998</v>
      </c>
      <c r="AH111">
        <v>2.75</v>
      </c>
      <c r="AI111">
        <v>3.53</v>
      </c>
      <c r="AJ111">
        <v>2.59</v>
      </c>
      <c r="AK111">
        <v>2.75</v>
      </c>
      <c r="AL111">
        <v>3.5</v>
      </c>
      <c r="AM111">
        <v>2.5</v>
      </c>
      <c r="AN111">
        <v>2.75</v>
      </c>
      <c r="AO111">
        <v>3.72</v>
      </c>
      <c r="AP111">
        <v>2.54</v>
      </c>
      <c r="AQ111">
        <v>2.8</v>
      </c>
      <c r="AR111">
        <v>3.72</v>
      </c>
      <c r="AS111">
        <v>2.59</v>
      </c>
      <c r="AT111">
        <v>2.75</v>
      </c>
      <c r="AU111">
        <v>3.49</v>
      </c>
      <c r="AV111">
        <v>2.5299999999999998</v>
      </c>
      <c r="AW111">
        <v>2.94</v>
      </c>
      <c r="AX111">
        <v>3.5</v>
      </c>
      <c r="AY111">
        <v>2.64</v>
      </c>
      <c r="AZ111">
        <v>1.73</v>
      </c>
      <c r="BA111">
        <v>2.1</v>
      </c>
      <c r="BB111">
        <v>1.72</v>
      </c>
      <c r="BC111">
        <v>2.21</v>
      </c>
      <c r="BD111">
        <v>1.76</v>
      </c>
      <c r="BE111">
        <v>2.2599999999999998</v>
      </c>
      <c r="BF111">
        <v>1.71</v>
      </c>
      <c r="BG111">
        <v>2.17</v>
      </c>
      <c r="BH111">
        <v>1.78</v>
      </c>
      <c r="BI111">
        <v>2.2400000000000002</v>
      </c>
      <c r="BJ111">
        <v>0</v>
      </c>
      <c r="BK111">
        <v>2.02</v>
      </c>
      <c r="BL111">
        <v>1.88</v>
      </c>
      <c r="BM111">
        <v>2.0099999999999998</v>
      </c>
      <c r="BN111">
        <v>1.9</v>
      </c>
      <c r="BO111">
        <v>2.0499999999999998</v>
      </c>
      <c r="BP111">
        <v>1.9</v>
      </c>
      <c r="BQ111">
        <v>2.0099999999999998</v>
      </c>
      <c r="BR111">
        <v>1.86</v>
      </c>
      <c r="BS111">
        <v>2.1</v>
      </c>
      <c r="BT111">
        <v>1.9</v>
      </c>
      <c r="BU111">
        <v>2.8</v>
      </c>
      <c r="BV111">
        <v>3.4</v>
      </c>
      <c r="BW111">
        <v>2.5</v>
      </c>
      <c r="BX111">
        <v>3</v>
      </c>
      <c r="BY111">
        <v>3.3</v>
      </c>
      <c r="BZ111">
        <v>2.37</v>
      </c>
      <c r="CA111">
        <v>3</v>
      </c>
      <c r="CB111">
        <v>3.25</v>
      </c>
      <c r="CC111">
        <v>2.2999999999999998</v>
      </c>
      <c r="CD111">
        <v>3</v>
      </c>
      <c r="CE111">
        <v>3.35</v>
      </c>
      <c r="CF111">
        <v>2.52</v>
      </c>
      <c r="CG111">
        <v>2.8</v>
      </c>
      <c r="CH111">
        <v>3.5</v>
      </c>
      <c r="CI111">
        <v>2.5</v>
      </c>
      <c r="CJ111">
        <v>3.14</v>
      </c>
      <c r="CK111">
        <v>3.44</v>
      </c>
      <c r="CL111">
        <v>2.38</v>
      </c>
      <c r="CM111">
        <v>3.14</v>
      </c>
      <c r="CN111">
        <v>3.55</v>
      </c>
      <c r="CO111">
        <v>2.52</v>
      </c>
      <c r="CP111">
        <v>3.01</v>
      </c>
      <c r="CQ111">
        <v>3.41</v>
      </c>
      <c r="CR111">
        <v>2.41</v>
      </c>
      <c r="CS111">
        <v>3.1</v>
      </c>
      <c r="CT111">
        <v>3.45</v>
      </c>
      <c r="CU111">
        <v>2.54</v>
      </c>
      <c r="CV111">
        <v>1.8</v>
      </c>
      <c r="CW111">
        <v>2</v>
      </c>
      <c r="CX111">
        <v>1.83</v>
      </c>
      <c r="CY111">
        <v>2.0499999999999998</v>
      </c>
      <c r="CZ111">
        <v>1.84</v>
      </c>
      <c r="DA111">
        <v>2.12</v>
      </c>
      <c r="DB111">
        <v>1.81</v>
      </c>
      <c r="DC111">
        <v>2.0499999999999998</v>
      </c>
      <c r="DD111">
        <v>1.85</v>
      </c>
      <c r="DE111">
        <v>2.16</v>
      </c>
      <c r="DF111">
        <v>0.25</v>
      </c>
      <c r="DG111">
        <v>1.73</v>
      </c>
      <c r="DH111">
        <v>2.08</v>
      </c>
      <c r="DI111">
        <v>1.77</v>
      </c>
      <c r="DJ111">
        <v>2.15</v>
      </c>
      <c r="DK111">
        <v>1.85</v>
      </c>
      <c r="DL111">
        <v>2.16</v>
      </c>
      <c r="DM111">
        <v>1.81</v>
      </c>
      <c r="DN111">
        <v>2.0499999999999998</v>
      </c>
      <c r="DO111">
        <v>1.84</v>
      </c>
      <c r="DP111">
        <v>2.17</v>
      </c>
    </row>
    <row r="112" spans="1:120" x14ac:dyDescent="0.3">
      <c r="A112" t="s">
        <v>120</v>
      </c>
      <c r="B112" t="s">
        <v>186</v>
      </c>
      <c r="C112" s="1">
        <v>0.52083333333333337</v>
      </c>
      <c r="D112" t="s">
        <v>155</v>
      </c>
      <c r="E112" t="s">
        <v>151</v>
      </c>
      <c r="F112">
        <v>1</v>
      </c>
      <c r="G112">
        <v>2</v>
      </c>
      <c r="H112" t="s">
        <v>130</v>
      </c>
      <c r="I112">
        <v>0</v>
      </c>
      <c r="J112">
        <v>1</v>
      </c>
      <c r="K112" t="s">
        <v>130</v>
      </c>
      <c r="L112" t="s">
        <v>176</v>
      </c>
      <c r="M112">
        <v>4</v>
      </c>
      <c r="N112">
        <v>16</v>
      </c>
      <c r="O112">
        <v>1</v>
      </c>
      <c r="P112">
        <v>7</v>
      </c>
      <c r="Q112">
        <v>15</v>
      </c>
      <c r="R112">
        <v>12</v>
      </c>
      <c r="S112">
        <v>2</v>
      </c>
      <c r="T112">
        <v>9</v>
      </c>
      <c r="U112">
        <v>4</v>
      </c>
      <c r="V112">
        <v>3</v>
      </c>
      <c r="W112">
        <v>0</v>
      </c>
      <c r="X112">
        <v>0</v>
      </c>
      <c r="Y112">
        <v>6.5</v>
      </c>
      <c r="Z112">
        <v>4.75</v>
      </c>
      <c r="AA112">
        <v>1.44</v>
      </c>
      <c r="AB112">
        <v>6.5</v>
      </c>
      <c r="AC112">
        <v>4.8</v>
      </c>
      <c r="AD112">
        <v>1.46</v>
      </c>
      <c r="AE112">
        <v>7</v>
      </c>
      <c r="AF112">
        <v>4.75</v>
      </c>
      <c r="AG112">
        <v>1.44</v>
      </c>
      <c r="AH112">
        <v>7.05</v>
      </c>
      <c r="AI112">
        <v>4.78</v>
      </c>
      <c r="AJ112">
        <v>1.46</v>
      </c>
      <c r="AK112">
        <v>7</v>
      </c>
      <c r="AL112">
        <v>4.5999999999999996</v>
      </c>
      <c r="AM112">
        <v>1.44</v>
      </c>
      <c r="AN112">
        <v>6.42</v>
      </c>
      <c r="AO112">
        <v>4.9400000000000004</v>
      </c>
      <c r="AP112">
        <v>1.5</v>
      </c>
      <c r="AQ112">
        <v>7.44</v>
      </c>
      <c r="AR112">
        <v>5.03</v>
      </c>
      <c r="AS112">
        <v>1.5</v>
      </c>
      <c r="AT112">
        <v>6.75</v>
      </c>
      <c r="AU112">
        <v>4.8099999999999996</v>
      </c>
      <c r="AV112">
        <v>1.46</v>
      </c>
      <c r="AW112">
        <v>7.2</v>
      </c>
      <c r="AX112">
        <v>5</v>
      </c>
      <c r="AY112">
        <v>1.49</v>
      </c>
      <c r="AZ112">
        <v>1.5</v>
      </c>
      <c r="BA112">
        <v>2.63</v>
      </c>
      <c r="BB112">
        <v>1.51</v>
      </c>
      <c r="BC112">
        <v>2.65</v>
      </c>
      <c r="BD112">
        <v>1.52</v>
      </c>
      <c r="BE112">
        <v>2.75</v>
      </c>
      <c r="BF112">
        <v>1.48</v>
      </c>
      <c r="BG112">
        <v>2.64</v>
      </c>
      <c r="BH112">
        <v>1.53</v>
      </c>
      <c r="BI112">
        <v>2.8</v>
      </c>
      <c r="BJ112">
        <v>1.25</v>
      </c>
      <c r="BK112">
        <v>1.95</v>
      </c>
      <c r="BL112">
        <v>1.95</v>
      </c>
      <c r="BM112">
        <v>1.93</v>
      </c>
      <c r="BN112">
        <v>1.98</v>
      </c>
      <c r="BO112">
        <v>1.97</v>
      </c>
      <c r="BP112">
        <v>2</v>
      </c>
      <c r="BQ112">
        <v>1.89</v>
      </c>
      <c r="BR112">
        <v>1.94</v>
      </c>
      <c r="BS112">
        <v>1.95</v>
      </c>
      <c r="BT112">
        <v>2</v>
      </c>
      <c r="BU112">
        <v>7</v>
      </c>
      <c r="BV112">
        <v>4.75</v>
      </c>
      <c r="BW112">
        <v>1.44</v>
      </c>
      <c r="BX112">
        <v>6.5</v>
      </c>
      <c r="BY112">
        <v>4.75</v>
      </c>
      <c r="BZ112">
        <v>1.46</v>
      </c>
      <c r="CA112">
        <v>6.5</v>
      </c>
      <c r="CB112">
        <v>5</v>
      </c>
      <c r="CC112">
        <v>1.44</v>
      </c>
      <c r="CD112">
        <v>7</v>
      </c>
      <c r="CE112">
        <v>5.05</v>
      </c>
      <c r="CF112">
        <v>1.45</v>
      </c>
      <c r="CG112">
        <v>7</v>
      </c>
      <c r="CH112">
        <v>4.5999999999999996</v>
      </c>
      <c r="CI112">
        <v>1.44</v>
      </c>
      <c r="CJ112">
        <v>7.44</v>
      </c>
      <c r="CK112">
        <v>4.82</v>
      </c>
      <c r="CL112">
        <v>1.45</v>
      </c>
      <c r="CM112">
        <v>7.56</v>
      </c>
      <c r="CN112">
        <v>5.05</v>
      </c>
      <c r="CO112">
        <v>1.5</v>
      </c>
      <c r="CP112">
        <v>6.91</v>
      </c>
      <c r="CQ112">
        <v>4.84</v>
      </c>
      <c r="CR112">
        <v>1.45</v>
      </c>
      <c r="CS112">
        <v>7.2</v>
      </c>
      <c r="CT112">
        <v>5.0999999999999996</v>
      </c>
      <c r="CU112">
        <v>1.49</v>
      </c>
      <c r="CV112">
        <v>1.57</v>
      </c>
      <c r="CW112">
        <v>2.38</v>
      </c>
      <c r="CX112">
        <v>1.58</v>
      </c>
      <c r="CY112">
        <v>2.5</v>
      </c>
      <c r="CZ112">
        <v>1.61</v>
      </c>
      <c r="DA112">
        <v>2.6</v>
      </c>
      <c r="DB112">
        <v>1.56</v>
      </c>
      <c r="DC112">
        <v>2.48</v>
      </c>
      <c r="DD112">
        <v>1.6</v>
      </c>
      <c r="DE112">
        <v>2.64</v>
      </c>
      <c r="DF112">
        <v>1.25</v>
      </c>
      <c r="DG112">
        <v>1.93</v>
      </c>
      <c r="DH112">
        <v>2</v>
      </c>
      <c r="DI112">
        <v>1.94</v>
      </c>
      <c r="DJ112">
        <v>1.98</v>
      </c>
      <c r="DK112">
        <v>1.98</v>
      </c>
      <c r="DL112">
        <v>2.04</v>
      </c>
      <c r="DM112">
        <v>1.9</v>
      </c>
      <c r="DN112">
        <v>1.96</v>
      </c>
      <c r="DO112">
        <v>1.95</v>
      </c>
      <c r="DP112">
        <v>2.0299999999999998</v>
      </c>
    </row>
    <row r="113" spans="1:120" x14ac:dyDescent="0.3">
      <c r="A113" t="s">
        <v>120</v>
      </c>
      <c r="B113" t="s">
        <v>186</v>
      </c>
      <c r="C113" s="1">
        <v>0.625</v>
      </c>
      <c r="D113" t="s">
        <v>132</v>
      </c>
      <c r="E113" t="s">
        <v>141</v>
      </c>
      <c r="F113">
        <v>3</v>
      </c>
      <c r="G113">
        <v>0</v>
      </c>
      <c r="H113" t="s">
        <v>124</v>
      </c>
      <c r="I113">
        <v>1</v>
      </c>
      <c r="J113">
        <v>0</v>
      </c>
      <c r="K113" t="s">
        <v>124</v>
      </c>
      <c r="L113" t="s">
        <v>137</v>
      </c>
      <c r="M113">
        <v>19</v>
      </c>
      <c r="N113">
        <v>7</v>
      </c>
      <c r="O113">
        <v>7</v>
      </c>
      <c r="P113">
        <v>0</v>
      </c>
      <c r="Q113">
        <v>10</v>
      </c>
      <c r="R113">
        <v>1</v>
      </c>
      <c r="S113">
        <v>8</v>
      </c>
      <c r="T113">
        <v>1</v>
      </c>
      <c r="U113">
        <v>3</v>
      </c>
      <c r="V113">
        <v>2</v>
      </c>
      <c r="W113">
        <v>0</v>
      </c>
      <c r="X113">
        <v>0</v>
      </c>
      <c r="Y113">
        <v>1.38</v>
      </c>
      <c r="Z113">
        <v>4.75</v>
      </c>
      <c r="AA113">
        <v>9</v>
      </c>
      <c r="AB113">
        <v>1.37</v>
      </c>
      <c r="AC113">
        <v>5</v>
      </c>
      <c r="AD113">
        <v>8.75</v>
      </c>
      <c r="AE113">
        <v>1.33</v>
      </c>
      <c r="AF113">
        <v>5</v>
      </c>
      <c r="AG113">
        <v>9.5</v>
      </c>
      <c r="AH113">
        <v>1.38</v>
      </c>
      <c r="AI113">
        <v>5.03</v>
      </c>
      <c r="AJ113">
        <v>8.73</v>
      </c>
      <c r="AK113">
        <v>1.4</v>
      </c>
      <c r="AL113">
        <v>4.5999999999999996</v>
      </c>
      <c r="AM113">
        <v>9.5</v>
      </c>
      <c r="AN113">
        <v>1.43</v>
      </c>
      <c r="AO113">
        <v>4.8899999999999997</v>
      </c>
      <c r="AP113">
        <v>8.35</v>
      </c>
      <c r="AQ113">
        <v>1.43</v>
      </c>
      <c r="AR113">
        <v>5.2</v>
      </c>
      <c r="AS113">
        <v>9.69</v>
      </c>
      <c r="AT113">
        <v>1.37</v>
      </c>
      <c r="AU113">
        <v>4.97</v>
      </c>
      <c r="AV113">
        <v>8.9</v>
      </c>
      <c r="AW113">
        <v>1.38</v>
      </c>
      <c r="AX113">
        <v>5.3</v>
      </c>
      <c r="AY113">
        <v>10.5</v>
      </c>
      <c r="AZ113">
        <v>1.8</v>
      </c>
      <c r="BA113">
        <v>2</v>
      </c>
      <c r="BB113">
        <v>1.85</v>
      </c>
      <c r="BC113">
        <v>2.0499999999999998</v>
      </c>
      <c r="BD113">
        <v>1.87</v>
      </c>
      <c r="BE113">
        <v>2.09</v>
      </c>
      <c r="BF113">
        <v>1.81</v>
      </c>
      <c r="BG113">
        <v>2.0299999999999998</v>
      </c>
      <c r="BH113">
        <v>1.83</v>
      </c>
      <c r="BI113">
        <v>2.16</v>
      </c>
      <c r="BJ113">
        <v>-1.25</v>
      </c>
      <c r="BK113">
        <v>1.87</v>
      </c>
      <c r="BL113">
        <v>2.0299999999999998</v>
      </c>
      <c r="BM113">
        <v>1.9</v>
      </c>
      <c r="BN113">
        <v>2.0099999999999998</v>
      </c>
      <c r="BO113">
        <v>1.9</v>
      </c>
      <c r="BP113">
        <v>2.0699999999999998</v>
      </c>
      <c r="BQ113">
        <v>1.85</v>
      </c>
      <c r="BR113">
        <v>2</v>
      </c>
      <c r="BS113">
        <v>1.9</v>
      </c>
      <c r="BT113">
        <v>2.08</v>
      </c>
      <c r="BU113">
        <v>1.4</v>
      </c>
      <c r="BV113">
        <v>4.75</v>
      </c>
      <c r="BW113">
        <v>7.5</v>
      </c>
      <c r="BX113">
        <v>1.41</v>
      </c>
      <c r="BY113">
        <v>4.75</v>
      </c>
      <c r="BZ113">
        <v>8</v>
      </c>
      <c r="CA113">
        <v>1.36</v>
      </c>
      <c r="CB113">
        <v>4.75</v>
      </c>
      <c r="CC113">
        <v>9</v>
      </c>
      <c r="CD113">
        <v>1.41</v>
      </c>
      <c r="CE113">
        <v>4.8</v>
      </c>
      <c r="CF113">
        <v>8.86</v>
      </c>
      <c r="CG113">
        <v>1.4</v>
      </c>
      <c r="CH113">
        <v>4.5</v>
      </c>
      <c r="CI113">
        <v>8.5</v>
      </c>
      <c r="CJ113">
        <v>1.43</v>
      </c>
      <c r="CK113">
        <v>4.87</v>
      </c>
      <c r="CL113">
        <v>8.02</v>
      </c>
      <c r="CM113">
        <v>1.43</v>
      </c>
      <c r="CN113">
        <v>4.9000000000000004</v>
      </c>
      <c r="CO113">
        <v>9.0500000000000007</v>
      </c>
      <c r="CP113">
        <v>1.41</v>
      </c>
      <c r="CQ113">
        <v>4.75</v>
      </c>
      <c r="CR113">
        <v>8.43</v>
      </c>
      <c r="CS113">
        <v>1.42</v>
      </c>
      <c r="CT113">
        <v>5</v>
      </c>
      <c r="CU113">
        <v>9.8000000000000007</v>
      </c>
      <c r="CV113">
        <v>1.87</v>
      </c>
      <c r="CW113">
        <v>2.0299999999999998</v>
      </c>
      <c r="CX113">
        <v>1.88</v>
      </c>
      <c r="CY113">
        <v>2.02</v>
      </c>
      <c r="CZ113">
        <v>1.9</v>
      </c>
      <c r="DA113">
        <v>2.1</v>
      </c>
      <c r="DB113">
        <v>1.83</v>
      </c>
      <c r="DC113">
        <v>2</v>
      </c>
      <c r="DD113">
        <v>1.92</v>
      </c>
      <c r="DE113">
        <v>2.08</v>
      </c>
      <c r="DF113">
        <v>-1.25</v>
      </c>
      <c r="DG113">
        <v>1.98</v>
      </c>
      <c r="DH113">
        <v>1.95</v>
      </c>
      <c r="DI113">
        <v>1.96</v>
      </c>
      <c r="DJ113">
        <v>1.96</v>
      </c>
      <c r="DK113">
        <v>2</v>
      </c>
      <c r="DL113">
        <v>1.99</v>
      </c>
      <c r="DM113">
        <v>1.93</v>
      </c>
      <c r="DN113">
        <v>1.93</v>
      </c>
      <c r="DO113">
        <v>2.02</v>
      </c>
      <c r="DP113">
        <v>1.97</v>
      </c>
    </row>
    <row r="114" spans="1:120" x14ac:dyDescent="0.3">
      <c r="A114" t="s">
        <v>120</v>
      </c>
      <c r="B114" t="s">
        <v>186</v>
      </c>
      <c r="C114" s="1">
        <v>0.625</v>
      </c>
      <c r="D114" t="s">
        <v>145</v>
      </c>
      <c r="E114" t="s">
        <v>149</v>
      </c>
      <c r="F114">
        <v>2</v>
      </c>
      <c r="G114">
        <v>2</v>
      </c>
      <c r="H114" t="s">
        <v>125</v>
      </c>
      <c r="I114">
        <v>1</v>
      </c>
      <c r="J114">
        <v>2</v>
      </c>
      <c r="K114" t="s">
        <v>130</v>
      </c>
      <c r="L114" t="s">
        <v>131</v>
      </c>
      <c r="M114">
        <v>17</v>
      </c>
      <c r="N114">
        <v>13</v>
      </c>
      <c r="O114">
        <v>5</v>
      </c>
      <c r="P114">
        <v>6</v>
      </c>
      <c r="Q114">
        <v>10</v>
      </c>
      <c r="R114">
        <v>11</v>
      </c>
      <c r="S114">
        <v>10</v>
      </c>
      <c r="T114">
        <v>1</v>
      </c>
      <c r="U114">
        <v>3</v>
      </c>
      <c r="V114">
        <v>2</v>
      </c>
      <c r="W114">
        <v>0</v>
      </c>
      <c r="X114">
        <v>0</v>
      </c>
      <c r="Y114">
        <v>1.62</v>
      </c>
      <c r="Z114">
        <v>4</v>
      </c>
      <c r="AA114">
        <v>5.5</v>
      </c>
      <c r="AB114">
        <v>1.62</v>
      </c>
      <c r="AC114">
        <v>4.2</v>
      </c>
      <c r="AD114">
        <v>5.25</v>
      </c>
      <c r="AE114">
        <v>1.62</v>
      </c>
      <c r="AF114">
        <v>4.0999999999999996</v>
      </c>
      <c r="AG114">
        <v>5.5</v>
      </c>
      <c r="AH114">
        <v>1.63</v>
      </c>
      <c r="AI114">
        <v>4.0599999999999996</v>
      </c>
      <c r="AJ114">
        <v>5.59</v>
      </c>
      <c r="AK114">
        <v>1.62</v>
      </c>
      <c r="AL114">
        <v>4.2</v>
      </c>
      <c r="AM114">
        <v>5.5</v>
      </c>
      <c r="AN114">
        <v>1.65</v>
      </c>
      <c r="AO114">
        <v>4.28</v>
      </c>
      <c r="AP114">
        <v>5.35</v>
      </c>
      <c r="AQ114">
        <v>1.68</v>
      </c>
      <c r="AR114">
        <v>4.28</v>
      </c>
      <c r="AS114">
        <v>5.7</v>
      </c>
      <c r="AT114">
        <v>1.63</v>
      </c>
      <c r="AU114">
        <v>4.1100000000000003</v>
      </c>
      <c r="AV114">
        <v>5.45</v>
      </c>
      <c r="AW114">
        <v>1.68</v>
      </c>
      <c r="AX114">
        <v>4.3</v>
      </c>
      <c r="AY114">
        <v>5.8</v>
      </c>
      <c r="AZ114">
        <v>1.73</v>
      </c>
      <c r="BA114">
        <v>2.1</v>
      </c>
      <c r="BB114">
        <v>1.78</v>
      </c>
      <c r="BC114">
        <v>2.12</v>
      </c>
      <c r="BD114">
        <v>1.79</v>
      </c>
      <c r="BE114">
        <v>2.17</v>
      </c>
      <c r="BF114">
        <v>1.75</v>
      </c>
      <c r="BG114">
        <v>2.11</v>
      </c>
      <c r="BH114">
        <v>1.8</v>
      </c>
      <c r="BI114">
        <v>2.1800000000000002</v>
      </c>
      <c r="BJ114">
        <v>-1</v>
      </c>
      <c r="BK114">
        <v>2.0699999999999998</v>
      </c>
      <c r="BL114">
        <v>1.83</v>
      </c>
      <c r="BM114">
        <v>2.11</v>
      </c>
      <c r="BN114">
        <v>1.82</v>
      </c>
      <c r="BO114">
        <v>2.11</v>
      </c>
      <c r="BP114">
        <v>1.85</v>
      </c>
      <c r="BQ114">
        <v>2.06</v>
      </c>
      <c r="BR114">
        <v>1.81</v>
      </c>
      <c r="BS114">
        <v>2.11</v>
      </c>
      <c r="BT114">
        <v>1.85</v>
      </c>
      <c r="BU114">
        <v>1.73</v>
      </c>
      <c r="BV114">
        <v>3.7</v>
      </c>
      <c r="BW114">
        <v>5</v>
      </c>
      <c r="BX114">
        <v>1.73</v>
      </c>
      <c r="BY114">
        <v>3.8</v>
      </c>
      <c r="BZ114">
        <v>4.8</v>
      </c>
      <c r="CA114">
        <v>1.73</v>
      </c>
      <c r="CB114">
        <v>3.8</v>
      </c>
      <c r="CC114">
        <v>5</v>
      </c>
      <c r="CD114">
        <v>1.75</v>
      </c>
      <c r="CE114">
        <v>3.84</v>
      </c>
      <c r="CF114">
        <v>5.01</v>
      </c>
      <c r="CG114">
        <v>1.65</v>
      </c>
      <c r="CH114">
        <v>3.8</v>
      </c>
      <c r="CI114">
        <v>5.5</v>
      </c>
      <c r="CJ114">
        <v>1.74</v>
      </c>
      <c r="CK114">
        <v>3.8</v>
      </c>
      <c r="CL114">
        <v>5.1100000000000003</v>
      </c>
      <c r="CM114">
        <v>1.78</v>
      </c>
      <c r="CN114">
        <v>3.95</v>
      </c>
      <c r="CO114">
        <v>5.5</v>
      </c>
      <c r="CP114">
        <v>1.73</v>
      </c>
      <c r="CQ114">
        <v>3.83</v>
      </c>
      <c r="CR114">
        <v>4.95</v>
      </c>
      <c r="CS114">
        <v>1.76</v>
      </c>
      <c r="CT114">
        <v>3.95</v>
      </c>
      <c r="CU114">
        <v>5.4</v>
      </c>
      <c r="CV114">
        <v>1.88</v>
      </c>
      <c r="CW114">
        <v>2.02</v>
      </c>
      <c r="CX114">
        <v>1.89</v>
      </c>
      <c r="CY114">
        <v>2.0099999999999998</v>
      </c>
      <c r="CZ114">
        <v>1.9</v>
      </c>
      <c r="DA114">
        <v>2.1</v>
      </c>
      <c r="DB114">
        <v>1.84</v>
      </c>
      <c r="DC114">
        <v>2.0099999999999998</v>
      </c>
      <c r="DD114">
        <v>1.92</v>
      </c>
      <c r="DE114">
        <v>2.06</v>
      </c>
      <c r="DF114">
        <v>-0.75</v>
      </c>
      <c r="DG114">
        <v>1.99</v>
      </c>
      <c r="DH114">
        <v>1.94</v>
      </c>
      <c r="DI114">
        <v>1.99</v>
      </c>
      <c r="DJ114">
        <v>1.93</v>
      </c>
      <c r="DK114">
        <v>2</v>
      </c>
      <c r="DL114">
        <v>2</v>
      </c>
      <c r="DM114">
        <v>1.92</v>
      </c>
      <c r="DN114">
        <v>1.94</v>
      </c>
      <c r="DO114">
        <v>1.98</v>
      </c>
      <c r="DP114">
        <v>2</v>
      </c>
    </row>
    <row r="115" spans="1:120" x14ac:dyDescent="0.3">
      <c r="A115" t="s">
        <v>120</v>
      </c>
      <c r="B115" t="s">
        <v>186</v>
      </c>
      <c r="C115" s="1">
        <v>0.625</v>
      </c>
      <c r="D115" t="s">
        <v>142</v>
      </c>
      <c r="E115" t="s">
        <v>136</v>
      </c>
      <c r="F115">
        <v>1</v>
      </c>
      <c r="G115">
        <v>2</v>
      </c>
      <c r="H115" t="s">
        <v>130</v>
      </c>
      <c r="I115">
        <v>0</v>
      </c>
      <c r="J115">
        <v>1</v>
      </c>
      <c r="K115" t="s">
        <v>130</v>
      </c>
      <c r="L115" t="s">
        <v>164</v>
      </c>
      <c r="M115">
        <v>19</v>
      </c>
      <c r="N115">
        <v>6</v>
      </c>
      <c r="O115">
        <v>5</v>
      </c>
      <c r="P115">
        <v>4</v>
      </c>
      <c r="Q115">
        <v>13</v>
      </c>
      <c r="R115">
        <v>10</v>
      </c>
      <c r="S115">
        <v>7</v>
      </c>
      <c r="T115">
        <v>0</v>
      </c>
      <c r="U115">
        <v>2</v>
      </c>
      <c r="V115">
        <v>2</v>
      </c>
      <c r="W115">
        <v>0</v>
      </c>
      <c r="X115">
        <v>1</v>
      </c>
      <c r="Y115">
        <v>2.4</v>
      </c>
      <c r="Z115">
        <v>3.6</v>
      </c>
      <c r="AA115">
        <v>2.8</v>
      </c>
      <c r="AB115">
        <v>2.35</v>
      </c>
      <c r="AC115">
        <v>3.6</v>
      </c>
      <c r="AD115">
        <v>2.87</v>
      </c>
      <c r="AE115">
        <v>2.4500000000000002</v>
      </c>
      <c r="AF115">
        <v>3.6</v>
      </c>
      <c r="AG115">
        <v>2.8</v>
      </c>
      <c r="AH115">
        <v>2.42</v>
      </c>
      <c r="AI115">
        <v>3.62</v>
      </c>
      <c r="AJ115">
        <v>2.91</v>
      </c>
      <c r="AK115">
        <v>2.4500000000000002</v>
      </c>
      <c r="AL115">
        <v>3.6</v>
      </c>
      <c r="AM115">
        <v>2.8</v>
      </c>
      <c r="AN115">
        <v>2.42</v>
      </c>
      <c r="AO115">
        <v>3.69</v>
      </c>
      <c r="AP115">
        <v>2.93</v>
      </c>
      <c r="AQ115">
        <v>2.4500000000000002</v>
      </c>
      <c r="AR115">
        <v>3.75</v>
      </c>
      <c r="AS115">
        <v>2.99</v>
      </c>
      <c r="AT115">
        <v>2.41</v>
      </c>
      <c r="AU115">
        <v>3.62</v>
      </c>
      <c r="AV115">
        <v>2.86</v>
      </c>
      <c r="AW115">
        <v>2.46</v>
      </c>
      <c r="AX115">
        <v>3.7</v>
      </c>
      <c r="AY115">
        <v>3.05</v>
      </c>
      <c r="AZ115">
        <v>1.57</v>
      </c>
      <c r="BA115">
        <v>2.38</v>
      </c>
      <c r="BB115">
        <v>1.6</v>
      </c>
      <c r="BC115">
        <v>2.46</v>
      </c>
      <c r="BD115">
        <v>1.6</v>
      </c>
      <c r="BE115">
        <v>2.5099999999999998</v>
      </c>
      <c r="BF115">
        <v>1.57</v>
      </c>
      <c r="BG115">
        <v>2.41</v>
      </c>
      <c r="BH115">
        <v>1.61</v>
      </c>
      <c r="BI115">
        <v>2.56</v>
      </c>
      <c r="BJ115">
        <v>-0.25</v>
      </c>
      <c r="BK115">
        <v>2.08</v>
      </c>
      <c r="BL115">
        <v>1.73</v>
      </c>
      <c r="BM115">
        <v>2.11</v>
      </c>
      <c r="BN115">
        <v>1.81</v>
      </c>
      <c r="BO115">
        <v>2.13</v>
      </c>
      <c r="BP115">
        <v>1.83</v>
      </c>
      <c r="BQ115">
        <v>2.06</v>
      </c>
      <c r="BR115">
        <v>1.79</v>
      </c>
      <c r="BS115">
        <v>2.12</v>
      </c>
      <c r="BT115">
        <v>1.87</v>
      </c>
      <c r="BU115">
        <v>2.35</v>
      </c>
      <c r="BV115">
        <v>3.6</v>
      </c>
      <c r="BW115">
        <v>2.88</v>
      </c>
      <c r="BX115">
        <v>2.4</v>
      </c>
      <c r="BY115">
        <v>3.5</v>
      </c>
      <c r="BZ115">
        <v>2.85</v>
      </c>
      <c r="CA115">
        <v>2.4500000000000002</v>
      </c>
      <c r="CB115">
        <v>3.5</v>
      </c>
      <c r="CC115">
        <v>2.8</v>
      </c>
      <c r="CD115">
        <v>2.4900000000000002</v>
      </c>
      <c r="CE115">
        <v>3.6</v>
      </c>
      <c r="CF115">
        <v>2.88</v>
      </c>
      <c r="CG115">
        <v>2.4500000000000002</v>
      </c>
      <c r="CH115">
        <v>3.5</v>
      </c>
      <c r="CI115">
        <v>2.8</v>
      </c>
      <c r="CJ115">
        <v>2.4700000000000002</v>
      </c>
      <c r="CK115">
        <v>3.67</v>
      </c>
      <c r="CL115">
        <v>2.83</v>
      </c>
      <c r="CM115">
        <v>2.56</v>
      </c>
      <c r="CN115">
        <v>3.67</v>
      </c>
      <c r="CO115">
        <v>2.9</v>
      </c>
      <c r="CP115">
        <v>2.46</v>
      </c>
      <c r="CQ115">
        <v>3.56</v>
      </c>
      <c r="CR115">
        <v>2.84</v>
      </c>
      <c r="CS115">
        <v>2.56</v>
      </c>
      <c r="CT115">
        <v>3.7</v>
      </c>
      <c r="CU115">
        <v>2.94</v>
      </c>
      <c r="CV115">
        <v>1.57</v>
      </c>
      <c r="CW115">
        <v>2.38</v>
      </c>
      <c r="CX115">
        <v>1.59</v>
      </c>
      <c r="CY115">
        <v>2.4900000000000002</v>
      </c>
      <c r="CZ115">
        <v>1.61</v>
      </c>
      <c r="DA115">
        <v>2.52</v>
      </c>
      <c r="DB115">
        <v>1.57</v>
      </c>
      <c r="DC115">
        <v>2.4500000000000002</v>
      </c>
      <c r="DD115">
        <v>1.63</v>
      </c>
      <c r="DE115">
        <v>2.56</v>
      </c>
      <c r="DF115">
        <v>0</v>
      </c>
      <c r="DG115">
        <v>1.73</v>
      </c>
      <c r="DH115">
        <v>2.08</v>
      </c>
      <c r="DI115">
        <v>1.83</v>
      </c>
      <c r="DJ115">
        <v>2.12</v>
      </c>
      <c r="DK115">
        <v>1.83</v>
      </c>
      <c r="DL115">
        <v>2.14</v>
      </c>
      <c r="DM115">
        <v>1.79</v>
      </c>
      <c r="DN115">
        <v>2.09</v>
      </c>
      <c r="DO115">
        <v>1.86</v>
      </c>
      <c r="DP115">
        <v>2.14</v>
      </c>
    </row>
    <row r="116" spans="1:120" x14ac:dyDescent="0.3">
      <c r="A116" t="s">
        <v>120</v>
      </c>
      <c r="B116" t="s">
        <v>186</v>
      </c>
      <c r="C116" s="1">
        <v>0.625</v>
      </c>
      <c r="D116" t="s">
        <v>135</v>
      </c>
      <c r="E116" t="s">
        <v>148</v>
      </c>
      <c r="F116">
        <v>0</v>
      </c>
      <c r="G116">
        <v>0</v>
      </c>
      <c r="H116" t="s">
        <v>125</v>
      </c>
      <c r="I116">
        <v>0</v>
      </c>
      <c r="J116">
        <v>0</v>
      </c>
      <c r="K116" t="s">
        <v>125</v>
      </c>
      <c r="L116" t="s">
        <v>157</v>
      </c>
      <c r="M116">
        <v>27</v>
      </c>
      <c r="N116">
        <v>9</v>
      </c>
      <c r="O116">
        <v>5</v>
      </c>
      <c r="P116">
        <v>2</v>
      </c>
      <c r="Q116">
        <v>8</v>
      </c>
      <c r="R116">
        <v>10</v>
      </c>
      <c r="S116">
        <v>10</v>
      </c>
      <c r="T116">
        <v>4</v>
      </c>
      <c r="U116">
        <v>0</v>
      </c>
      <c r="V116">
        <v>0</v>
      </c>
      <c r="W116">
        <v>0</v>
      </c>
      <c r="X116">
        <v>1</v>
      </c>
      <c r="Y116">
        <v>2.4500000000000002</v>
      </c>
      <c r="Z116">
        <v>3.4</v>
      </c>
      <c r="AA116">
        <v>2.88</v>
      </c>
      <c r="AB116">
        <v>2.4</v>
      </c>
      <c r="AC116">
        <v>3.4</v>
      </c>
      <c r="AD116">
        <v>2.95</v>
      </c>
      <c r="AE116">
        <v>2.4500000000000002</v>
      </c>
      <c r="AF116">
        <v>3.4</v>
      </c>
      <c r="AG116">
        <v>3</v>
      </c>
      <c r="AH116">
        <v>2.5</v>
      </c>
      <c r="AI116">
        <v>3.38</v>
      </c>
      <c r="AJ116">
        <v>2.97</v>
      </c>
      <c r="AK116">
        <v>2.4</v>
      </c>
      <c r="AL116">
        <v>3.4</v>
      </c>
      <c r="AM116">
        <v>3</v>
      </c>
      <c r="AN116">
        <v>2.4500000000000002</v>
      </c>
      <c r="AO116">
        <v>3.62</v>
      </c>
      <c r="AP116">
        <v>2.94</v>
      </c>
      <c r="AQ116">
        <v>2.52</v>
      </c>
      <c r="AR116">
        <v>3.62</v>
      </c>
      <c r="AS116">
        <v>3.11</v>
      </c>
      <c r="AT116">
        <v>2.46</v>
      </c>
      <c r="AU116">
        <v>3.41</v>
      </c>
      <c r="AV116">
        <v>2.94</v>
      </c>
      <c r="AW116">
        <v>2.5</v>
      </c>
      <c r="AX116">
        <v>3.5</v>
      </c>
      <c r="AY116">
        <v>3.1</v>
      </c>
      <c r="AZ116">
        <v>1.86</v>
      </c>
      <c r="BA116">
        <v>2.04</v>
      </c>
      <c r="BB116">
        <v>1.83</v>
      </c>
      <c r="BC116">
        <v>2.0499999999999998</v>
      </c>
      <c r="BD116">
        <v>1.9</v>
      </c>
      <c r="BE116">
        <v>2.0699999999999998</v>
      </c>
      <c r="BF116">
        <v>1.84</v>
      </c>
      <c r="BG116">
        <v>2.0099999999999998</v>
      </c>
      <c r="BH116">
        <v>1.9</v>
      </c>
      <c r="BI116">
        <v>2.08</v>
      </c>
      <c r="BJ116">
        <v>-0.25</v>
      </c>
      <c r="BK116">
        <v>2.08</v>
      </c>
      <c r="BL116">
        <v>1.73</v>
      </c>
      <c r="BM116">
        <v>2.14</v>
      </c>
      <c r="BN116">
        <v>1.78</v>
      </c>
      <c r="BO116">
        <v>2.14</v>
      </c>
      <c r="BP116">
        <v>1.82</v>
      </c>
      <c r="BQ116">
        <v>2.08</v>
      </c>
      <c r="BR116">
        <v>1.77</v>
      </c>
      <c r="BS116">
        <v>2.15</v>
      </c>
      <c r="BT116">
        <v>1.85</v>
      </c>
      <c r="BU116">
        <v>2.2999999999999998</v>
      </c>
      <c r="BV116">
        <v>3.4</v>
      </c>
      <c r="BW116">
        <v>3.1</v>
      </c>
      <c r="BX116">
        <v>2.35</v>
      </c>
      <c r="BY116">
        <v>3.3</v>
      </c>
      <c r="BZ116">
        <v>3.1</v>
      </c>
      <c r="CA116">
        <v>2.38</v>
      </c>
      <c r="CB116">
        <v>3.3</v>
      </c>
      <c r="CC116">
        <v>3.1</v>
      </c>
      <c r="CD116">
        <v>2.38</v>
      </c>
      <c r="CE116">
        <v>3.42</v>
      </c>
      <c r="CF116">
        <v>3.18</v>
      </c>
      <c r="CG116">
        <v>2.38</v>
      </c>
      <c r="CH116">
        <v>3.3</v>
      </c>
      <c r="CI116">
        <v>3.1</v>
      </c>
      <c r="CJ116">
        <v>2.29</v>
      </c>
      <c r="CK116">
        <v>3.47</v>
      </c>
      <c r="CL116">
        <v>3.28</v>
      </c>
      <c r="CM116">
        <v>2.42</v>
      </c>
      <c r="CN116">
        <v>3.47</v>
      </c>
      <c r="CO116">
        <v>3.28</v>
      </c>
      <c r="CP116">
        <v>2.36</v>
      </c>
      <c r="CQ116">
        <v>3.38</v>
      </c>
      <c r="CR116">
        <v>3.13</v>
      </c>
      <c r="CS116">
        <v>2.46</v>
      </c>
      <c r="CT116">
        <v>3.5</v>
      </c>
      <c r="CU116">
        <v>3.2</v>
      </c>
      <c r="CV116">
        <v>1.88</v>
      </c>
      <c r="CW116">
        <v>2.02</v>
      </c>
      <c r="CX116">
        <v>1.88</v>
      </c>
      <c r="CY116">
        <v>2.0299999999999998</v>
      </c>
      <c r="CZ116">
        <v>1.91</v>
      </c>
      <c r="DA116">
        <v>2.04</v>
      </c>
      <c r="DB116">
        <v>1.86</v>
      </c>
      <c r="DC116">
        <v>1.99</v>
      </c>
      <c r="DD116">
        <v>1.92</v>
      </c>
      <c r="DE116">
        <v>2.06</v>
      </c>
      <c r="DF116">
        <v>-0.25</v>
      </c>
      <c r="DG116">
        <v>2.06</v>
      </c>
      <c r="DH116">
        <v>1.87</v>
      </c>
      <c r="DI116">
        <v>2.0499999999999998</v>
      </c>
      <c r="DJ116">
        <v>1.88</v>
      </c>
      <c r="DK116">
        <v>2.0699999999999998</v>
      </c>
      <c r="DL116">
        <v>1.91</v>
      </c>
      <c r="DM116">
        <v>2.0099999999999998</v>
      </c>
      <c r="DN116">
        <v>1.85</v>
      </c>
      <c r="DO116">
        <v>2.1</v>
      </c>
      <c r="DP116">
        <v>1.89</v>
      </c>
    </row>
    <row r="117" spans="1:120" x14ac:dyDescent="0.3">
      <c r="A117" t="s">
        <v>120</v>
      </c>
      <c r="B117" t="s">
        <v>186</v>
      </c>
      <c r="C117" s="1">
        <v>0.625</v>
      </c>
      <c r="D117" t="s">
        <v>123</v>
      </c>
      <c r="E117" t="s">
        <v>133</v>
      </c>
      <c r="F117">
        <v>1</v>
      </c>
      <c r="G117">
        <v>4</v>
      </c>
      <c r="H117" t="s">
        <v>130</v>
      </c>
      <c r="I117">
        <v>1</v>
      </c>
      <c r="J117">
        <v>1</v>
      </c>
      <c r="K117" t="s">
        <v>125</v>
      </c>
      <c r="L117" t="s">
        <v>126</v>
      </c>
      <c r="M117">
        <v>10</v>
      </c>
      <c r="N117">
        <v>10</v>
      </c>
      <c r="O117">
        <v>3</v>
      </c>
      <c r="P117">
        <v>5</v>
      </c>
      <c r="Q117">
        <v>14</v>
      </c>
      <c r="R117">
        <v>14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0</v>
      </c>
      <c r="Y117">
        <v>1.62</v>
      </c>
      <c r="Z117">
        <v>4</v>
      </c>
      <c r="AA117">
        <v>5.25</v>
      </c>
      <c r="AB117">
        <v>1.66</v>
      </c>
      <c r="AC117">
        <v>4</v>
      </c>
      <c r="AD117">
        <v>5</v>
      </c>
      <c r="AE117">
        <v>1.65</v>
      </c>
      <c r="AF117">
        <v>4</v>
      </c>
      <c r="AG117">
        <v>5</v>
      </c>
      <c r="AH117">
        <v>1.64</v>
      </c>
      <c r="AI117">
        <v>4.1100000000000003</v>
      </c>
      <c r="AJ117">
        <v>5.43</v>
      </c>
      <c r="AK117">
        <v>1.67</v>
      </c>
      <c r="AL117">
        <v>4</v>
      </c>
      <c r="AM117">
        <v>5</v>
      </c>
      <c r="AN117">
        <v>1.68</v>
      </c>
      <c r="AO117">
        <v>4.28</v>
      </c>
      <c r="AP117">
        <v>5.09</v>
      </c>
      <c r="AQ117">
        <v>1.71</v>
      </c>
      <c r="AR117">
        <v>4.28</v>
      </c>
      <c r="AS117">
        <v>6.14</v>
      </c>
      <c r="AT117">
        <v>1.65</v>
      </c>
      <c r="AU117">
        <v>4.09</v>
      </c>
      <c r="AV117">
        <v>5.23</v>
      </c>
      <c r="AW117">
        <v>1.69</v>
      </c>
      <c r="AX117">
        <v>4.3</v>
      </c>
      <c r="AY117">
        <v>5.5</v>
      </c>
      <c r="AZ117">
        <v>1.67</v>
      </c>
      <c r="BA117">
        <v>2.2000000000000002</v>
      </c>
      <c r="BB117">
        <v>1.7</v>
      </c>
      <c r="BC117">
        <v>2.2400000000000002</v>
      </c>
      <c r="BD117">
        <v>1.72</v>
      </c>
      <c r="BE117">
        <v>2.2799999999999998</v>
      </c>
      <c r="BF117">
        <v>1.68</v>
      </c>
      <c r="BG117">
        <v>2.21</v>
      </c>
      <c r="BH117">
        <v>1.74</v>
      </c>
      <c r="BI117">
        <v>2.2999999999999998</v>
      </c>
      <c r="BJ117">
        <v>-0.75</v>
      </c>
      <c r="BK117">
        <v>1.78</v>
      </c>
      <c r="BL117">
        <v>2.0299999999999998</v>
      </c>
      <c r="BM117">
        <v>1.81</v>
      </c>
      <c r="BN117">
        <v>2.09</v>
      </c>
      <c r="BO117">
        <v>1.83</v>
      </c>
      <c r="BP117">
        <v>2.12</v>
      </c>
      <c r="BQ117">
        <v>1.81</v>
      </c>
      <c r="BR117">
        <v>2.0299999999999998</v>
      </c>
      <c r="BS117">
        <v>1.86</v>
      </c>
      <c r="BT117">
        <v>2.13</v>
      </c>
      <c r="BU117">
        <v>1.53</v>
      </c>
      <c r="BV117">
        <v>4.33</v>
      </c>
      <c r="BW117">
        <v>5.75</v>
      </c>
      <c r="BX117">
        <v>1.55</v>
      </c>
      <c r="BY117">
        <v>4.4000000000000004</v>
      </c>
      <c r="BZ117">
        <v>5.75</v>
      </c>
      <c r="CA117">
        <v>1.55</v>
      </c>
      <c r="CB117">
        <v>4.4000000000000004</v>
      </c>
      <c r="CC117">
        <v>5.5</v>
      </c>
      <c r="CD117">
        <v>1.57</v>
      </c>
      <c r="CE117">
        <v>4.43</v>
      </c>
      <c r="CF117">
        <v>5.91</v>
      </c>
      <c r="CG117">
        <v>1.55</v>
      </c>
      <c r="CH117">
        <v>4.33</v>
      </c>
      <c r="CI117">
        <v>5.8</v>
      </c>
      <c r="CJ117">
        <v>1.57</v>
      </c>
      <c r="CK117">
        <v>4.4400000000000004</v>
      </c>
      <c r="CL117">
        <v>5.9</v>
      </c>
      <c r="CM117">
        <v>1.58</v>
      </c>
      <c r="CN117">
        <v>4.5999999999999996</v>
      </c>
      <c r="CO117">
        <v>6.12</v>
      </c>
      <c r="CP117">
        <v>1.55</v>
      </c>
      <c r="CQ117">
        <v>4.4400000000000004</v>
      </c>
      <c r="CR117">
        <v>5.85</v>
      </c>
      <c r="CS117">
        <v>1.58</v>
      </c>
      <c r="CT117">
        <v>4.5999999999999996</v>
      </c>
      <c r="CU117">
        <v>6.2</v>
      </c>
      <c r="CV117">
        <v>1.57</v>
      </c>
      <c r="CW117">
        <v>2.38</v>
      </c>
      <c r="CX117">
        <v>1.63</v>
      </c>
      <c r="CY117">
        <v>2.38</v>
      </c>
      <c r="CZ117">
        <v>1.65</v>
      </c>
      <c r="DA117">
        <v>2.4900000000000002</v>
      </c>
      <c r="DB117">
        <v>1.61</v>
      </c>
      <c r="DC117">
        <v>2.37</v>
      </c>
      <c r="DD117">
        <v>1.66</v>
      </c>
      <c r="DE117">
        <v>2.48</v>
      </c>
      <c r="DF117">
        <v>-1</v>
      </c>
      <c r="DG117">
        <v>1.94</v>
      </c>
      <c r="DH117">
        <v>1.99</v>
      </c>
      <c r="DI117">
        <v>1.94</v>
      </c>
      <c r="DJ117">
        <v>1.98</v>
      </c>
      <c r="DK117">
        <v>1.95</v>
      </c>
      <c r="DL117">
        <v>2.0099999999999998</v>
      </c>
      <c r="DM117">
        <v>1.9</v>
      </c>
      <c r="DN117">
        <v>1.97</v>
      </c>
      <c r="DO117">
        <v>1.97</v>
      </c>
      <c r="DP117">
        <v>2.02</v>
      </c>
    </row>
    <row r="118" spans="1:120" x14ac:dyDescent="0.3">
      <c r="A118" t="s">
        <v>120</v>
      </c>
      <c r="B118" t="s">
        <v>186</v>
      </c>
      <c r="C118" s="1">
        <v>0.72916666666666663</v>
      </c>
      <c r="D118" t="s">
        <v>152</v>
      </c>
      <c r="E118" t="s">
        <v>156</v>
      </c>
      <c r="F118">
        <v>0</v>
      </c>
      <c r="G118">
        <v>4</v>
      </c>
      <c r="H118" t="s">
        <v>130</v>
      </c>
      <c r="I118">
        <v>0</v>
      </c>
      <c r="J118">
        <v>2</v>
      </c>
      <c r="K118" t="s">
        <v>130</v>
      </c>
      <c r="L118" t="s">
        <v>173</v>
      </c>
      <c r="M118">
        <v>23</v>
      </c>
      <c r="N118">
        <v>9</v>
      </c>
      <c r="O118">
        <v>5</v>
      </c>
      <c r="P118">
        <v>7</v>
      </c>
      <c r="Q118">
        <v>19</v>
      </c>
      <c r="R118">
        <v>9</v>
      </c>
      <c r="S118">
        <v>9</v>
      </c>
      <c r="T118">
        <v>3</v>
      </c>
      <c r="U118">
        <v>4</v>
      </c>
      <c r="V118">
        <v>2</v>
      </c>
      <c r="W118">
        <v>0</v>
      </c>
      <c r="X118">
        <v>0</v>
      </c>
      <c r="Y118">
        <v>1.48</v>
      </c>
      <c r="Z118">
        <v>4.75</v>
      </c>
      <c r="AA118">
        <v>6</v>
      </c>
      <c r="AB118">
        <v>1.51</v>
      </c>
      <c r="AC118">
        <v>4.8</v>
      </c>
      <c r="AD118">
        <v>5.5</v>
      </c>
      <c r="AE118">
        <v>1.47</v>
      </c>
      <c r="AF118">
        <v>5</v>
      </c>
      <c r="AG118">
        <v>6</v>
      </c>
      <c r="AH118">
        <v>1.48</v>
      </c>
      <c r="AI118">
        <v>4.9800000000000004</v>
      </c>
      <c r="AJ118">
        <v>6.13</v>
      </c>
      <c r="AK118">
        <v>1.5</v>
      </c>
      <c r="AL118">
        <v>5</v>
      </c>
      <c r="AM118">
        <v>5.8</v>
      </c>
      <c r="AN118">
        <v>1.5</v>
      </c>
      <c r="AO118">
        <v>5.29</v>
      </c>
      <c r="AP118">
        <v>5.9</v>
      </c>
      <c r="AQ118">
        <v>1.52</v>
      </c>
      <c r="AR118">
        <v>5.29</v>
      </c>
      <c r="AS118">
        <v>6.36</v>
      </c>
      <c r="AT118">
        <v>1.49</v>
      </c>
      <c r="AU118">
        <v>5.01</v>
      </c>
      <c r="AV118">
        <v>5.92</v>
      </c>
      <c r="AW118">
        <v>1.5</v>
      </c>
      <c r="AX118">
        <v>5.3</v>
      </c>
      <c r="AY118">
        <v>6.6</v>
      </c>
      <c r="AZ118">
        <v>1.3</v>
      </c>
      <c r="BA118">
        <v>3.5</v>
      </c>
      <c r="BB118">
        <v>1.34</v>
      </c>
      <c r="BC118">
        <v>3.39</v>
      </c>
      <c r="BD118">
        <v>1.34</v>
      </c>
      <c r="BE118">
        <v>3.64</v>
      </c>
      <c r="BF118">
        <v>1.31</v>
      </c>
      <c r="BG118">
        <v>3.46</v>
      </c>
      <c r="BH118">
        <v>1.33</v>
      </c>
      <c r="BI118">
        <v>3.75</v>
      </c>
      <c r="BJ118">
        <v>-1.25</v>
      </c>
      <c r="BK118">
        <v>1.98</v>
      </c>
      <c r="BL118">
        <v>1.92</v>
      </c>
      <c r="BM118">
        <v>1.96</v>
      </c>
      <c r="BN118">
        <v>1.94</v>
      </c>
      <c r="BO118">
        <v>2</v>
      </c>
      <c r="BP118">
        <v>1.94</v>
      </c>
      <c r="BQ118">
        <v>1.94</v>
      </c>
      <c r="BR118">
        <v>1.9</v>
      </c>
      <c r="BS118">
        <v>2.0099999999999998</v>
      </c>
      <c r="BT118">
        <v>1.94</v>
      </c>
      <c r="BU118">
        <v>1.4</v>
      </c>
      <c r="BV118">
        <v>5</v>
      </c>
      <c r="BW118">
        <v>7</v>
      </c>
      <c r="BX118">
        <v>1.41</v>
      </c>
      <c r="BY118">
        <v>5.25</v>
      </c>
      <c r="BZ118">
        <v>6.75</v>
      </c>
      <c r="CA118">
        <v>1.36</v>
      </c>
      <c r="CB118">
        <v>5.5</v>
      </c>
      <c r="CC118">
        <v>7.5</v>
      </c>
      <c r="CD118">
        <v>1.44</v>
      </c>
      <c r="CE118">
        <v>5.28</v>
      </c>
      <c r="CF118">
        <v>6.71</v>
      </c>
      <c r="CG118">
        <v>1.4</v>
      </c>
      <c r="CH118">
        <v>5</v>
      </c>
      <c r="CI118">
        <v>7.5</v>
      </c>
      <c r="CJ118">
        <v>1.45</v>
      </c>
      <c r="CK118">
        <v>5.13</v>
      </c>
      <c r="CL118">
        <v>6.9</v>
      </c>
      <c r="CM118">
        <v>1.45</v>
      </c>
      <c r="CN118">
        <v>5.7</v>
      </c>
      <c r="CO118">
        <v>7.5</v>
      </c>
      <c r="CP118">
        <v>1.41</v>
      </c>
      <c r="CQ118">
        <v>5.35</v>
      </c>
      <c r="CR118">
        <v>6.94</v>
      </c>
      <c r="CS118">
        <v>1.41</v>
      </c>
      <c r="CT118">
        <v>5.8</v>
      </c>
      <c r="CU118">
        <v>8</v>
      </c>
      <c r="CV118">
        <v>1.33</v>
      </c>
      <c r="CW118">
        <v>3.4</v>
      </c>
      <c r="CX118">
        <v>1.33</v>
      </c>
      <c r="CY118">
        <v>3.47</v>
      </c>
      <c r="CZ118">
        <v>1.35</v>
      </c>
      <c r="DA118">
        <v>3.71</v>
      </c>
      <c r="DB118">
        <v>1.32</v>
      </c>
      <c r="DC118">
        <v>3.45</v>
      </c>
      <c r="DD118">
        <v>1.37</v>
      </c>
      <c r="DE118">
        <v>3.65</v>
      </c>
      <c r="DF118">
        <v>-1.5</v>
      </c>
      <c r="DG118">
        <v>2.06</v>
      </c>
      <c r="DH118">
        <v>1.87</v>
      </c>
      <c r="DI118">
        <v>2.08</v>
      </c>
      <c r="DJ118">
        <v>1.85</v>
      </c>
      <c r="DK118">
        <v>2.09</v>
      </c>
      <c r="DL118">
        <v>1.95</v>
      </c>
      <c r="DM118">
        <v>2.0299999999999998</v>
      </c>
      <c r="DN118">
        <v>1.84</v>
      </c>
      <c r="DO118">
        <v>2.1</v>
      </c>
      <c r="DP118">
        <v>1.9</v>
      </c>
    </row>
    <row r="119" spans="1:120" x14ac:dyDescent="0.3">
      <c r="A119" t="s">
        <v>120</v>
      </c>
      <c r="B119" t="s">
        <v>187</v>
      </c>
      <c r="C119" s="1">
        <v>0.58333333333333337</v>
      </c>
      <c r="D119" t="s">
        <v>139</v>
      </c>
      <c r="E119" t="s">
        <v>129</v>
      </c>
      <c r="F119">
        <v>2</v>
      </c>
      <c r="G119">
        <v>3</v>
      </c>
      <c r="H119" t="s">
        <v>130</v>
      </c>
      <c r="I119">
        <v>1</v>
      </c>
      <c r="J119">
        <v>1</v>
      </c>
      <c r="K119" t="s">
        <v>125</v>
      </c>
      <c r="L119" t="s">
        <v>150</v>
      </c>
      <c r="M119">
        <v>7</v>
      </c>
      <c r="N119">
        <v>27</v>
      </c>
      <c r="O119">
        <v>5</v>
      </c>
      <c r="P119">
        <v>11</v>
      </c>
      <c r="Q119">
        <v>11</v>
      </c>
      <c r="R119">
        <v>9</v>
      </c>
      <c r="S119">
        <v>3</v>
      </c>
      <c r="T119">
        <v>10</v>
      </c>
      <c r="U119">
        <v>3</v>
      </c>
      <c r="V119">
        <v>4</v>
      </c>
      <c r="W119">
        <v>0</v>
      </c>
      <c r="X119">
        <v>0</v>
      </c>
      <c r="Y119">
        <v>11</v>
      </c>
      <c r="Z119">
        <v>5.75</v>
      </c>
      <c r="AA119">
        <v>1.27</v>
      </c>
      <c r="AB119">
        <v>10</v>
      </c>
      <c r="AC119">
        <v>6.25</v>
      </c>
      <c r="AD119">
        <v>1.28</v>
      </c>
      <c r="AE119">
        <v>10.5</v>
      </c>
      <c r="AF119">
        <v>6</v>
      </c>
      <c r="AG119">
        <v>1.29</v>
      </c>
      <c r="AH119">
        <v>10.83</v>
      </c>
      <c r="AI119">
        <v>5.79</v>
      </c>
      <c r="AJ119">
        <v>1.28</v>
      </c>
      <c r="AK119">
        <v>10</v>
      </c>
      <c r="AL119">
        <v>5.8</v>
      </c>
      <c r="AM119">
        <v>1.29</v>
      </c>
      <c r="AN119">
        <v>10.1</v>
      </c>
      <c r="AO119">
        <v>6.21</v>
      </c>
      <c r="AP119">
        <v>1.3</v>
      </c>
      <c r="AQ119">
        <v>11</v>
      </c>
      <c r="AR119">
        <v>6.4</v>
      </c>
      <c r="AS119">
        <v>1.32</v>
      </c>
      <c r="AT119">
        <v>10.4</v>
      </c>
      <c r="AU119">
        <v>5.96</v>
      </c>
      <c r="AV119">
        <v>1.28</v>
      </c>
      <c r="AW119">
        <v>12</v>
      </c>
      <c r="AX119">
        <v>6.4</v>
      </c>
      <c r="AY119">
        <v>1.31</v>
      </c>
      <c r="AZ119">
        <v>1.44</v>
      </c>
      <c r="BA119">
        <v>2.75</v>
      </c>
      <c r="BB119">
        <v>1.46</v>
      </c>
      <c r="BC119">
        <v>2.78</v>
      </c>
      <c r="BD119">
        <v>1.48</v>
      </c>
      <c r="BE119">
        <v>2.94</v>
      </c>
      <c r="BF119">
        <v>1.44</v>
      </c>
      <c r="BG119">
        <v>2.8</v>
      </c>
      <c r="BH119">
        <v>1.47</v>
      </c>
      <c r="BI119">
        <v>3.05</v>
      </c>
      <c r="BJ119">
        <v>1.75</v>
      </c>
      <c r="BK119">
        <v>1.9</v>
      </c>
      <c r="BL119">
        <v>2</v>
      </c>
      <c r="BM119">
        <v>1.88</v>
      </c>
      <c r="BN119">
        <v>2.0099999999999998</v>
      </c>
      <c r="BO119">
        <v>1.92</v>
      </c>
      <c r="BP119">
        <v>2.06</v>
      </c>
      <c r="BQ119">
        <v>1.85</v>
      </c>
      <c r="BR119">
        <v>1.98</v>
      </c>
      <c r="BS119">
        <v>1.91</v>
      </c>
      <c r="BT119">
        <v>2.04</v>
      </c>
      <c r="BU119">
        <v>8.5</v>
      </c>
      <c r="BV119">
        <v>5.25</v>
      </c>
      <c r="BW119">
        <v>1.33</v>
      </c>
      <c r="BX119">
        <v>8</v>
      </c>
      <c r="BY119">
        <v>5.75</v>
      </c>
      <c r="BZ119">
        <v>1.34</v>
      </c>
      <c r="CA119">
        <v>9.5</v>
      </c>
      <c r="CB119">
        <v>5.5</v>
      </c>
      <c r="CC119">
        <v>1.25</v>
      </c>
      <c r="CD119">
        <v>10</v>
      </c>
      <c r="CE119">
        <v>5.95</v>
      </c>
      <c r="CF119">
        <v>1.31</v>
      </c>
      <c r="CG119">
        <v>8.5</v>
      </c>
      <c r="CH119">
        <v>5.5</v>
      </c>
      <c r="CI119">
        <v>1.33</v>
      </c>
      <c r="CJ119">
        <v>9.17</v>
      </c>
      <c r="CK119">
        <v>5.41</v>
      </c>
      <c r="CL119">
        <v>1.36</v>
      </c>
      <c r="CM119">
        <v>10</v>
      </c>
      <c r="CN119">
        <v>6</v>
      </c>
      <c r="CO119">
        <v>1.36</v>
      </c>
      <c r="CP119">
        <v>9.1199999999999992</v>
      </c>
      <c r="CQ119">
        <v>5.7</v>
      </c>
      <c r="CR119">
        <v>1.32</v>
      </c>
      <c r="CS119">
        <v>11</v>
      </c>
      <c r="CT119">
        <v>6.2</v>
      </c>
      <c r="CU119">
        <v>1.33</v>
      </c>
      <c r="CV119">
        <v>1.4</v>
      </c>
      <c r="CW119">
        <v>3</v>
      </c>
      <c r="CX119">
        <v>1.4</v>
      </c>
      <c r="CY119">
        <v>3.12</v>
      </c>
      <c r="CZ119">
        <v>1.44</v>
      </c>
      <c r="DA119">
        <v>3.16</v>
      </c>
      <c r="DB119">
        <v>1.4</v>
      </c>
      <c r="DC119">
        <v>3.02</v>
      </c>
      <c r="DD119">
        <v>1.42</v>
      </c>
      <c r="DE119">
        <v>3.3</v>
      </c>
      <c r="DF119">
        <v>1.5</v>
      </c>
      <c r="DG119">
        <v>2</v>
      </c>
      <c r="DH119">
        <v>1.93</v>
      </c>
      <c r="DI119">
        <v>2.0099999999999998</v>
      </c>
      <c r="DJ119">
        <v>1.92</v>
      </c>
      <c r="DK119">
        <v>2.0299999999999998</v>
      </c>
      <c r="DL119">
        <v>1.94</v>
      </c>
      <c r="DM119">
        <v>1.97</v>
      </c>
      <c r="DN119">
        <v>1.89</v>
      </c>
      <c r="DO119">
        <v>2.06</v>
      </c>
      <c r="DP119">
        <v>1.94</v>
      </c>
    </row>
    <row r="120" spans="1:120" x14ac:dyDescent="0.3">
      <c r="A120" t="s">
        <v>120</v>
      </c>
      <c r="B120" t="s">
        <v>187</v>
      </c>
      <c r="C120" s="1">
        <v>0.6875</v>
      </c>
      <c r="D120" t="s">
        <v>128</v>
      </c>
      <c r="E120" t="s">
        <v>122</v>
      </c>
      <c r="F120">
        <v>1</v>
      </c>
      <c r="G120">
        <v>1</v>
      </c>
      <c r="H120" t="s">
        <v>125</v>
      </c>
      <c r="I120">
        <v>1</v>
      </c>
      <c r="J120">
        <v>1</v>
      </c>
      <c r="K120" t="s">
        <v>125</v>
      </c>
      <c r="L120" t="s">
        <v>153</v>
      </c>
      <c r="M120">
        <v>11</v>
      </c>
      <c r="N120">
        <v>11</v>
      </c>
      <c r="O120">
        <v>6</v>
      </c>
      <c r="P120">
        <v>4</v>
      </c>
      <c r="Q120">
        <v>11</v>
      </c>
      <c r="R120">
        <v>10</v>
      </c>
      <c r="S120">
        <v>4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5.25</v>
      </c>
      <c r="Z120">
        <v>4</v>
      </c>
      <c r="AA120">
        <v>1.62</v>
      </c>
      <c r="AB120">
        <v>4.8</v>
      </c>
      <c r="AC120">
        <v>4.2</v>
      </c>
      <c r="AD120">
        <v>1.65</v>
      </c>
      <c r="AE120">
        <v>5</v>
      </c>
      <c r="AF120">
        <v>4.2</v>
      </c>
      <c r="AG120">
        <v>1.62</v>
      </c>
      <c r="AH120">
        <v>5.24</v>
      </c>
      <c r="AI120">
        <v>4.25</v>
      </c>
      <c r="AJ120">
        <v>1.64</v>
      </c>
      <c r="AK120">
        <v>5</v>
      </c>
      <c r="AL120">
        <v>4.2</v>
      </c>
      <c r="AM120">
        <v>1.65</v>
      </c>
      <c r="AN120">
        <v>4.99</v>
      </c>
      <c r="AO120">
        <v>4.4800000000000004</v>
      </c>
      <c r="AP120">
        <v>1.66</v>
      </c>
      <c r="AQ120">
        <v>5.3</v>
      </c>
      <c r="AR120">
        <v>4.4800000000000004</v>
      </c>
      <c r="AS120">
        <v>1.68</v>
      </c>
      <c r="AT120">
        <v>5.0599999999999996</v>
      </c>
      <c r="AU120">
        <v>4.22</v>
      </c>
      <c r="AV120">
        <v>1.63</v>
      </c>
      <c r="AW120">
        <v>5.5</v>
      </c>
      <c r="AX120">
        <v>4.4000000000000004</v>
      </c>
      <c r="AY120">
        <v>1.67</v>
      </c>
      <c r="AZ120">
        <v>1.57</v>
      </c>
      <c r="BA120">
        <v>2.38</v>
      </c>
      <c r="BB120">
        <v>1.57</v>
      </c>
      <c r="BC120">
        <v>2.5</v>
      </c>
      <c r="BD120">
        <v>1.62</v>
      </c>
      <c r="BE120">
        <v>2.57</v>
      </c>
      <c r="BF120">
        <v>1.56</v>
      </c>
      <c r="BG120">
        <v>2.44</v>
      </c>
      <c r="BH120">
        <v>1.6</v>
      </c>
      <c r="BI120">
        <v>2.58</v>
      </c>
      <c r="BJ120">
        <v>1</v>
      </c>
      <c r="BK120">
        <v>1.83</v>
      </c>
      <c r="BL120">
        <v>2.0699999999999998</v>
      </c>
      <c r="BM120">
        <v>1.84</v>
      </c>
      <c r="BN120">
        <v>2.08</v>
      </c>
      <c r="BO120">
        <v>1.86</v>
      </c>
      <c r="BP120">
        <v>2.08</v>
      </c>
      <c r="BQ120">
        <v>1.82</v>
      </c>
      <c r="BR120">
        <v>2.0499999999999998</v>
      </c>
      <c r="BS120">
        <v>1.89</v>
      </c>
      <c r="BT120">
        <v>2.08</v>
      </c>
      <c r="BU120">
        <v>5</v>
      </c>
      <c r="BV120">
        <v>4.0999999999999996</v>
      </c>
      <c r="BW120">
        <v>1.65</v>
      </c>
      <c r="BX120">
        <v>4.8</v>
      </c>
      <c r="BY120">
        <v>4</v>
      </c>
      <c r="BZ120">
        <v>1.68</v>
      </c>
      <c r="CA120">
        <v>5</v>
      </c>
      <c r="CB120">
        <v>4</v>
      </c>
      <c r="CC120">
        <v>1.62</v>
      </c>
      <c r="CD120">
        <v>5.15</v>
      </c>
      <c r="CE120">
        <v>4.16</v>
      </c>
      <c r="CF120">
        <v>1.68</v>
      </c>
      <c r="CG120">
        <v>5.5</v>
      </c>
      <c r="CH120">
        <v>3.9</v>
      </c>
      <c r="CI120">
        <v>1.65</v>
      </c>
      <c r="CJ120">
        <v>5.42</v>
      </c>
      <c r="CK120">
        <v>4.18</v>
      </c>
      <c r="CL120">
        <v>1.65</v>
      </c>
      <c r="CM120">
        <v>5.5</v>
      </c>
      <c r="CN120">
        <v>4.25</v>
      </c>
      <c r="CO120">
        <v>1.72</v>
      </c>
      <c r="CP120">
        <v>5.0599999999999996</v>
      </c>
      <c r="CQ120">
        <v>4.09</v>
      </c>
      <c r="CR120">
        <v>1.67</v>
      </c>
      <c r="CS120">
        <v>5.6</v>
      </c>
      <c r="CT120">
        <v>4.3</v>
      </c>
      <c r="CU120">
        <v>1.69</v>
      </c>
      <c r="CV120">
        <v>1.67</v>
      </c>
      <c r="CW120">
        <v>2.2000000000000002</v>
      </c>
      <c r="CX120">
        <v>1.66</v>
      </c>
      <c r="CY120">
        <v>2.33</v>
      </c>
      <c r="CZ120">
        <v>1.68</v>
      </c>
      <c r="DA120">
        <v>2.4300000000000002</v>
      </c>
      <c r="DB120">
        <v>1.64</v>
      </c>
      <c r="DC120">
        <v>2.2999999999999998</v>
      </c>
      <c r="DD120">
        <v>1.69</v>
      </c>
      <c r="DE120">
        <v>2.42</v>
      </c>
      <c r="DF120">
        <v>0.75</v>
      </c>
      <c r="DG120">
        <v>2.06</v>
      </c>
      <c r="DH120">
        <v>1.87</v>
      </c>
      <c r="DI120">
        <v>2.06</v>
      </c>
      <c r="DJ120">
        <v>1.87</v>
      </c>
      <c r="DK120">
        <v>2.12</v>
      </c>
      <c r="DL120">
        <v>1.88</v>
      </c>
      <c r="DM120">
        <v>2.04</v>
      </c>
      <c r="DN120">
        <v>1.83</v>
      </c>
      <c r="DO120">
        <v>2.12</v>
      </c>
      <c r="DP120">
        <v>1.88</v>
      </c>
    </row>
    <row r="121" spans="1:120" x14ac:dyDescent="0.3">
      <c r="A121" t="s">
        <v>120</v>
      </c>
      <c r="B121" t="s">
        <v>188</v>
      </c>
      <c r="C121" s="1">
        <v>0.83333333333333337</v>
      </c>
      <c r="D121" t="s">
        <v>138</v>
      </c>
      <c r="E121" t="s">
        <v>144</v>
      </c>
      <c r="F121">
        <v>0</v>
      </c>
      <c r="G121">
        <v>2</v>
      </c>
      <c r="H121" t="s">
        <v>130</v>
      </c>
      <c r="I121">
        <v>0</v>
      </c>
      <c r="J121">
        <v>1</v>
      </c>
      <c r="K121" t="s">
        <v>130</v>
      </c>
      <c r="L121" t="s">
        <v>140</v>
      </c>
      <c r="M121">
        <v>18</v>
      </c>
      <c r="N121">
        <v>15</v>
      </c>
      <c r="O121">
        <v>2</v>
      </c>
      <c r="P121">
        <v>6</v>
      </c>
      <c r="Q121">
        <v>11</v>
      </c>
      <c r="R121">
        <v>8</v>
      </c>
      <c r="S121">
        <v>8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1.5</v>
      </c>
      <c r="Z121">
        <v>4.5</v>
      </c>
      <c r="AA121">
        <v>6</v>
      </c>
      <c r="AB121">
        <v>1.51</v>
      </c>
      <c r="AC121">
        <v>4.5</v>
      </c>
      <c r="AD121">
        <v>6</v>
      </c>
      <c r="AE121">
        <v>1.44</v>
      </c>
      <c r="AF121">
        <v>4.5</v>
      </c>
      <c r="AG121">
        <v>6</v>
      </c>
      <c r="AH121">
        <v>1.5</v>
      </c>
      <c r="AI121">
        <v>4.58</v>
      </c>
      <c r="AJ121">
        <v>6.49</v>
      </c>
      <c r="AK121">
        <v>1.53</v>
      </c>
      <c r="AL121">
        <v>4.4000000000000004</v>
      </c>
      <c r="AM121">
        <v>6</v>
      </c>
      <c r="AN121">
        <v>1.53</v>
      </c>
      <c r="AO121">
        <v>4.79</v>
      </c>
      <c r="AP121">
        <v>6.16</v>
      </c>
      <c r="AQ121">
        <v>1.54</v>
      </c>
      <c r="AR121">
        <v>4.79</v>
      </c>
      <c r="AS121">
        <v>6.6</v>
      </c>
      <c r="AT121">
        <v>1.5</v>
      </c>
      <c r="AU121">
        <v>4.57</v>
      </c>
      <c r="AV121">
        <v>6.21</v>
      </c>
      <c r="AW121">
        <v>1.52</v>
      </c>
      <c r="AX121">
        <v>4.9000000000000004</v>
      </c>
      <c r="AY121">
        <v>6.8</v>
      </c>
      <c r="AZ121">
        <v>1.53</v>
      </c>
      <c r="BA121">
        <v>2.5</v>
      </c>
      <c r="BB121">
        <v>1.58</v>
      </c>
      <c r="BC121">
        <v>2.4900000000000002</v>
      </c>
      <c r="BD121">
        <v>1.58</v>
      </c>
      <c r="BE121">
        <v>2.5499999999999998</v>
      </c>
      <c r="BF121">
        <v>1.55</v>
      </c>
      <c r="BG121">
        <v>2.4500000000000002</v>
      </c>
      <c r="BH121">
        <v>1.58</v>
      </c>
      <c r="BI121">
        <v>2.6</v>
      </c>
      <c r="BJ121">
        <v>-1</v>
      </c>
      <c r="BK121">
        <v>1.75</v>
      </c>
      <c r="BL121">
        <v>2.0499999999999998</v>
      </c>
      <c r="BM121">
        <v>1.79</v>
      </c>
      <c r="BN121">
        <v>2.12</v>
      </c>
      <c r="BO121">
        <v>1.85</v>
      </c>
      <c r="BP121">
        <v>2.12</v>
      </c>
      <c r="BQ121">
        <v>1.79</v>
      </c>
      <c r="BR121">
        <v>2.08</v>
      </c>
      <c r="BS121">
        <v>1.81</v>
      </c>
      <c r="BT121">
        <v>2.17</v>
      </c>
      <c r="BU121">
        <v>1.45</v>
      </c>
      <c r="BV121">
        <v>4.75</v>
      </c>
      <c r="BW121">
        <v>6.25</v>
      </c>
      <c r="BX121">
        <v>1.47</v>
      </c>
      <c r="BY121">
        <v>4.75</v>
      </c>
      <c r="BZ121">
        <v>6.25</v>
      </c>
      <c r="CA121">
        <v>1.47</v>
      </c>
      <c r="CB121">
        <v>4.75</v>
      </c>
      <c r="CC121">
        <v>6.5</v>
      </c>
      <c r="CD121">
        <v>1.5</v>
      </c>
      <c r="CE121">
        <v>4.71</v>
      </c>
      <c r="CF121">
        <v>6.64</v>
      </c>
      <c r="CG121">
        <v>1.5</v>
      </c>
      <c r="CH121">
        <v>4.5999999999999996</v>
      </c>
      <c r="CI121">
        <v>6.5</v>
      </c>
      <c r="CJ121">
        <v>1.5</v>
      </c>
      <c r="CK121">
        <v>4.8499999999999996</v>
      </c>
      <c r="CL121">
        <v>6.38</v>
      </c>
      <c r="CM121">
        <v>1.5</v>
      </c>
      <c r="CN121">
        <v>5</v>
      </c>
      <c r="CO121">
        <v>7.1</v>
      </c>
      <c r="CP121">
        <v>1.47</v>
      </c>
      <c r="CQ121">
        <v>4.8</v>
      </c>
      <c r="CR121">
        <v>6.5</v>
      </c>
      <c r="CS121">
        <v>1.49</v>
      </c>
      <c r="CT121">
        <v>5.2</v>
      </c>
      <c r="CU121">
        <v>7</v>
      </c>
      <c r="CV121">
        <v>1.5</v>
      </c>
      <c r="CW121">
        <v>2.63</v>
      </c>
      <c r="CX121">
        <v>1.51</v>
      </c>
      <c r="CY121">
        <v>2.67</v>
      </c>
      <c r="CZ121">
        <v>1.56</v>
      </c>
      <c r="DA121">
        <v>2.77</v>
      </c>
      <c r="DB121">
        <v>1.5</v>
      </c>
      <c r="DC121">
        <v>2.64</v>
      </c>
      <c r="DD121">
        <v>1.55</v>
      </c>
      <c r="DE121">
        <v>2.78</v>
      </c>
      <c r="DF121">
        <v>-1.25</v>
      </c>
      <c r="DG121">
        <v>2.0299999999999998</v>
      </c>
      <c r="DH121">
        <v>1.87</v>
      </c>
      <c r="DI121">
        <v>2.0499999999999998</v>
      </c>
      <c r="DJ121">
        <v>1.88</v>
      </c>
      <c r="DK121">
        <v>2.0499999999999998</v>
      </c>
      <c r="DL121">
        <v>1.92</v>
      </c>
      <c r="DM121">
        <v>1.99</v>
      </c>
      <c r="DN121">
        <v>1.87</v>
      </c>
      <c r="DO121">
        <v>2.06</v>
      </c>
      <c r="DP121">
        <v>1.92</v>
      </c>
    </row>
    <row r="122" spans="1:120" x14ac:dyDescent="0.3">
      <c r="A122" t="s">
        <v>120</v>
      </c>
      <c r="B122" t="s">
        <v>189</v>
      </c>
      <c r="C122" s="1">
        <v>0.83333333333333337</v>
      </c>
      <c r="D122" t="s">
        <v>136</v>
      </c>
      <c r="E122" t="s">
        <v>139</v>
      </c>
      <c r="F122">
        <v>1</v>
      </c>
      <c r="G122">
        <v>1</v>
      </c>
      <c r="H122" t="s">
        <v>125</v>
      </c>
      <c r="I122">
        <v>1</v>
      </c>
      <c r="J122">
        <v>0</v>
      </c>
      <c r="K122" t="s">
        <v>124</v>
      </c>
      <c r="L122" t="s">
        <v>126</v>
      </c>
      <c r="M122">
        <v>22</v>
      </c>
      <c r="N122">
        <v>10</v>
      </c>
      <c r="O122">
        <v>5</v>
      </c>
      <c r="P122">
        <v>2</v>
      </c>
      <c r="Q122">
        <v>20</v>
      </c>
      <c r="R122">
        <v>16</v>
      </c>
      <c r="S122">
        <v>7</v>
      </c>
      <c r="T122">
        <v>6</v>
      </c>
      <c r="U122">
        <v>2</v>
      </c>
      <c r="V122">
        <v>4</v>
      </c>
      <c r="W122">
        <v>0</v>
      </c>
      <c r="X122">
        <v>0</v>
      </c>
      <c r="Y122">
        <v>1.38</v>
      </c>
      <c r="Z122">
        <v>5</v>
      </c>
      <c r="AA122">
        <v>7.5</v>
      </c>
      <c r="AB122">
        <v>1.38</v>
      </c>
      <c r="AC122">
        <v>5.25</v>
      </c>
      <c r="AD122">
        <v>7.5</v>
      </c>
      <c r="AE122">
        <v>1.36</v>
      </c>
      <c r="AF122">
        <v>5</v>
      </c>
      <c r="AG122">
        <v>7.5</v>
      </c>
      <c r="AH122">
        <v>1.39</v>
      </c>
      <c r="AI122">
        <v>5.33</v>
      </c>
      <c r="AJ122">
        <v>7.66</v>
      </c>
      <c r="AK122">
        <v>1.4</v>
      </c>
      <c r="AL122">
        <v>5</v>
      </c>
      <c r="AM122">
        <v>7.5</v>
      </c>
      <c r="AN122">
        <v>1.43</v>
      </c>
      <c r="AO122">
        <v>5.35</v>
      </c>
      <c r="AP122">
        <v>7.23</v>
      </c>
      <c r="AQ122">
        <v>1.43</v>
      </c>
      <c r="AR122">
        <v>5.5</v>
      </c>
      <c r="AS122">
        <v>8</v>
      </c>
      <c r="AT122">
        <v>1.39</v>
      </c>
      <c r="AU122">
        <v>5.29</v>
      </c>
      <c r="AV122">
        <v>7.57</v>
      </c>
      <c r="AW122">
        <v>1.41</v>
      </c>
      <c r="AX122">
        <v>5.6</v>
      </c>
      <c r="AY122">
        <v>8.6</v>
      </c>
      <c r="AZ122">
        <v>1.44</v>
      </c>
      <c r="BA122">
        <v>2.75</v>
      </c>
      <c r="BB122">
        <v>1.43</v>
      </c>
      <c r="BC122">
        <v>2.9</v>
      </c>
      <c r="BD122">
        <v>1.45</v>
      </c>
      <c r="BE122">
        <v>2.98</v>
      </c>
      <c r="BF122">
        <v>1.43</v>
      </c>
      <c r="BG122">
        <v>2.84</v>
      </c>
      <c r="BH122">
        <v>1.46</v>
      </c>
      <c r="BI122">
        <v>3.05</v>
      </c>
      <c r="BJ122">
        <v>-1.5</v>
      </c>
      <c r="BK122">
        <v>2.02</v>
      </c>
      <c r="BL122">
        <v>1.88</v>
      </c>
      <c r="BM122">
        <v>2.04</v>
      </c>
      <c r="BN122">
        <v>1.87</v>
      </c>
      <c r="BO122">
        <v>2.04</v>
      </c>
      <c r="BP122">
        <v>1.91</v>
      </c>
      <c r="BQ122">
        <v>2.0099999999999998</v>
      </c>
      <c r="BR122">
        <v>1.85</v>
      </c>
      <c r="BS122">
        <v>2.0299999999999998</v>
      </c>
      <c r="BT122">
        <v>1.92</v>
      </c>
      <c r="BU122">
        <v>1.38</v>
      </c>
      <c r="BV122">
        <v>5.25</v>
      </c>
      <c r="BW122">
        <v>7.5</v>
      </c>
      <c r="BX122">
        <v>1.4</v>
      </c>
      <c r="BY122">
        <v>5.25</v>
      </c>
      <c r="BZ122">
        <v>7</v>
      </c>
      <c r="CA122">
        <v>1.36</v>
      </c>
      <c r="CB122">
        <v>5.5</v>
      </c>
      <c r="CC122">
        <v>7.5</v>
      </c>
      <c r="CD122">
        <v>1.38</v>
      </c>
      <c r="CE122">
        <v>5.68</v>
      </c>
      <c r="CF122">
        <v>7.25</v>
      </c>
      <c r="CG122">
        <v>1.4</v>
      </c>
      <c r="CH122">
        <v>5</v>
      </c>
      <c r="CI122">
        <v>7</v>
      </c>
      <c r="CJ122">
        <v>1.42</v>
      </c>
      <c r="CK122">
        <v>5.33</v>
      </c>
      <c r="CL122">
        <v>7.37</v>
      </c>
      <c r="CM122">
        <v>1.42</v>
      </c>
      <c r="CN122">
        <v>5.8</v>
      </c>
      <c r="CO122">
        <v>8</v>
      </c>
      <c r="CP122">
        <v>1.39</v>
      </c>
      <c r="CQ122">
        <v>5.45</v>
      </c>
      <c r="CR122">
        <v>7.29</v>
      </c>
      <c r="CS122">
        <v>1.39</v>
      </c>
      <c r="CT122">
        <v>5.8</v>
      </c>
      <c r="CU122">
        <v>8.8000000000000007</v>
      </c>
      <c r="CV122">
        <v>1.36</v>
      </c>
      <c r="CW122">
        <v>3.2</v>
      </c>
      <c r="CX122">
        <v>1.36</v>
      </c>
      <c r="CY122">
        <v>3.22</v>
      </c>
      <c r="CZ122">
        <v>1.42</v>
      </c>
      <c r="DA122">
        <v>3.27</v>
      </c>
      <c r="DB122">
        <v>1.38</v>
      </c>
      <c r="DC122">
        <v>3.12</v>
      </c>
      <c r="DD122">
        <v>1.42</v>
      </c>
      <c r="DE122">
        <v>3.35</v>
      </c>
      <c r="DF122">
        <v>-1.5</v>
      </c>
      <c r="DG122">
        <v>2.0099999999999998</v>
      </c>
      <c r="DH122">
        <v>1.89</v>
      </c>
      <c r="DI122">
        <v>2.0099999999999998</v>
      </c>
      <c r="DJ122">
        <v>1.9</v>
      </c>
      <c r="DK122">
        <v>2.06</v>
      </c>
      <c r="DL122">
        <v>1.91</v>
      </c>
      <c r="DM122">
        <v>2</v>
      </c>
      <c r="DN122">
        <v>1.87</v>
      </c>
      <c r="DO122">
        <v>2.0699999999999998</v>
      </c>
      <c r="DP122">
        <v>1.92</v>
      </c>
    </row>
    <row r="123" spans="1:120" x14ac:dyDescent="0.3">
      <c r="A123" t="s">
        <v>120</v>
      </c>
      <c r="B123" t="s">
        <v>190</v>
      </c>
      <c r="C123" s="1">
        <v>0.625</v>
      </c>
      <c r="D123" t="s">
        <v>148</v>
      </c>
      <c r="E123" t="s">
        <v>155</v>
      </c>
      <c r="F123">
        <v>4</v>
      </c>
      <c r="G123">
        <v>1</v>
      </c>
      <c r="H123" t="s">
        <v>124</v>
      </c>
      <c r="I123">
        <v>3</v>
      </c>
      <c r="J123">
        <v>1</v>
      </c>
      <c r="K123" t="s">
        <v>124</v>
      </c>
      <c r="L123" t="s">
        <v>143</v>
      </c>
      <c r="M123">
        <v>13</v>
      </c>
      <c r="N123">
        <v>7</v>
      </c>
      <c r="O123">
        <v>6</v>
      </c>
      <c r="P123">
        <v>3</v>
      </c>
      <c r="Q123">
        <v>9</v>
      </c>
      <c r="R123">
        <v>10</v>
      </c>
      <c r="S123">
        <v>5</v>
      </c>
      <c r="T123">
        <v>4</v>
      </c>
      <c r="U123">
        <v>1</v>
      </c>
      <c r="V123">
        <v>1</v>
      </c>
      <c r="W123">
        <v>0</v>
      </c>
      <c r="X123">
        <v>0</v>
      </c>
      <c r="Y123">
        <v>1.65</v>
      </c>
      <c r="Z123">
        <v>4.2</v>
      </c>
      <c r="AA123">
        <v>4.75</v>
      </c>
      <c r="AB123">
        <v>1.68</v>
      </c>
      <c r="AC123">
        <v>4.0999999999999996</v>
      </c>
      <c r="AD123">
        <v>4.5999999999999996</v>
      </c>
      <c r="AE123">
        <v>1.65</v>
      </c>
      <c r="AF123">
        <v>4.2</v>
      </c>
      <c r="AG123">
        <v>4.75</v>
      </c>
      <c r="AH123">
        <v>1.65</v>
      </c>
      <c r="AI123">
        <v>4.33</v>
      </c>
      <c r="AJ123">
        <v>4.9800000000000004</v>
      </c>
      <c r="AK123">
        <v>1.65</v>
      </c>
      <c r="AL123">
        <v>4.2</v>
      </c>
      <c r="AM123">
        <v>4.8</v>
      </c>
      <c r="AN123">
        <v>1.68</v>
      </c>
      <c r="AO123">
        <v>4.38</v>
      </c>
      <c r="AP123">
        <v>4.9400000000000004</v>
      </c>
      <c r="AQ123">
        <v>1.68</v>
      </c>
      <c r="AR123">
        <v>4.4000000000000004</v>
      </c>
      <c r="AS123">
        <v>5.0999999999999996</v>
      </c>
      <c r="AT123">
        <v>1.66</v>
      </c>
      <c r="AU123">
        <v>4.24</v>
      </c>
      <c r="AV123">
        <v>4.87</v>
      </c>
      <c r="AW123">
        <v>1.69</v>
      </c>
      <c r="AX123">
        <v>4.4000000000000004</v>
      </c>
      <c r="AY123">
        <v>5.3</v>
      </c>
      <c r="AZ123">
        <v>1.57</v>
      </c>
      <c r="BA123">
        <v>2.38</v>
      </c>
      <c r="BB123">
        <v>1.6</v>
      </c>
      <c r="BC123">
        <v>2.4300000000000002</v>
      </c>
      <c r="BD123">
        <v>1.63</v>
      </c>
      <c r="BE123">
        <v>2.5499999999999998</v>
      </c>
      <c r="BF123">
        <v>1.58</v>
      </c>
      <c r="BG123">
        <v>2.41</v>
      </c>
      <c r="BH123">
        <v>1.62</v>
      </c>
      <c r="BI123">
        <v>2.54</v>
      </c>
      <c r="BJ123">
        <v>-0.75</v>
      </c>
      <c r="BK123">
        <v>1.85</v>
      </c>
      <c r="BL123">
        <v>2.0499999999999998</v>
      </c>
      <c r="BM123">
        <v>1.83</v>
      </c>
      <c r="BN123">
        <v>2.1</v>
      </c>
      <c r="BO123">
        <v>1.88</v>
      </c>
      <c r="BP123">
        <v>2.1</v>
      </c>
      <c r="BQ123">
        <v>1.82</v>
      </c>
      <c r="BR123">
        <v>2.0299999999999998</v>
      </c>
      <c r="BS123">
        <v>1.85</v>
      </c>
      <c r="BT123">
        <v>2.13</v>
      </c>
      <c r="BU123">
        <v>1.6</v>
      </c>
      <c r="BV123">
        <v>4.33</v>
      </c>
      <c r="BW123">
        <v>5</v>
      </c>
      <c r="BX123">
        <v>1.63</v>
      </c>
      <c r="BY123">
        <v>4.2</v>
      </c>
      <c r="BZ123">
        <v>5</v>
      </c>
      <c r="CA123">
        <v>1.6</v>
      </c>
      <c r="CB123">
        <v>4.33</v>
      </c>
      <c r="CC123">
        <v>5</v>
      </c>
      <c r="CD123">
        <v>1.63</v>
      </c>
      <c r="CE123">
        <v>4.3600000000000003</v>
      </c>
      <c r="CF123">
        <v>5.38</v>
      </c>
      <c r="CG123">
        <v>1.6</v>
      </c>
      <c r="CH123">
        <v>4.2</v>
      </c>
      <c r="CI123">
        <v>5.5</v>
      </c>
      <c r="CJ123">
        <v>1.66</v>
      </c>
      <c r="CK123">
        <v>4.4400000000000004</v>
      </c>
      <c r="CL123">
        <v>4.92</v>
      </c>
      <c r="CM123">
        <v>1.66</v>
      </c>
      <c r="CN123">
        <v>4.5</v>
      </c>
      <c r="CO123">
        <v>5.6</v>
      </c>
      <c r="CP123">
        <v>1.61</v>
      </c>
      <c r="CQ123">
        <v>4.33</v>
      </c>
      <c r="CR123">
        <v>5.27</v>
      </c>
      <c r="CS123">
        <v>1.64</v>
      </c>
      <c r="CT123">
        <v>4.5</v>
      </c>
      <c r="CU123">
        <v>5.7</v>
      </c>
      <c r="CV123">
        <v>1.57</v>
      </c>
      <c r="CW123">
        <v>2.38</v>
      </c>
      <c r="CX123">
        <v>1.61</v>
      </c>
      <c r="CY123">
        <v>2.41</v>
      </c>
      <c r="CZ123">
        <v>1.63</v>
      </c>
      <c r="DA123">
        <v>2.4900000000000002</v>
      </c>
      <c r="DB123">
        <v>1.59</v>
      </c>
      <c r="DC123">
        <v>2.4</v>
      </c>
      <c r="DD123">
        <v>1.63</v>
      </c>
      <c r="DE123">
        <v>2.56</v>
      </c>
      <c r="DF123">
        <v>-1</v>
      </c>
      <c r="DG123">
        <v>2.04</v>
      </c>
      <c r="DH123">
        <v>1.86</v>
      </c>
      <c r="DI123">
        <v>2.0499999999999998</v>
      </c>
      <c r="DJ123">
        <v>1.88</v>
      </c>
      <c r="DK123">
        <v>2.09</v>
      </c>
      <c r="DL123">
        <v>1.92</v>
      </c>
      <c r="DM123">
        <v>2.0099999999999998</v>
      </c>
      <c r="DN123">
        <v>1.86</v>
      </c>
      <c r="DO123">
        <v>2.08</v>
      </c>
      <c r="DP123">
        <v>1.91</v>
      </c>
    </row>
    <row r="124" spans="1:120" x14ac:dyDescent="0.3">
      <c r="A124" t="s">
        <v>120</v>
      </c>
      <c r="B124" t="s">
        <v>190</v>
      </c>
      <c r="C124" s="1">
        <v>0.625</v>
      </c>
      <c r="D124" t="s">
        <v>149</v>
      </c>
      <c r="E124" t="s">
        <v>138</v>
      </c>
      <c r="F124">
        <v>1</v>
      </c>
      <c r="G124">
        <v>1</v>
      </c>
      <c r="H124" t="s">
        <v>125</v>
      </c>
      <c r="I124">
        <v>0</v>
      </c>
      <c r="J124">
        <v>0</v>
      </c>
      <c r="K124" t="s">
        <v>125</v>
      </c>
      <c r="L124" t="s">
        <v>163</v>
      </c>
      <c r="M124">
        <v>16</v>
      </c>
      <c r="N124">
        <v>1</v>
      </c>
      <c r="O124">
        <v>4</v>
      </c>
      <c r="P124">
        <v>0</v>
      </c>
      <c r="Q124">
        <v>12</v>
      </c>
      <c r="R124">
        <v>11</v>
      </c>
      <c r="S124">
        <v>8</v>
      </c>
      <c r="T124">
        <v>9</v>
      </c>
      <c r="U124">
        <v>3</v>
      </c>
      <c r="V124">
        <v>3</v>
      </c>
      <c r="W124">
        <v>0</v>
      </c>
      <c r="X124">
        <v>0</v>
      </c>
      <c r="Y124">
        <v>2.9</v>
      </c>
      <c r="Z124">
        <v>3.6</v>
      </c>
      <c r="AA124">
        <v>2.2999999999999998</v>
      </c>
      <c r="AB124">
        <v>2.95</v>
      </c>
      <c r="AC124">
        <v>3.5</v>
      </c>
      <c r="AD124">
        <v>2.35</v>
      </c>
      <c r="AE124">
        <v>3</v>
      </c>
      <c r="AF124">
        <v>3.5</v>
      </c>
      <c r="AG124">
        <v>2.2999999999999998</v>
      </c>
      <c r="AH124">
        <v>3.16</v>
      </c>
      <c r="AI124">
        <v>3.52</v>
      </c>
      <c r="AJ124">
        <v>2.31</v>
      </c>
      <c r="AK124">
        <v>3</v>
      </c>
      <c r="AL124">
        <v>3.5</v>
      </c>
      <c r="AM124">
        <v>2.2999999999999998</v>
      </c>
      <c r="AN124">
        <v>3.14</v>
      </c>
      <c r="AO124">
        <v>3.69</v>
      </c>
      <c r="AP124">
        <v>2.29</v>
      </c>
      <c r="AQ124">
        <v>3.21</v>
      </c>
      <c r="AR124">
        <v>4.0999999999999996</v>
      </c>
      <c r="AS124">
        <v>2.36</v>
      </c>
      <c r="AT124">
        <v>3.04</v>
      </c>
      <c r="AU124">
        <v>3.56</v>
      </c>
      <c r="AV124">
        <v>2.2999999999999998</v>
      </c>
      <c r="AW124">
        <v>3.15</v>
      </c>
      <c r="AX124">
        <v>3.65</v>
      </c>
      <c r="AY124">
        <v>2.42</v>
      </c>
      <c r="AZ124">
        <v>1.8</v>
      </c>
      <c r="BA124">
        <v>2</v>
      </c>
      <c r="BB124">
        <v>1.81</v>
      </c>
      <c r="BC124">
        <v>2.08</v>
      </c>
      <c r="BD124">
        <v>1.84</v>
      </c>
      <c r="BE124">
        <v>3.15</v>
      </c>
      <c r="BF124">
        <v>1.79</v>
      </c>
      <c r="BG124">
        <v>2.08</v>
      </c>
      <c r="BH124">
        <v>1.86</v>
      </c>
      <c r="BI124">
        <v>2.12</v>
      </c>
      <c r="BJ124">
        <v>0.25</v>
      </c>
      <c r="BK124">
        <v>1.87</v>
      </c>
      <c r="BL124">
        <v>2.0299999999999998</v>
      </c>
      <c r="BM124">
        <v>1.9</v>
      </c>
      <c r="BN124">
        <v>2.0099999999999998</v>
      </c>
      <c r="BO124">
        <v>1.9</v>
      </c>
      <c r="BP124">
        <v>2.06</v>
      </c>
      <c r="BQ124">
        <v>1.85</v>
      </c>
      <c r="BR124">
        <v>1.99</v>
      </c>
      <c r="BS124">
        <v>1.9</v>
      </c>
      <c r="BT124">
        <v>2.08</v>
      </c>
      <c r="BU124">
        <v>3.2</v>
      </c>
      <c r="BV124">
        <v>3.4</v>
      </c>
      <c r="BW124">
        <v>2.2000000000000002</v>
      </c>
      <c r="BX124">
        <v>3.2</v>
      </c>
      <c r="BY124">
        <v>3.4</v>
      </c>
      <c r="BZ124">
        <v>2.25</v>
      </c>
      <c r="CA124">
        <v>3.3</v>
      </c>
      <c r="CB124">
        <v>3.4</v>
      </c>
      <c r="CC124">
        <v>2.2000000000000002</v>
      </c>
      <c r="CD124">
        <v>3.3</v>
      </c>
      <c r="CE124">
        <v>3.53</v>
      </c>
      <c r="CF124">
        <v>2.27</v>
      </c>
      <c r="CG124">
        <v>3.2</v>
      </c>
      <c r="CH124">
        <v>3.4</v>
      </c>
      <c r="CI124">
        <v>2.25</v>
      </c>
      <c r="CJ124">
        <v>3.43</v>
      </c>
      <c r="CK124">
        <v>3.5</v>
      </c>
      <c r="CL124">
        <v>2.21</v>
      </c>
      <c r="CM124">
        <v>3.43</v>
      </c>
      <c r="CN124">
        <v>3.55</v>
      </c>
      <c r="CO124">
        <v>2.29</v>
      </c>
      <c r="CP124">
        <v>3.25</v>
      </c>
      <c r="CQ124">
        <v>3.48</v>
      </c>
      <c r="CR124">
        <v>2.2400000000000002</v>
      </c>
      <c r="CS124">
        <v>3.4</v>
      </c>
      <c r="CT124">
        <v>3.6</v>
      </c>
      <c r="CU124">
        <v>2.2999999999999998</v>
      </c>
      <c r="CV124">
        <v>1.88</v>
      </c>
      <c r="CW124">
        <v>2.02</v>
      </c>
      <c r="CX124">
        <v>1.88</v>
      </c>
      <c r="CY124">
        <v>2.0299999999999998</v>
      </c>
      <c r="CZ124">
        <v>1.93</v>
      </c>
      <c r="DA124">
        <v>2.1</v>
      </c>
      <c r="DB124">
        <v>1.86</v>
      </c>
      <c r="DC124">
        <v>1.99</v>
      </c>
      <c r="DD124">
        <v>1.96</v>
      </c>
      <c r="DE124">
        <v>2.02</v>
      </c>
      <c r="DF124">
        <v>0.25</v>
      </c>
      <c r="DG124">
        <v>1.95</v>
      </c>
      <c r="DH124">
        <v>1.95</v>
      </c>
      <c r="DI124">
        <v>1.96</v>
      </c>
      <c r="DJ124">
        <v>1.96</v>
      </c>
      <c r="DK124">
        <v>1.99</v>
      </c>
      <c r="DL124">
        <v>1.98</v>
      </c>
      <c r="DM124">
        <v>1.94</v>
      </c>
      <c r="DN124">
        <v>1.92</v>
      </c>
      <c r="DO124">
        <v>1.99</v>
      </c>
      <c r="DP124">
        <v>1.98</v>
      </c>
    </row>
    <row r="125" spans="1:120" x14ac:dyDescent="0.3">
      <c r="A125" t="s">
        <v>120</v>
      </c>
      <c r="B125" t="s">
        <v>190</v>
      </c>
      <c r="C125" s="1">
        <v>0.625</v>
      </c>
      <c r="D125" t="s">
        <v>141</v>
      </c>
      <c r="E125" t="s">
        <v>128</v>
      </c>
      <c r="F125">
        <v>1</v>
      </c>
      <c r="G125">
        <v>0</v>
      </c>
      <c r="H125" t="s">
        <v>124</v>
      </c>
      <c r="I125">
        <v>0</v>
      </c>
      <c r="J125">
        <v>0</v>
      </c>
      <c r="K125" t="s">
        <v>125</v>
      </c>
      <c r="L125" t="s">
        <v>146</v>
      </c>
      <c r="M125">
        <v>12</v>
      </c>
      <c r="N125">
        <v>7</v>
      </c>
      <c r="O125">
        <v>5</v>
      </c>
      <c r="P125">
        <v>3</v>
      </c>
      <c r="Q125">
        <v>5</v>
      </c>
      <c r="R125">
        <v>16</v>
      </c>
      <c r="S125">
        <v>8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1.7</v>
      </c>
      <c r="Z125">
        <v>3.8</v>
      </c>
      <c r="AA125">
        <v>4.75</v>
      </c>
      <c r="AB125">
        <v>1.73</v>
      </c>
      <c r="AC125">
        <v>3.8</v>
      </c>
      <c r="AD125">
        <v>4.75</v>
      </c>
      <c r="AE125">
        <v>1.73</v>
      </c>
      <c r="AF125">
        <v>3.8</v>
      </c>
      <c r="AG125">
        <v>5</v>
      </c>
      <c r="AH125">
        <v>1.78</v>
      </c>
      <c r="AI125">
        <v>3.75</v>
      </c>
      <c r="AJ125">
        <v>4.8499999999999996</v>
      </c>
      <c r="AK125">
        <v>1.73</v>
      </c>
      <c r="AL125">
        <v>3.75</v>
      </c>
      <c r="AM125">
        <v>4.8</v>
      </c>
      <c r="AN125">
        <v>1.77</v>
      </c>
      <c r="AO125">
        <v>3.95</v>
      </c>
      <c r="AP125">
        <v>4.79</v>
      </c>
      <c r="AQ125">
        <v>1.81</v>
      </c>
      <c r="AR125">
        <v>4</v>
      </c>
      <c r="AS125">
        <v>5.0599999999999996</v>
      </c>
      <c r="AT125">
        <v>1.75</v>
      </c>
      <c r="AU125">
        <v>3.82</v>
      </c>
      <c r="AV125">
        <v>4.79</v>
      </c>
      <c r="AW125">
        <v>1.78</v>
      </c>
      <c r="AX125">
        <v>4</v>
      </c>
      <c r="AY125">
        <v>5.3</v>
      </c>
      <c r="AZ125">
        <v>1.92</v>
      </c>
      <c r="BA125">
        <v>1.98</v>
      </c>
      <c r="BB125">
        <v>1.93</v>
      </c>
      <c r="BC125">
        <v>1.95</v>
      </c>
      <c r="BD125">
        <v>1.95</v>
      </c>
      <c r="BE125">
        <v>1.99</v>
      </c>
      <c r="BF125">
        <v>1.89</v>
      </c>
      <c r="BG125">
        <v>1.94</v>
      </c>
      <c r="BH125">
        <v>1.94</v>
      </c>
      <c r="BI125">
        <v>2.02</v>
      </c>
      <c r="BJ125">
        <v>-0.75</v>
      </c>
      <c r="BK125">
        <v>1.92</v>
      </c>
      <c r="BL125">
        <v>1.86</v>
      </c>
      <c r="BM125">
        <v>2.0099999999999998</v>
      </c>
      <c r="BN125">
        <v>1.9</v>
      </c>
      <c r="BO125">
        <v>2.0099999999999998</v>
      </c>
      <c r="BP125">
        <v>1.96</v>
      </c>
      <c r="BQ125">
        <v>1.94</v>
      </c>
      <c r="BR125">
        <v>1.89</v>
      </c>
      <c r="BS125">
        <v>2.0099999999999998</v>
      </c>
      <c r="BT125">
        <v>1.96</v>
      </c>
      <c r="BU125">
        <v>1.7</v>
      </c>
      <c r="BV125">
        <v>4</v>
      </c>
      <c r="BW125">
        <v>4.75</v>
      </c>
      <c r="BX125">
        <v>1.73</v>
      </c>
      <c r="BY125">
        <v>3.9</v>
      </c>
      <c r="BZ125">
        <v>4.75</v>
      </c>
      <c r="CA125">
        <v>1.7</v>
      </c>
      <c r="CB125">
        <v>3.9</v>
      </c>
      <c r="CC125">
        <v>5</v>
      </c>
      <c r="CD125">
        <v>1.74</v>
      </c>
      <c r="CE125">
        <v>3.98</v>
      </c>
      <c r="CF125">
        <v>4.9400000000000004</v>
      </c>
      <c r="CG125">
        <v>1.7</v>
      </c>
      <c r="CH125">
        <v>3.9</v>
      </c>
      <c r="CI125">
        <v>4.8</v>
      </c>
      <c r="CJ125">
        <v>1.71</v>
      </c>
      <c r="CK125">
        <v>4.07</v>
      </c>
      <c r="CL125">
        <v>5.01</v>
      </c>
      <c r="CM125">
        <v>1.83</v>
      </c>
      <c r="CN125">
        <v>4.07</v>
      </c>
      <c r="CO125">
        <v>5.01</v>
      </c>
      <c r="CP125">
        <v>1.72</v>
      </c>
      <c r="CQ125">
        <v>3.95</v>
      </c>
      <c r="CR125">
        <v>4.8600000000000003</v>
      </c>
      <c r="CS125">
        <v>1.75</v>
      </c>
      <c r="CT125">
        <v>4</v>
      </c>
      <c r="CU125">
        <v>5.4</v>
      </c>
      <c r="CV125">
        <v>1.73</v>
      </c>
      <c r="CW125">
        <v>2.1</v>
      </c>
      <c r="CX125">
        <v>1.8</v>
      </c>
      <c r="CY125">
        <v>2.1</v>
      </c>
      <c r="CZ125">
        <v>1.89</v>
      </c>
      <c r="DA125">
        <v>2.2000000000000002</v>
      </c>
      <c r="DB125">
        <v>1.77</v>
      </c>
      <c r="DC125">
        <v>2.09</v>
      </c>
      <c r="DD125">
        <v>1.84</v>
      </c>
      <c r="DE125">
        <v>2.16</v>
      </c>
      <c r="DF125">
        <v>-0.75</v>
      </c>
      <c r="DG125">
        <v>1.91</v>
      </c>
      <c r="DH125">
        <v>1.99</v>
      </c>
      <c r="DI125">
        <v>1.94</v>
      </c>
      <c r="DJ125">
        <v>1.98</v>
      </c>
      <c r="DK125">
        <v>1.95</v>
      </c>
      <c r="DL125">
        <v>2.02</v>
      </c>
      <c r="DM125">
        <v>1.9</v>
      </c>
      <c r="DN125">
        <v>1.95</v>
      </c>
      <c r="DO125">
        <v>1.96</v>
      </c>
      <c r="DP125">
        <v>2.02</v>
      </c>
    </row>
    <row r="126" spans="1:120" x14ac:dyDescent="0.3">
      <c r="A126" t="s">
        <v>120</v>
      </c>
      <c r="B126" t="s">
        <v>190</v>
      </c>
      <c r="C126" s="1">
        <v>0.625</v>
      </c>
      <c r="D126" t="s">
        <v>133</v>
      </c>
      <c r="E126" t="s">
        <v>142</v>
      </c>
      <c r="F126">
        <v>2</v>
      </c>
      <c r="G126">
        <v>4</v>
      </c>
      <c r="H126" t="s">
        <v>130</v>
      </c>
      <c r="I126">
        <v>1</v>
      </c>
      <c r="J126">
        <v>3</v>
      </c>
      <c r="K126" t="s">
        <v>130</v>
      </c>
      <c r="L126" t="s">
        <v>171</v>
      </c>
      <c r="M126">
        <v>10</v>
      </c>
      <c r="N126">
        <v>12</v>
      </c>
      <c r="O126">
        <v>3</v>
      </c>
      <c r="P126">
        <v>8</v>
      </c>
      <c r="Q126">
        <v>13</v>
      </c>
      <c r="R126">
        <v>11</v>
      </c>
      <c r="S126">
        <v>3</v>
      </c>
      <c r="T126">
        <v>4</v>
      </c>
      <c r="U126">
        <v>4</v>
      </c>
      <c r="V126">
        <v>1</v>
      </c>
      <c r="W126">
        <v>0</v>
      </c>
      <c r="X126">
        <v>0</v>
      </c>
      <c r="Y126">
        <v>2.8</v>
      </c>
      <c r="Z126">
        <v>3.6</v>
      </c>
      <c r="AA126">
        <v>2.4</v>
      </c>
      <c r="AB126">
        <v>2.65</v>
      </c>
      <c r="AC126">
        <v>3.6</v>
      </c>
      <c r="AD126">
        <v>2.5</v>
      </c>
      <c r="AE126">
        <v>2.75</v>
      </c>
      <c r="AF126">
        <v>3.6</v>
      </c>
      <c r="AG126">
        <v>2.5</v>
      </c>
      <c r="AH126">
        <v>2.86</v>
      </c>
      <c r="AI126">
        <v>3.6</v>
      </c>
      <c r="AJ126">
        <v>2.46</v>
      </c>
      <c r="AK126">
        <v>2.8</v>
      </c>
      <c r="AL126">
        <v>3.6</v>
      </c>
      <c r="AM126">
        <v>2.4</v>
      </c>
      <c r="AN126">
        <v>2.85</v>
      </c>
      <c r="AO126">
        <v>3.81</v>
      </c>
      <c r="AP126">
        <v>2.42</v>
      </c>
      <c r="AQ126">
        <v>2.93</v>
      </c>
      <c r="AR126">
        <v>3.81</v>
      </c>
      <c r="AS126">
        <v>2.5</v>
      </c>
      <c r="AT126">
        <v>2.81</v>
      </c>
      <c r="AU126">
        <v>3.61</v>
      </c>
      <c r="AV126">
        <v>2.44</v>
      </c>
      <c r="AW126">
        <v>2.9</v>
      </c>
      <c r="AX126">
        <v>3.7</v>
      </c>
      <c r="AY126">
        <v>2.58</v>
      </c>
      <c r="AZ126">
        <v>1.67</v>
      </c>
      <c r="BA126">
        <v>2.2000000000000002</v>
      </c>
      <c r="BB126">
        <v>1.67</v>
      </c>
      <c r="BC126">
        <v>2.31</v>
      </c>
      <c r="BD126">
        <v>1.69</v>
      </c>
      <c r="BE126">
        <v>2.34</v>
      </c>
      <c r="BF126">
        <v>1.65</v>
      </c>
      <c r="BG126">
        <v>2.27</v>
      </c>
      <c r="BH126">
        <v>1.7</v>
      </c>
      <c r="BI126">
        <v>2.38</v>
      </c>
      <c r="BJ126">
        <v>0</v>
      </c>
      <c r="BK126">
        <v>2.09</v>
      </c>
      <c r="BL126">
        <v>1.81</v>
      </c>
      <c r="BM126">
        <v>2.11</v>
      </c>
      <c r="BN126">
        <v>1.81</v>
      </c>
      <c r="BO126">
        <v>2.11</v>
      </c>
      <c r="BP126">
        <v>1.87</v>
      </c>
      <c r="BQ126">
        <v>2.0699999999999998</v>
      </c>
      <c r="BR126">
        <v>1.81</v>
      </c>
      <c r="BS126">
        <v>2.11</v>
      </c>
      <c r="BT126">
        <v>1.89</v>
      </c>
      <c r="BU126">
        <v>2.63</v>
      </c>
      <c r="BV126">
        <v>3.5</v>
      </c>
      <c r="BW126">
        <v>2.6</v>
      </c>
      <c r="BX126">
        <v>2.7</v>
      </c>
      <c r="BY126">
        <v>3.4</v>
      </c>
      <c r="BZ126">
        <v>2.5499999999999998</v>
      </c>
      <c r="CA126">
        <v>2.7</v>
      </c>
      <c r="CB126">
        <v>3.4</v>
      </c>
      <c r="CC126">
        <v>2.63</v>
      </c>
      <c r="CD126">
        <v>2.75</v>
      </c>
      <c r="CE126">
        <v>3.48</v>
      </c>
      <c r="CF126">
        <v>2.66</v>
      </c>
      <c r="CG126">
        <v>2.7</v>
      </c>
      <c r="CH126">
        <v>3.4</v>
      </c>
      <c r="CI126">
        <v>2.6</v>
      </c>
      <c r="CJ126">
        <v>2.58</v>
      </c>
      <c r="CK126">
        <v>3.57</v>
      </c>
      <c r="CL126">
        <v>2.74</v>
      </c>
      <c r="CM126">
        <v>2.9</v>
      </c>
      <c r="CN126">
        <v>3.6</v>
      </c>
      <c r="CO126">
        <v>2.74</v>
      </c>
      <c r="CP126">
        <v>2.71</v>
      </c>
      <c r="CQ126">
        <v>3.47</v>
      </c>
      <c r="CR126">
        <v>2.62</v>
      </c>
      <c r="CS126">
        <v>2.78</v>
      </c>
      <c r="CT126">
        <v>3.55</v>
      </c>
      <c r="CU126">
        <v>2.74</v>
      </c>
      <c r="CV126">
        <v>1.73</v>
      </c>
      <c r="CW126">
        <v>2.1</v>
      </c>
      <c r="CX126">
        <v>1.77</v>
      </c>
      <c r="CY126">
        <v>2.14</v>
      </c>
      <c r="CZ126">
        <v>1.82</v>
      </c>
      <c r="DA126">
        <v>2.23</v>
      </c>
      <c r="DB126">
        <v>1.75</v>
      </c>
      <c r="DC126">
        <v>2.13</v>
      </c>
      <c r="DD126">
        <v>1.81</v>
      </c>
      <c r="DE126">
        <v>2.2000000000000002</v>
      </c>
      <c r="DF126">
        <v>0</v>
      </c>
      <c r="DG126">
        <v>1.98</v>
      </c>
      <c r="DH126">
        <v>1.92</v>
      </c>
      <c r="DI126">
        <v>1.99</v>
      </c>
      <c r="DJ126">
        <v>1.93</v>
      </c>
      <c r="DK126">
        <v>2</v>
      </c>
      <c r="DL126">
        <v>1.96</v>
      </c>
      <c r="DM126">
        <v>1.96</v>
      </c>
      <c r="DN126">
        <v>1.92</v>
      </c>
      <c r="DO126">
        <v>2</v>
      </c>
      <c r="DP126">
        <v>1.97</v>
      </c>
    </row>
    <row r="127" spans="1:120" x14ac:dyDescent="0.3">
      <c r="A127" t="s">
        <v>120</v>
      </c>
      <c r="B127" t="s">
        <v>190</v>
      </c>
      <c r="C127" s="1">
        <v>0.72916666666666663</v>
      </c>
      <c r="D127" t="s">
        <v>144</v>
      </c>
      <c r="E127" t="s">
        <v>132</v>
      </c>
      <c r="F127">
        <v>2</v>
      </c>
      <c r="G127">
        <v>5</v>
      </c>
      <c r="H127" t="s">
        <v>130</v>
      </c>
      <c r="I127">
        <v>2</v>
      </c>
      <c r="J127">
        <v>5</v>
      </c>
      <c r="K127" t="s">
        <v>130</v>
      </c>
      <c r="L127" t="s">
        <v>153</v>
      </c>
      <c r="M127">
        <v>12</v>
      </c>
      <c r="N127">
        <v>16</v>
      </c>
      <c r="O127">
        <v>5</v>
      </c>
      <c r="P127">
        <v>7</v>
      </c>
      <c r="Q127">
        <v>10</v>
      </c>
      <c r="R127">
        <v>13</v>
      </c>
      <c r="S127">
        <v>2</v>
      </c>
      <c r="T127">
        <v>10</v>
      </c>
      <c r="U127">
        <v>4</v>
      </c>
      <c r="V127">
        <v>1</v>
      </c>
      <c r="W127">
        <v>0</v>
      </c>
      <c r="X127">
        <v>0</v>
      </c>
      <c r="Y127">
        <v>7</v>
      </c>
      <c r="Z127">
        <v>4.5</v>
      </c>
      <c r="AA127">
        <v>1.45</v>
      </c>
      <c r="AB127">
        <v>6.5</v>
      </c>
      <c r="AC127">
        <v>4.5</v>
      </c>
      <c r="AD127">
        <v>1.49</v>
      </c>
      <c r="AE127">
        <v>7</v>
      </c>
      <c r="AF127">
        <v>4.75</v>
      </c>
      <c r="AG127">
        <v>1.44</v>
      </c>
      <c r="AH127">
        <v>7.07</v>
      </c>
      <c r="AI127">
        <v>4.76</v>
      </c>
      <c r="AJ127">
        <v>1.46</v>
      </c>
      <c r="AK127">
        <v>7.5</v>
      </c>
      <c r="AL127">
        <v>4.5</v>
      </c>
      <c r="AM127">
        <v>1.44</v>
      </c>
      <c r="AN127">
        <v>7.24</v>
      </c>
      <c r="AO127">
        <v>4.84</v>
      </c>
      <c r="AP127">
        <v>1.47</v>
      </c>
      <c r="AQ127">
        <v>7.5</v>
      </c>
      <c r="AR127">
        <v>4.9000000000000004</v>
      </c>
      <c r="AS127">
        <v>1.49</v>
      </c>
      <c r="AT127">
        <v>7.09</v>
      </c>
      <c r="AU127">
        <v>4.68</v>
      </c>
      <c r="AV127">
        <v>1.46</v>
      </c>
      <c r="AW127">
        <v>7.6</v>
      </c>
      <c r="AX127">
        <v>5</v>
      </c>
      <c r="AY127">
        <v>1.48</v>
      </c>
      <c r="AZ127">
        <v>1.73</v>
      </c>
      <c r="BA127">
        <v>2.1</v>
      </c>
      <c r="BB127">
        <v>1.71</v>
      </c>
      <c r="BC127">
        <v>2.21</v>
      </c>
      <c r="BD127">
        <v>1.74</v>
      </c>
      <c r="BE127">
        <v>2.2799999999999998</v>
      </c>
      <c r="BF127">
        <v>1.7</v>
      </c>
      <c r="BG127">
        <v>2.19</v>
      </c>
      <c r="BH127">
        <v>1.73</v>
      </c>
      <c r="BI127">
        <v>2.3199999999999998</v>
      </c>
      <c r="BJ127">
        <v>1.25</v>
      </c>
      <c r="BK127">
        <v>1.87</v>
      </c>
      <c r="BL127">
        <v>2.0299999999999998</v>
      </c>
      <c r="BM127">
        <v>1.89</v>
      </c>
      <c r="BN127">
        <v>2.02</v>
      </c>
      <c r="BO127">
        <v>1.89</v>
      </c>
      <c r="BP127">
        <v>2.06</v>
      </c>
      <c r="BQ127">
        <v>1.85</v>
      </c>
      <c r="BR127">
        <v>1.99</v>
      </c>
      <c r="BS127">
        <v>1.91</v>
      </c>
      <c r="BT127">
        <v>2.0299999999999998</v>
      </c>
      <c r="BU127">
        <v>7</v>
      </c>
      <c r="BV127">
        <v>4.5</v>
      </c>
      <c r="BW127">
        <v>1.42</v>
      </c>
      <c r="BX127">
        <v>7</v>
      </c>
      <c r="BY127">
        <v>4.75</v>
      </c>
      <c r="BZ127">
        <v>1.44</v>
      </c>
      <c r="CA127">
        <v>7.5</v>
      </c>
      <c r="CB127">
        <v>4.75</v>
      </c>
      <c r="CC127">
        <v>1.36</v>
      </c>
      <c r="CD127">
        <v>7.34</v>
      </c>
      <c r="CE127">
        <v>4.8899999999999997</v>
      </c>
      <c r="CF127">
        <v>1.45</v>
      </c>
      <c r="CG127">
        <v>7.5</v>
      </c>
      <c r="CH127">
        <v>4.5999999999999996</v>
      </c>
      <c r="CI127">
        <v>1.44</v>
      </c>
      <c r="CJ127">
        <v>7.26</v>
      </c>
      <c r="CK127">
        <v>4.67</v>
      </c>
      <c r="CL127">
        <v>1.48</v>
      </c>
      <c r="CM127">
        <v>8</v>
      </c>
      <c r="CN127">
        <v>5</v>
      </c>
      <c r="CO127">
        <v>1.48</v>
      </c>
      <c r="CP127">
        <v>7.37</v>
      </c>
      <c r="CQ127">
        <v>4.78</v>
      </c>
      <c r="CR127">
        <v>1.44</v>
      </c>
      <c r="CS127">
        <v>8.1999999999999993</v>
      </c>
      <c r="CT127">
        <v>5.2</v>
      </c>
      <c r="CU127">
        <v>1.45</v>
      </c>
      <c r="CV127">
        <v>1.67</v>
      </c>
      <c r="CW127">
        <v>2.2000000000000002</v>
      </c>
      <c r="CX127">
        <v>1.66</v>
      </c>
      <c r="CY127">
        <v>2.3199999999999998</v>
      </c>
      <c r="CZ127">
        <v>1.73</v>
      </c>
      <c r="DA127">
        <v>2.38</v>
      </c>
      <c r="DB127">
        <v>1.66</v>
      </c>
      <c r="DC127">
        <v>2.2599999999999998</v>
      </c>
      <c r="DD127">
        <v>1.71</v>
      </c>
      <c r="DE127">
        <v>2.38</v>
      </c>
      <c r="DF127">
        <v>1.25</v>
      </c>
      <c r="DG127">
        <v>1.92</v>
      </c>
      <c r="DH127">
        <v>1.98</v>
      </c>
      <c r="DI127">
        <v>1.94</v>
      </c>
      <c r="DJ127">
        <v>1.98</v>
      </c>
      <c r="DK127">
        <v>1.95</v>
      </c>
      <c r="DL127">
        <v>2.02</v>
      </c>
      <c r="DM127">
        <v>1.9</v>
      </c>
      <c r="DN127">
        <v>1.96</v>
      </c>
      <c r="DO127">
        <v>1.98</v>
      </c>
      <c r="DP127">
        <v>2.0099999999999998</v>
      </c>
    </row>
    <row r="128" spans="1:120" x14ac:dyDescent="0.3">
      <c r="A128" t="s">
        <v>120</v>
      </c>
      <c r="B128" s="2">
        <v>45303</v>
      </c>
      <c r="C128" s="1">
        <v>0.5625</v>
      </c>
      <c r="D128" t="s">
        <v>151</v>
      </c>
      <c r="E128" t="s">
        <v>145</v>
      </c>
      <c r="F128">
        <v>3</v>
      </c>
      <c r="G128">
        <v>0</v>
      </c>
      <c r="H128" t="s">
        <v>124</v>
      </c>
      <c r="I128">
        <v>2</v>
      </c>
      <c r="J128">
        <v>0</v>
      </c>
      <c r="K128" t="s">
        <v>124</v>
      </c>
      <c r="L128" t="s">
        <v>164</v>
      </c>
      <c r="M128">
        <v>17</v>
      </c>
      <c r="N128">
        <v>10</v>
      </c>
      <c r="O128">
        <v>8</v>
      </c>
      <c r="P128">
        <v>4</v>
      </c>
      <c r="Q128">
        <v>21</v>
      </c>
      <c r="R128">
        <v>6</v>
      </c>
      <c r="S128">
        <v>3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1.7</v>
      </c>
      <c r="Z128">
        <v>4.0999999999999996</v>
      </c>
      <c r="AA128">
        <v>4.5</v>
      </c>
      <c r="AB128">
        <v>1.75</v>
      </c>
      <c r="AC128">
        <v>4.0999999999999996</v>
      </c>
      <c r="AD128">
        <v>4.33</v>
      </c>
      <c r="AE128">
        <v>1.7</v>
      </c>
      <c r="AF128">
        <v>4.2</v>
      </c>
      <c r="AG128">
        <v>4.5999999999999996</v>
      </c>
      <c r="AH128">
        <v>1.7</v>
      </c>
      <c r="AI128">
        <v>4.3</v>
      </c>
      <c r="AJ128">
        <v>4.5999999999999996</v>
      </c>
      <c r="AK128">
        <v>1.73</v>
      </c>
      <c r="AL128">
        <v>4.2</v>
      </c>
      <c r="AM128">
        <v>4.4000000000000004</v>
      </c>
      <c r="AN128">
        <v>1.74</v>
      </c>
      <c r="AO128">
        <v>4.33</v>
      </c>
      <c r="AP128">
        <v>4.53</v>
      </c>
      <c r="AQ128">
        <v>1.75</v>
      </c>
      <c r="AR128">
        <v>4.3499999999999996</v>
      </c>
      <c r="AS128">
        <v>4.7</v>
      </c>
      <c r="AT128">
        <v>1.71</v>
      </c>
      <c r="AU128">
        <v>4.21</v>
      </c>
      <c r="AV128">
        <v>4.51</v>
      </c>
      <c r="AW128">
        <v>1.74</v>
      </c>
      <c r="AX128">
        <v>4.4000000000000004</v>
      </c>
      <c r="AY128">
        <v>5</v>
      </c>
      <c r="AZ128">
        <v>1.53</v>
      </c>
      <c r="BA128">
        <v>2.5</v>
      </c>
      <c r="BB128">
        <v>1.56</v>
      </c>
      <c r="BC128">
        <v>2.54</v>
      </c>
      <c r="BD128">
        <v>1.56</v>
      </c>
      <c r="BE128">
        <v>2.6</v>
      </c>
      <c r="BF128">
        <v>1.53</v>
      </c>
      <c r="BG128">
        <v>2.5099999999999998</v>
      </c>
      <c r="BH128">
        <v>1.57</v>
      </c>
      <c r="BI128">
        <v>2.64</v>
      </c>
      <c r="BJ128">
        <v>-0.75</v>
      </c>
      <c r="BK128">
        <v>1.89</v>
      </c>
      <c r="BL128">
        <v>2.0099999999999998</v>
      </c>
      <c r="BM128">
        <v>1.89</v>
      </c>
      <c r="BN128">
        <v>2.0099999999999998</v>
      </c>
      <c r="BO128">
        <v>1.91</v>
      </c>
      <c r="BP128">
        <v>2.02</v>
      </c>
      <c r="BQ128">
        <v>1.87</v>
      </c>
      <c r="BR128">
        <v>1.96</v>
      </c>
      <c r="BS128">
        <v>1.92</v>
      </c>
      <c r="BT128">
        <v>2.0299999999999998</v>
      </c>
      <c r="BU128">
        <v>1.7</v>
      </c>
      <c r="BV128">
        <v>4</v>
      </c>
      <c r="BW128">
        <v>4.5</v>
      </c>
      <c r="BX128">
        <v>1.72</v>
      </c>
      <c r="BY128">
        <v>4.0999999999999996</v>
      </c>
      <c r="BZ128">
        <v>4.5</v>
      </c>
      <c r="CA128">
        <v>1.67</v>
      </c>
      <c r="CB128">
        <v>3.9</v>
      </c>
      <c r="CC128">
        <v>4.75</v>
      </c>
      <c r="CD128">
        <v>1.75</v>
      </c>
      <c r="CE128">
        <v>4.07</v>
      </c>
      <c r="CF128">
        <v>4.6900000000000004</v>
      </c>
      <c r="CG128">
        <v>1.7</v>
      </c>
      <c r="CH128">
        <v>4</v>
      </c>
      <c r="CI128">
        <v>4.75</v>
      </c>
      <c r="CJ128">
        <v>1.7</v>
      </c>
      <c r="CK128">
        <v>4.24</v>
      </c>
      <c r="CL128">
        <v>4.8499999999999996</v>
      </c>
      <c r="CM128">
        <v>1.77</v>
      </c>
      <c r="CN128">
        <v>4.3</v>
      </c>
      <c r="CO128">
        <v>4.8499999999999996</v>
      </c>
      <c r="CP128">
        <v>1.72</v>
      </c>
      <c r="CQ128">
        <v>4.08</v>
      </c>
      <c r="CR128">
        <v>4.66</v>
      </c>
      <c r="CS128">
        <v>1.75</v>
      </c>
      <c r="CT128">
        <v>4.2</v>
      </c>
      <c r="CU128">
        <v>5.0999999999999996</v>
      </c>
      <c r="CV128">
        <v>1.57</v>
      </c>
      <c r="CW128">
        <v>2.38</v>
      </c>
      <c r="CX128">
        <v>1.58</v>
      </c>
      <c r="CY128">
        <v>2.5</v>
      </c>
      <c r="CZ128">
        <v>1.58</v>
      </c>
      <c r="DA128">
        <v>2.6</v>
      </c>
      <c r="DB128">
        <v>1.56</v>
      </c>
      <c r="DC128">
        <v>2.48</v>
      </c>
      <c r="DD128">
        <v>1.61</v>
      </c>
      <c r="DE128">
        <v>2.6</v>
      </c>
      <c r="DF128">
        <v>-0.75</v>
      </c>
      <c r="DG128">
        <v>1.97</v>
      </c>
      <c r="DH128">
        <v>1.96</v>
      </c>
      <c r="DI128">
        <v>1.96</v>
      </c>
      <c r="DJ128">
        <v>1.96</v>
      </c>
      <c r="DK128">
        <v>1.99</v>
      </c>
      <c r="DL128">
        <v>2.0299999999999998</v>
      </c>
      <c r="DM128">
        <v>1.9</v>
      </c>
      <c r="DN128">
        <v>1.96</v>
      </c>
      <c r="DO128">
        <v>1.93</v>
      </c>
      <c r="DP128">
        <v>2.04</v>
      </c>
    </row>
    <row r="129" spans="1:120" x14ac:dyDescent="0.3">
      <c r="A129" t="s">
        <v>120</v>
      </c>
      <c r="B129" s="2">
        <v>45303</v>
      </c>
      <c r="C129" s="1">
        <v>0.5625</v>
      </c>
      <c r="D129" t="s">
        <v>122</v>
      </c>
      <c r="E129" t="s">
        <v>135</v>
      </c>
      <c r="F129">
        <v>4</v>
      </c>
      <c r="G129">
        <v>0</v>
      </c>
      <c r="H129" t="s">
        <v>124</v>
      </c>
      <c r="I129">
        <v>2</v>
      </c>
      <c r="J129">
        <v>0</v>
      </c>
      <c r="K129" t="s">
        <v>124</v>
      </c>
      <c r="L129" t="s">
        <v>173</v>
      </c>
      <c r="M129">
        <v>11</v>
      </c>
      <c r="N129">
        <v>8</v>
      </c>
      <c r="O129">
        <v>5</v>
      </c>
      <c r="P129">
        <v>2</v>
      </c>
      <c r="Q129">
        <v>12</v>
      </c>
      <c r="R129">
        <v>12</v>
      </c>
      <c r="S129">
        <v>2</v>
      </c>
      <c r="T129">
        <v>2</v>
      </c>
      <c r="U129">
        <v>2</v>
      </c>
      <c r="V129">
        <v>3</v>
      </c>
      <c r="W129">
        <v>0</v>
      </c>
      <c r="X129">
        <v>0</v>
      </c>
      <c r="Y129">
        <v>1.53</v>
      </c>
      <c r="Z129">
        <v>4.2</v>
      </c>
      <c r="AA129">
        <v>6</v>
      </c>
      <c r="AB129">
        <v>1.51</v>
      </c>
      <c r="AC129">
        <v>4.5</v>
      </c>
      <c r="AD129">
        <v>6.25</v>
      </c>
      <c r="AE129">
        <v>1.5</v>
      </c>
      <c r="AF129">
        <v>4.33</v>
      </c>
      <c r="AG129">
        <v>6.5</v>
      </c>
      <c r="AH129">
        <v>1.55</v>
      </c>
      <c r="AI129">
        <v>4.3600000000000003</v>
      </c>
      <c r="AJ129">
        <v>6.17</v>
      </c>
      <c r="AK129">
        <v>1.53</v>
      </c>
      <c r="AL129">
        <v>4.33</v>
      </c>
      <c r="AM129">
        <v>6</v>
      </c>
      <c r="AN129">
        <v>1.56</v>
      </c>
      <c r="AO129">
        <v>4.4800000000000004</v>
      </c>
      <c r="AP129">
        <v>6.21</v>
      </c>
      <c r="AQ129">
        <v>1.56</v>
      </c>
      <c r="AR129">
        <v>4.5</v>
      </c>
      <c r="AS129">
        <v>6.5</v>
      </c>
      <c r="AT129">
        <v>1.54</v>
      </c>
      <c r="AU129">
        <v>4.33</v>
      </c>
      <c r="AV129">
        <v>6.08</v>
      </c>
      <c r="AW129">
        <v>1.56</v>
      </c>
      <c r="AX129">
        <v>4.5999999999999996</v>
      </c>
      <c r="AY129">
        <v>7</v>
      </c>
      <c r="AZ129">
        <v>1.73</v>
      </c>
      <c r="BA129">
        <v>2.1</v>
      </c>
      <c r="BB129">
        <v>1.78</v>
      </c>
      <c r="BC129">
        <v>2.11</v>
      </c>
      <c r="BD129">
        <v>1.8</v>
      </c>
      <c r="BE129">
        <v>2.17</v>
      </c>
      <c r="BF129">
        <v>1.75</v>
      </c>
      <c r="BG129">
        <v>2.11</v>
      </c>
      <c r="BH129">
        <v>1.8</v>
      </c>
      <c r="BI129">
        <v>2.14</v>
      </c>
      <c r="BJ129">
        <v>-1</v>
      </c>
      <c r="BK129">
        <v>1.93</v>
      </c>
      <c r="BL129">
        <v>1.97</v>
      </c>
      <c r="BM129">
        <v>1.94</v>
      </c>
      <c r="BN129">
        <v>1.96</v>
      </c>
      <c r="BO129">
        <v>1.95</v>
      </c>
      <c r="BP129">
        <v>1.99</v>
      </c>
      <c r="BQ129">
        <v>1.9</v>
      </c>
      <c r="BR129">
        <v>1.95</v>
      </c>
      <c r="BS129">
        <v>1.91</v>
      </c>
      <c r="BT129">
        <v>2.0299999999999998</v>
      </c>
      <c r="BU129">
        <v>1.57</v>
      </c>
      <c r="BV129">
        <v>4</v>
      </c>
      <c r="BW129">
        <v>5.75</v>
      </c>
      <c r="BX129">
        <v>1.6</v>
      </c>
      <c r="BY129">
        <v>4.0999999999999996</v>
      </c>
      <c r="BZ129">
        <v>5.5</v>
      </c>
      <c r="CA129">
        <v>1.57</v>
      </c>
      <c r="CB129">
        <v>3.9</v>
      </c>
      <c r="CC129">
        <v>5.5</v>
      </c>
      <c r="CD129">
        <v>1.62</v>
      </c>
      <c r="CE129">
        <v>4.07</v>
      </c>
      <c r="CF129">
        <v>5.98</v>
      </c>
      <c r="CG129">
        <v>1.62</v>
      </c>
      <c r="CH129">
        <v>4</v>
      </c>
      <c r="CI129">
        <v>5.5</v>
      </c>
      <c r="CJ129">
        <v>1.64</v>
      </c>
      <c r="CK129">
        <v>4</v>
      </c>
      <c r="CL129">
        <v>5.91</v>
      </c>
      <c r="CM129">
        <v>1.67</v>
      </c>
      <c r="CN129">
        <v>4.25</v>
      </c>
      <c r="CO129">
        <v>6.01</v>
      </c>
      <c r="CP129">
        <v>1.62</v>
      </c>
      <c r="CQ129">
        <v>4.05</v>
      </c>
      <c r="CR129">
        <v>5.68</v>
      </c>
      <c r="CS129">
        <v>1.61</v>
      </c>
      <c r="CT129">
        <v>4.2</v>
      </c>
      <c r="CU129">
        <v>6.6</v>
      </c>
      <c r="CV129">
        <v>1.8</v>
      </c>
      <c r="CW129">
        <v>2</v>
      </c>
      <c r="CX129">
        <v>1.85</v>
      </c>
      <c r="CY129">
        <v>2.06</v>
      </c>
      <c r="CZ129">
        <v>1.85</v>
      </c>
      <c r="DA129">
        <v>2.13</v>
      </c>
      <c r="DB129">
        <v>1.8</v>
      </c>
      <c r="DC129">
        <v>2.0499999999999998</v>
      </c>
      <c r="DD129">
        <v>1.86</v>
      </c>
      <c r="DE129">
        <v>2.14</v>
      </c>
      <c r="DF129">
        <v>-1</v>
      </c>
      <c r="DG129">
        <v>2.0499999999999998</v>
      </c>
      <c r="DH129">
        <v>1.88</v>
      </c>
      <c r="DI129">
        <v>2.0699999999999998</v>
      </c>
      <c r="DJ129">
        <v>1.86</v>
      </c>
      <c r="DK129">
        <v>2.17</v>
      </c>
      <c r="DL129">
        <v>1.9</v>
      </c>
      <c r="DM129">
        <v>2.0499999999999998</v>
      </c>
      <c r="DN129">
        <v>1.83</v>
      </c>
      <c r="DO129">
        <v>2.06</v>
      </c>
      <c r="DP129">
        <v>1.92</v>
      </c>
    </row>
    <row r="130" spans="1:120" x14ac:dyDescent="0.3">
      <c r="A130" t="s">
        <v>120</v>
      </c>
      <c r="B130" s="2">
        <v>45303</v>
      </c>
      <c r="C130" s="1">
        <v>0.5625</v>
      </c>
      <c r="D130" t="s">
        <v>156</v>
      </c>
      <c r="E130" t="s">
        <v>123</v>
      </c>
      <c r="F130">
        <v>1</v>
      </c>
      <c r="G130">
        <v>1</v>
      </c>
      <c r="H130" t="s">
        <v>125</v>
      </c>
      <c r="I130">
        <v>0</v>
      </c>
      <c r="J130">
        <v>0</v>
      </c>
      <c r="K130" t="s">
        <v>125</v>
      </c>
      <c r="L130" t="s">
        <v>159</v>
      </c>
      <c r="M130">
        <v>8</v>
      </c>
      <c r="N130">
        <v>14</v>
      </c>
      <c r="O130">
        <v>3</v>
      </c>
      <c r="P130">
        <v>6</v>
      </c>
      <c r="Q130">
        <v>4</v>
      </c>
      <c r="R130">
        <v>14</v>
      </c>
      <c r="S130">
        <v>7</v>
      </c>
      <c r="T130">
        <v>11</v>
      </c>
      <c r="U130">
        <v>0</v>
      </c>
      <c r="V130">
        <v>1</v>
      </c>
      <c r="W130">
        <v>0</v>
      </c>
      <c r="X130">
        <v>1</v>
      </c>
      <c r="Y130">
        <v>1.7</v>
      </c>
      <c r="Z130">
        <v>4.5</v>
      </c>
      <c r="AA130">
        <v>4.0999999999999996</v>
      </c>
      <c r="AB130">
        <v>1.7</v>
      </c>
      <c r="AC130">
        <v>4.33</v>
      </c>
      <c r="AD130">
        <v>4.33</v>
      </c>
      <c r="AE130">
        <v>1.7</v>
      </c>
      <c r="AF130">
        <v>4.4000000000000004</v>
      </c>
      <c r="AG130">
        <v>4.33</v>
      </c>
      <c r="AH130">
        <v>1.75</v>
      </c>
      <c r="AI130">
        <v>4.3499999999999996</v>
      </c>
      <c r="AJ130">
        <v>4.28</v>
      </c>
      <c r="AK130">
        <v>1.73</v>
      </c>
      <c r="AL130">
        <v>4.2</v>
      </c>
      <c r="AM130">
        <v>4.33</v>
      </c>
      <c r="AN130">
        <v>1.77</v>
      </c>
      <c r="AO130">
        <v>4.38</v>
      </c>
      <c r="AP130">
        <v>4.28</v>
      </c>
      <c r="AQ130">
        <v>1.77</v>
      </c>
      <c r="AR130">
        <v>4.5</v>
      </c>
      <c r="AS130">
        <v>4.4000000000000004</v>
      </c>
      <c r="AT130">
        <v>1.72</v>
      </c>
      <c r="AU130">
        <v>4.3499999999999996</v>
      </c>
      <c r="AV130">
        <v>4.24</v>
      </c>
      <c r="AW130">
        <v>1.75</v>
      </c>
      <c r="AX130">
        <v>4.5999999999999996</v>
      </c>
      <c r="AY130">
        <v>4.5</v>
      </c>
      <c r="AZ130">
        <v>1.44</v>
      </c>
      <c r="BA130">
        <v>2.75</v>
      </c>
      <c r="BB130">
        <v>1.44</v>
      </c>
      <c r="BC130">
        <v>2.89</v>
      </c>
      <c r="BD130">
        <v>1.45</v>
      </c>
      <c r="BE130">
        <v>2.98</v>
      </c>
      <c r="BF130">
        <v>1.42</v>
      </c>
      <c r="BG130">
        <v>2.84</v>
      </c>
      <c r="BH130">
        <v>1.46</v>
      </c>
      <c r="BI130">
        <v>3</v>
      </c>
      <c r="BJ130">
        <v>-0.75</v>
      </c>
      <c r="BK130">
        <v>1.91</v>
      </c>
      <c r="BL130">
        <v>1.99</v>
      </c>
      <c r="BM130">
        <v>1.94</v>
      </c>
      <c r="BN130">
        <v>1.96</v>
      </c>
      <c r="BO130">
        <v>1.94</v>
      </c>
      <c r="BP130">
        <v>2</v>
      </c>
      <c r="BQ130">
        <v>1.89</v>
      </c>
      <c r="BR130">
        <v>1.94</v>
      </c>
      <c r="BS130">
        <v>1.93</v>
      </c>
      <c r="BT130">
        <v>2.0499999999999998</v>
      </c>
      <c r="BU130">
        <v>1.95</v>
      </c>
      <c r="BV130">
        <v>4.2</v>
      </c>
      <c r="BW130">
        <v>3.3</v>
      </c>
      <c r="BX130">
        <v>1.95</v>
      </c>
      <c r="BY130">
        <v>4</v>
      </c>
      <c r="BZ130">
        <v>3.5</v>
      </c>
      <c r="CA130">
        <v>1.9</v>
      </c>
      <c r="CB130">
        <v>3.9</v>
      </c>
      <c r="CC130">
        <v>3.6</v>
      </c>
      <c r="CD130">
        <v>1.98</v>
      </c>
      <c r="CE130">
        <v>4.0599999999999996</v>
      </c>
      <c r="CF130">
        <v>3.61</v>
      </c>
      <c r="CG130">
        <v>1.91</v>
      </c>
      <c r="CH130">
        <v>4.2</v>
      </c>
      <c r="CI130">
        <v>3.5</v>
      </c>
      <c r="CJ130">
        <v>1.9</v>
      </c>
      <c r="CK130">
        <v>4.41</v>
      </c>
      <c r="CL130">
        <v>3.62</v>
      </c>
      <c r="CM130">
        <v>2.02</v>
      </c>
      <c r="CN130">
        <v>4.41</v>
      </c>
      <c r="CO130">
        <v>3.73</v>
      </c>
      <c r="CP130">
        <v>1.95</v>
      </c>
      <c r="CQ130">
        <v>4.07</v>
      </c>
      <c r="CR130">
        <v>3.56</v>
      </c>
      <c r="CS130">
        <v>1.99</v>
      </c>
      <c r="CT130">
        <v>4.0999999999999996</v>
      </c>
      <c r="CU130">
        <v>3.85</v>
      </c>
      <c r="CV130">
        <v>1.4</v>
      </c>
      <c r="CW130">
        <v>3</v>
      </c>
      <c r="CX130">
        <v>1.43</v>
      </c>
      <c r="CY130">
        <v>2.98</v>
      </c>
      <c r="CZ130">
        <v>1.48</v>
      </c>
      <c r="DA130">
        <v>3.14</v>
      </c>
      <c r="DB130">
        <v>1.42</v>
      </c>
      <c r="DC130">
        <v>2.92</v>
      </c>
      <c r="DD130">
        <v>1.45</v>
      </c>
      <c r="DE130">
        <v>3.2</v>
      </c>
      <c r="DF130">
        <v>-0.5</v>
      </c>
      <c r="DG130">
        <v>2</v>
      </c>
      <c r="DH130">
        <v>1.93</v>
      </c>
      <c r="DI130">
        <v>1.99</v>
      </c>
      <c r="DJ130">
        <v>1.93</v>
      </c>
      <c r="DK130">
        <v>2</v>
      </c>
      <c r="DL130">
        <v>1.96</v>
      </c>
      <c r="DM130">
        <v>1.95</v>
      </c>
      <c r="DN130">
        <v>1.91</v>
      </c>
      <c r="DO130">
        <v>1.99</v>
      </c>
      <c r="DP130">
        <v>2</v>
      </c>
    </row>
    <row r="131" spans="1:120" x14ac:dyDescent="0.3">
      <c r="A131" t="s">
        <v>120</v>
      </c>
      <c r="B131" s="2">
        <v>45303</v>
      </c>
      <c r="C131" s="1">
        <v>0.66666666666666663</v>
      </c>
      <c r="D131" t="s">
        <v>129</v>
      </c>
      <c r="E131" t="s">
        <v>152</v>
      </c>
      <c r="F131">
        <v>2</v>
      </c>
      <c r="G131">
        <v>0</v>
      </c>
      <c r="H131" t="s">
        <v>124</v>
      </c>
      <c r="I131">
        <v>1</v>
      </c>
      <c r="J131">
        <v>0</v>
      </c>
      <c r="K131" t="s">
        <v>124</v>
      </c>
      <c r="L131" t="s">
        <v>157</v>
      </c>
      <c r="M131">
        <v>18</v>
      </c>
      <c r="N131">
        <v>8</v>
      </c>
      <c r="O131">
        <v>7</v>
      </c>
      <c r="P131">
        <v>2</v>
      </c>
      <c r="Q131">
        <v>9</v>
      </c>
      <c r="R131">
        <v>8</v>
      </c>
      <c r="S131">
        <v>7</v>
      </c>
      <c r="T131">
        <v>4</v>
      </c>
      <c r="U131">
        <v>1</v>
      </c>
      <c r="V131">
        <v>3</v>
      </c>
      <c r="W131">
        <v>0</v>
      </c>
      <c r="X131">
        <v>0</v>
      </c>
      <c r="Y131">
        <v>2.1</v>
      </c>
      <c r="Z131">
        <v>3.6</v>
      </c>
      <c r="AA131">
        <v>3.3</v>
      </c>
      <c r="AB131">
        <v>2.1</v>
      </c>
      <c r="AC131">
        <v>3.75</v>
      </c>
      <c r="AD131">
        <v>3.25</v>
      </c>
      <c r="AE131">
        <v>2.1</v>
      </c>
      <c r="AF131">
        <v>3.7</v>
      </c>
      <c r="AG131">
        <v>3.5</v>
      </c>
      <c r="AH131">
        <v>2.08</v>
      </c>
      <c r="AI131">
        <v>3.76</v>
      </c>
      <c r="AJ131">
        <v>3.48</v>
      </c>
      <c r="AK131">
        <v>2.1</v>
      </c>
      <c r="AL131">
        <v>3.6</v>
      </c>
      <c r="AM131">
        <v>3.4</v>
      </c>
      <c r="AN131">
        <v>2.14</v>
      </c>
      <c r="AO131">
        <v>3.71</v>
      </c>
      <c r="AP131">
        <v>3.46</v>
      </c>
      <c r="AQ131">
        <v>2.14</v>
      </c>
      <c r="AR131">
        <v>3.8</v>
      </c>
      <c r="AS131">
        <v>3.55</v>
      </c>
      <c r="AT131">
        <v>2.09</v>
      </c>
      <c r="AU131">
        <v>3.7</v>
      </c>
      <c r="AV131">
        <v>3.37</v>
      </c>
      <c r="AW131">
        <v>2.14</v>
      </c>
      <c r="AX131">
        <v>3.85</v>
      </c>
      <c r="AY131">
        <v>3.55</v>
      </c>
      <c r="AZ131">
        <v>1.57</v>
      </c>
      <c r="BA131">
        <v>2.38</v>
      </c>
      <c r="BB131">
        <v>1.58</v>
      </c>
      <c r="BC131">
        <v>2.5</v>
      </c>
      <c r="BD131">
        <v>1.58</v>
      </c>
      <c r="BE131">
        <v>2.5099999999999998</v>
      </c>
      <c r="BF131">
        <v>1.54</v>
      </c>
      <c r="BG131">
        <v>2.42</v>
      </c>
      <c r="BH131">
        <v>1.57</v>
      </c>
      <c r="BI131">
        <v>2.58</v>
      </c>
      <c r="BJ131">
        <v>-0.25</v>
      </c>
      <c r="BK131">
        <v>1.85</v>
      </c>
      <c r="BL131">
        <v>2.0499999999999998</v>
      </c>
      <c r="BM131">
        <v>1.81</v>
      </c>
      <c r="BN131">
        <v>2.09</v>
      </c>
      <c r="BO131">
        <v>1.86</v>
      </c>
      <c r="BP131">
        <v>2.1</v>
      </c>
      <c r="BQ131">
        <v>1.8</v>
      </c>
      <c r="BR131">
        <v>2.04</v>
      </c>
      <c r="BS131">
        <v>1.87</v>
      </c>
      <c r="BT131">
        <v>2.13</v>
      </c>
      <c r="BU131">
        <v>2</v>
      </c>
      <c r="BV131">
        <v>3.8</v>
      </c>
      <c r="BW131">
        <v>3.5</v>
      </c>
      <c r="BX131">
        <v>2</v>
      </c>
      <c r="BY131">
        <v>3.7</v>
      </c>
      <c r="BZ131">
        <v>3.5</v>
      </c>
      <c r="CA131">
        <v>2</v>
      </c>
      <c r="CB131">
        <v>3.6</v>
      </c>
      <c r="CC131">
        <v>3.5</v>
      </c>
      <c r="CD131">
        <v>2.06</v>
      </c>
      <c r="CE131">
        <v>3.76</v>
      </c>
      <c r="CF131">
        <v>3.6</v>
      </c>
      <c r="CG131">
        <v>2.0499999999999998</v>
      </c>
      <c r="CH131">
        <v>3.6</v>
      </c>
      <c r="CI131">
        <v>3.6</v>
      </c>
      <c r="CJ131">
        <v>2.11</v>
      </c>
      <c r="CK131">
        <v>3.87</v>
      </c>
      <c r="CL131">
        <v>3.36</v>
      </c>
      <c r="CM131">
        <v>2.1800000000000002</v>
      </c>
      <c r="CN131">
        <v>3.95</v>
      </c>
      <c r="CO131">
        <v>3.72</v>
      </c>
      <c r="CP131">
        <v>2.04</v>
      </c>
      <c r="CQ131">
        <v>3.76</v>
      </c>
      <c r="CR131">
        <v>3.5</v>
      </c>
      <c r="CS131">
        <v>2.1</v>
      </c>
      <c r="CT131">
        <v>3.85</v>
      </c>
      <c r="CU131">
        <v>3.7</v>
      </c>
      <c r="CV131">
        <v>1.49</v>
      </c>
      <c r="CW131">
        <v>2.4500000000000002</v>
      </c>
      <c r="CX131">
        <v>1.57</v>
      </c>
      <c r="CY131">
        <v>2.5299999999999998</v>
      </c>
      <c r="CZ131">
        <v>1.57</v>
      </c>
      <c r="DA131">
        <v>2.75</v>
      </c>
      <c r="DB131">
        <v>1.52</v>
      </c>
      <c r="DC131">
        <v>2.57</v>
      </c>
      <c r="DD131">
        <v>1.6</v>
      </c>
      <c r="DE131">
        <v>2.64</v>
      </c>
      <c r="DF131">
        <v>-0.5</v>
      </c>
      <c r="DG131">
        <v>2.0699999999999998</v>
      </c>
      <c r="DH131">
        <v>1.86</v>
      </c>
      <c r="DI131">
        <v>2.0699999999999998</v>
      </c>
      <c r="DJ131">
        <v>1.86</v>
      </c>
      <c r="DK131">
        <v>2.08</v>
      </c>
      <c r="DL131">
        <v>1.89</v>
      </c>
      <c r="DM131">
        <v>2.0299999999999998</v>
      </c>
      <c r="DN131">
        <v>1.84</v>
      </c>
      <c r="DO131">
        <v>2.1</v>
      </c>
      <c r="DP131">
        <v>1.89</v>
      </c>
    </row>
    <row r="132" spans="1:120" x14ac:dyDescent="0.3">
      <c r="A132" t="s">
        <v>120</v>
      </c>
      <c r="B132" s="2">
        <v>45363</v>
      </c>
      <c r="C132" s="1">
        <v>0.8125</v>
      </c>
      <c r="D132" t="s">
        <v>128</v>
      </c>
      <c r="E132" t="s">
        <v>149</v>
      </c>
      <c r="F132">
        <v>0</v>
      </c>
      <c r="G132">
        <v>1</v>
      </c>
      <c r="H132" t="s">
        <v>130</v>
      </c>
      <c r="I132">
        <v>0</v>
      </c>
      <c r="J132">
        <v>0</v>
      </c>
      <c r="K132" t="s">
        <v>125</v>
      </c>
      <c r="L132" t="s">
        <v>140</v>
      </c>
      <c r="M132">
        <v>9</v>
      </c>
      <c r="N132">
        <v>13</v>
      </c>
      <c r="O132">
        <v>2</v>
      </c>
      <c r="P132">
        <v>3</v>
      </c>
      <c r="Q132">
        <v>14</v>
      </c>
      <c r="R132">
        <v>13</v>
      </c>
      <c r="S132">
        <v>4</v>
      </c>
      <c r="T132">
        <v>7</v>
      </c>
      <c r="U132">
        <v>2</v>
      </c>
      <c r="V132">
        <v>4</v>
      </c>
      <c r="W132">
        <v>0</v>
      </c>
      <c r="X132">
        <v>0</v>
      </c>
      <c r="Y132">
        <v>3</v>
      </c>
      <c r="Z132">
        <v>3.4</v>
      </c>
      <c r="AA132">
        <v>2.35</v>
      </c>
      <c r="AB132">
        <v>3</v>
      </c>
      <c r="AC132">
        <v>3.3</v>
      </c>
      <c r="AD132">
        <v>2.4</v>
      </c>
      <c r="AE132">
        <v>3.1</v>
      </c>
      <c r="AF132">
        <v>3.3</v>
      </c>
      <c r="AG132">
        <v>2.38</v>
      </c>
      <c r="AH132">
        <v>3.15</v>
      </c>
      <c r="AI132">
        <v>3.41</v>
      </c>
      <c r="AJ132">
        <v>2.39</v>
      </c>
      <c r="AK132">
        <v>3.1</v>
      </c>
      <c r="AL132">
        <v>3.3</v>
      </c>
      <c r="AM132">
        <v>2.38</v>
      </c>
      <c r="AN132">
        <v>3.11</v>
      </c>
      <c r="AO132">
        <v>3.54</v>
      </c>
      <c r="AP132">
        <v>2.37</v>
      </c>
      <c r="AQ132">
        <v>3.2</v>
      </c>
      <c r="AR132">
        <v>3.54</v>
      </c>
      <c r="AS132">
        <v>2.44</v>
      </c>
      <c r="AT132">
        <v>3.09</v>
      </c>
      <c r="AU132">
        <v>3.37</v>
      </c>
      <c r="AV132">
        <v>2.38</v>
      </c>
      <c r="AW132">
        <v>3.2</v>
      </c>
      <c r="AX132">
        <v>3.45</v>
      </c>
      <c r="AY132">
        <v>2.46</v>
      </c>
      <c r="AZ132">
        <v>2.0099999999999998</v>
      </c>
      <c r="BA132">
        <v>1.89</v>
      </c>
      <c r="BB132">
        <v>2.0299999999999998</v>
      </c>
      <c r="BC132">
        <v>1.88</v>
      </c>
      <c r="BD132">
        <v>2.02</v>
      </c>
      <c r="BE132">
        <v>1.9</v>
      </c>
      <c r="BF132">
        <v>1.98</v>
      </c>
      <c r="BG132">
        <v>1.86</v>
      </c>
      <c r="BH132">
        <v>2.04</v>
      </c>
      <c r="BI132">
        <v>1.94</v>
      </c>
      <c r="BJ132">
        <v>0.25</v>
      </c>
      <c r="BK132">
        <v>1.85</v>
      </c>
      <c r="BL132">
        <v>2.0499999999999998</v>
      </c>
      <c r="BM132">
        <v>1.87</v>
      </c>
      <c r="BN132">
        <v>2.0699999999999998</v>
      </c>
      <c r="BO132">
        <v>1.88</v>
      </c>
      <c r="BP132">
        <v>2.08</v>
      </c>
      <c r="BQ132">
        <v>1.83</v>
      </c>
      <c r="BR132">
        <v>2.02</v>
      </c>
      <c r="BS132">
        <v>1.87</v>
      </c>
      <c r="BT132">
        <v>2.11</v>
      </c>
      <c r="BU132">
        <v>3.2</v>
      </c>
      <c r="BV132">
        <v>3.4</v>
      </c>
      <c r="BW132">
        <v>2.25</v>
      </c>
      <c r="BX132">
        <v>3.2</v>
      </c>
      <c r="BY132">
        <v>3.25</v>
      </c>
      <c r="BZ132">
        <v>2.2999999999999998</v>
      </c>
      <c r="CA132">
        <v>3.25</v>
      </c>
      <c r="CB132">
        <v>3.4</v>
      </c>
      <c r="CC132">
        <v>2.2999999999999998</v>
      </c>
      <c r="CD132">
        <v>3.35</v>
      </c>
      <c r="CE132">
        <v>3.39</v>
      </c>
      <c r="CF132">
        <v>2.2999999999999998</v>
      </c>
      <c r="CG132">
        <v>3.3</v>
      </c>
      <c r="CH132">
        <v>3.3</v>
      </c>
      <c r="CI132">
        <v>2.25</v>
      </c>
      <c r="CJ132">
        <v>3.4</v>
      </c>
      <c r="CK132">
        <v>3.46</v>
      </c>
      <c r="CL132">
        <v>2.23</v>
      </c>
      <c r="CM132">
        <v>3.46</v>
      </c>
      <c r="CN132">
        <v>3.5</v>
      </c>
      <c r="CO132">
        <v>2.35</v>
      </c>
      <c r="CP132">
        <v>3.27</v>
      </c>
      <c r="CQ132">
        <v>3.36</v>
      </c>
      <c r="CR132">
        <v>2.29</v>
      </c>
      <c r="CS132">
        <v>3.4</v>
      </c>
      <c r="CT132">
        <v>3.4</v>
      </c>
      <c r="CU132">
        <v>2.38</v>
      </c>
      <c r="CV132">
        <v>2.04</v>
      </c>
      <c r="CW132">
        <v>1.86</v>
      </c>
      <c r="CX132">
        <v>2.04</v>
      </c>
      <c r="CY132">
        <v>1.88</v>
      </c>
      <c r="CZ132">
        <v>2.0499999999999998</v>
      </c>
      <c r="DA132">
        <v>1.91</v>
      </c>
      <c r="DB132">
        <v>1.99</v>
      </c>
      <c r="DC132">
        <v>1.86</v>
      </c>
      <c r="DD132">
        <v>2.04</v>
      </c>
      <c r="DE132">
        <v>1.94</v>
      </c>
      <c r="DF132">
        <v>0.25</v>
      </c>
      <c r="DG132">
        <v>1.92</v>
      </c>
      <c r="DH132">
        <v>1.98</v>
      </c>
      <c r="DI132">
        <v>1.94</v>
      </c>
      <c r="DJ132">
        <v>1.98</v>
      </c>
      <c r="DK132">
        <v>1.96</v>
      </c>
      <c r="DL132">
        <v>2</v>
      </c>
      <c r="DM132">
        <v>1.91</v>
      </c>
      <c r="DN132">
        <v>1.95</v>
      </c>
      <c r="DO132">
        <v>1.96</v>
      </c>
      <c r="DP132">
        <v>2.0299999999999998</v>
      </c>
    </row>
    <row r="133" spans="1:120" x14ac:dyDescent="0.3">
      <c r="A133" t="s">
        <v>120</v>
      </c>
      <c r="B133" s="2">
        <v>45363</v>
      </c>
      <c r="C133" s="1">
        <v>0.84375</v>
      </c>
      <c r="D133" t="s">
        <v>155</v>
      </c>
      <c r="E133" t="s">
        <v>144</v>
      </c>
      <c r="F133">
        <v>3</v>
      </c>
      <c r="G133">
        <v>1</v>
      </c>
      <c r="H133" t="s">
        <v>124</v>
      </c>
      <c r="I133">
        <v>1</v>
      </c>
      <c r="J133">
        <v>0</v>
      </c>
      <c r="K133" t="s">
        <v>124</v>
      </c>
      <c r="L133" t="s">
        <v>166</v>
      </c>
      <c r="M133">
        <v>8</v>
      </c>
      <c r="N133">
        <v>31</v>
      </c>
      <c r="O133">
        <v>6</v>
      </c>
      <c r="P133">
        <v>10</v>
      </c>
      <c r="Q133">
        <v>9</v>
      </c>
      <c r="R133">
        <v>7</v>
      </c>
      <c r="S133">
        <v>3</v>
      </c>
      <c r="T133">
        <v>9</v>
      </c>
      <c r="U133">
        <v>2</v>
      </c>
      <c r="V133">
        <v>2</v>
      </c>
      <c r="W133">
        <v>0</v>
      </c>
      <c r="X133">
        <v>0</v>
      </c>
      <c r="Y133">
        <v>2.9</v>
      </c>
      <c r="Z133">
        <v>3.4</v>
      </c>
      <c r="AA133">
        <v>2.38</v>
      </c>
      <c r="AB133">
        <v>2.9</v>
      </c>
      <c r="AC133">
        <v>3.4</v>
      </c>
      <c r="AD133">
        <v>2.4500000000000002</v>
      </c>
      <c r="AE133">
        <v>2.88</v>
      </c>
      <c r="AF133">
        <v>3.4</v>
      </c>
      <c r="AG133">
        <v>2.4500000000000002</v>
      </c>
      <c r="AH133">
        <v>2.95</v>
      </c>
      <c r="AI133">
        <v>3.43</v>
      </c>
      <c r="AJ133">
        <v>2.52</v>
      </c>
      <c r="AK133">
        <v>2.88</v>
      </c>
      <c r="AL133">
        <v>3.5</v>
      </c>
      <c r="AM133">
        <v>2.4</v>
      </c>
      <c r="AN133">
        <v>2.91</v>
      </c>
      <c r="AO133">
        <v>3.67</v>
      </c>
      <c r="AP133">
        <v>2.4500000000000002</v>
      </c>
      <c r="AQ133">
        <v>2.95</v>
      </c>
      <c r="AR133">
        <v>3.67</v>
      </c>
      <c r="AS133">
        <v>2.57</v>
      </c>
      <c r="AT133">
        <v>2.9</v>
      </c>
      <c r="AU133">
        <v>3.44</v>
      </c>
      <c r="AV133">
        <v>2.4700000000000002</v>
      </c>
      <c r="AW133">
        <v>3</v>
      </c>
      <c r="AX133">
        <v>3.6</v>
      </c>
      <c r="AY133">
        <v>2.56</v>
      </c>
      <c r="AZ133">
        <v>1.73</v>
      </c>
      <c r="BA133">
        <v>2.1</v>
      </c>
      <c r="BB133">
        <v>1.78</v>
      </c>
      <c r="BC133">
        <v>2.13</v>
      </c>
      <c r="BD133">
        <v>1.84</v>
      </c>
      <c r="BE133">
        <v>2.15</v>
      </c>
      <c r="BF133">
        <v>1.79</v>
      </c>
      <c r="BG133">
        <v>2.06</v>
      </c>
      <c r="BH133">
        <v>1.83</v>
      </c>
      <c r="BI133">
        <v>2.1800000000000002</v>
      </c>
      <c r="BJ133">
        <v>0.25</v>
      </c>
      <c r="BK133">
        <v>1.81</v>
      </c>
      <c r="BL133">
        <v>2.09</v>
      </c>
      <c r="BM133">
        <v>1.78</v>
      </c>
      <c r="BN133">
        <v>2.16</v>
      </c>
      <c r="BO133">
        <v>1.83</v>
      </c>
      <c r="BP133">
        <v>2.16</v>
      </c>
      <c r="BQ133">
        <v>1.78</v>
      </c>
      <c r="BR133">
        <v>2.09</v>
      </c>
      <c r="BS133">
        <v>1.82</v>
      </c>
      <c r="BT133">
        <v>2.2000000000000002</v>
      </c>
      <c r="BU133">
        <v>3</v>
      </c>
      <c r="BV133">
        <v>3.5</v>
      </c>
      <c r="BW133">
        <v>2.2999999999999998</v>
      </c>
      <c r="BX133">
        <v>2.9</v>
      </c>
      <c r="BY133">
        <v>3.4</v>
      </c>
      <c r="BZ133">
        <v>2.4500000000000002</v>
      </c>
      <c r="CA133">
        <v>3</v>
      </c>
      <c r="CB133">
        <v>3.4</v>
      </c>
      <c r="CC133">
        <v>2.4</v>
      </c>
      <c r="CD133">
        <v>3.04</v>
      </c>
      <c r="CE133">
        <v>3.5</v>
      </c>
      <c r="CF133">
        <v>2.4300000000000002</v>
      </c>
      <c r="CG133">
        <v>3</v>
      </c>
      <c r="CH133">
        <v>3.4</v>
      </c>
      <c r="CI133">
        <v>2.38</v>
      </c>
      <c r="CJ133">
        <v>3.08</v>
      </c>
      <c r="CK133">
        <v>3.57</v>
      </c>
      <c r="CL133">
        <v>2.34</v>
      </c>
      <c r="CM133">
        <v>3.14</v>
      </c>
      <c r="CN133">
        <v>3.6</v>
      </c>
      <c r="CO133">
        <v>2.4500000000000002</v>
      </c>
      <c r="CP133">
        <v>2.99</v>
      </c>
      <c r="CQ133">
        <v>3.47</v>
      </c>
      <c r="CR133">
        <v>2.38</v>
      </c>
      <c r="CS133">
        <v>3.1</v>
      </c>
      <c r="CT133">
        <v>3.6</v>
      </c>
      <c r="CU133">
        <v>2.46</v>
      </c>
      <c r="CV133">
        <v>1.8</v>
      </c>
      <c r="CW133">
        <v>2</v>
      </c>
      <c r="CX133">
        <v>1.79</v>
      </c>
      <c r="CY133">
        <v>2.1</v>
      </c>
      <c r="CZ133">
        <v>1.82</v>
      </c>
      <c r="DA133">
        <v>2.2599999999999998</v>
      </c>
      <c r="DB133">
        <v>1.76</v>
      </c>
      <c r="DC133">
        <v>2.09</v>
      </c>
      <c r="DD133">
        <v>1.84</v>
      </c>
      <c r="DE133">
        <v>2.16</v>
      </c>
      <c r="DF133">
        <v>0.25</v>
      </c>
      <c r="DG133">
        <v>1.83</v>
      </c>
      <c r="DH133">
        <v>2.0699999999999998</v>
      </c>
      <c r="DI133">
        <v>1.84</v>
      </c>
      <c r="DJ133">
        <v>2.1</v>
      </c>
      <c r="DK133">
        <v>1.87</v>
      </c>
      <c r="DL133">
        <v>2.11</v>
      </c>
      <c r="DM133">
        <v>1.82</v>
      </c>
      <c r="DN133">
        <v>2.04</v>
      </c>
      <c r="DO133">
        <v>1.87</v>
      </c>
      <c r="DP133">
        <v>2.12</v>
      </c>
    </row>
    <row r="134" spans="1:120" x14ac:dyDescent="0.3">
      <c r="A134" t="s">
        <v>120</v>
      </c>
      <c r="B134" s="2">
        <v>45394</v>
      </c>
      <c r="C134" s="1">
        <v>0.8125</v>
      </c>
      <c r="D134" t="s">
        <v>135</v>
      </c>
      <c r="E134" t="s">
        <v>133</v>
      </c>
      <c r="F134">
        <v>4</v>
      </c>
      <c r="G134">
        <v>0</v>
      </c>
      <c r="H134" t="s">
        <v>124</v>
      </c>
      <c r="I134">
        <v>2</v>
      </c>
      <c r="J134">
        <v>0</v>
      </c>
      <c r="K134" t="s">
        <v>124</v>
      </c>
      <c r="L134" t="s">
        <v>160</v>
      </c>
      <c r="M134">
        <v>13</v>
      </c>
      <c r="N134">
        <v>6</v>
      </c>
      <c r="O134">
        <v>4</v>
      </c>
      <c r="P134">
        <v>2</v>
      </c>
      <c r="Q134">
        <v>10</v>
      </c>
      <c r="R134">
        <v>8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2.1</v>
      </c>
      <c r="Z134">
        <v>3.4</v>
      </c>
      <c r="AA134">
        <v>3.5</v>
      </c>
      <c r="AB134">
        <v>2.1</v>
      </c>
      <c r="AC134">
        <v>3.5</v>
      </c>
      <c r="AD134">
        <v>3.4</v>
      </c>
      <c r="AE134">
        <v>2.15</v>
      </c>
      <c r="AF134">
        <v>3.4</v>
      </c>
      <c r="AG134">
        <v>3.5</v>
      </c>
      <c r="AH134">
        <v>2.16</v>
      </c>
      <c r="AI134">
        <v>3.4</v>
      </c>
      <c r="AJ134">
        <v>3.62</v>
      </c>
      <c r="AK134">
        <v>2.1</v>
      </c>
      <c r="AL134">
        <v>3.5</v>
      </c>
      <c r="AM134">
        <v>3.5</v>
      </c>
      <c r="AN134">
        <v>2.15</v>
      </c>
      <c r="AO134">
        <v>3.59</v>
      </c>
      <c r="AP134">
        <v>3.55</v>
      </c>
      <c r="AQ134">
        <v>2.1800000000000002</v>
      </c>
      <c r="AR134">
        <v>3.59</v>
      </c>
      <c r="AS134">
        <v>3.62</v>
      </c>
      <c r="AT134">
        <v>2.14</v>
      </c>
      <c r="AU134">
        <v>3.46</v>
      </c>
      <c r="AV134">
        <v>3.51</v>
      </c>
      <c r="AW134">
        <v>2.2400000000000002</v>
      </c>
      <c r="AX134">
        <v>3.55</v>
      </c>
      <c r="AY134">
        <v>3.65</v>
      </c>
      <c r="AZ134">
        <v>2.0299999999999998</v>
      </c>
      <c r="BA134">
        <v>1.87</v>
      </c>
      <c r="BB134">
        <v>2.04</v>
      </c>
      <c r="BC134">
        <v>1.86</v>
      </c>
      <c r="BD134">
        <v>2.04</v>
      </c>
      <c r="BE134">
        <v>1.92</v>
      </c>
      <c r="BF134">
        <v>1.98</v>
      </c>
      <c r="BG134">
        <v>1.86</v>
      </c>
      <c r="BH134">
        <v>2.06</v>
      </c>
      <c r="BI134">
        <v>1.9</v>
      </c>
      <c r="BJ134">
        <v>-0.25</v>
      </c>
      <c r="BK134">
        <v>1.85</v>
      </c>
      <c r="BL134">
        <v>2.0499999999999998</v>
      </c>
      <c r="BM134">
        <v>1.86</v>
      </c>
      <c r="BN134">
        <v>2.06</v>
      </c>
      <c r="BO134">
        <v>1.86</v>
      </c>
      <c r="BP134">
        <v>2.0699999999999998</v>
      </c>
      <c r="BQ134">
        <v>1.82</v>
      </c>
      <c r="BR134">
        <v>2.02</v>
      </c>
      <c r="BS134">
        <v>1.92</v>
      </c>
      <c r="BT134">
        <v>2.0699999999999998</v>
      </c>
      <c r="BU134">
        <v>2.1</v>
      </c>
      <c r="BV134">
        <v>3.3</v>
      </c>
      <c r="BW134">
        <v>3.6</v>
      </c>
      <c r="BX134">
        <v>2.1</v>
      </c>
      <c r="BY134">
        <v>3.3</v>
      </c>
      <c r="BZ134">
        <v>3.7</v>
      </c>
      <c r="CA134">
        <v>2.0499999999999998</v>
      </c>
      <c r="CB134">
        <v>3.25</v>
      </c>
      <c r="CC134">
        <v>3.7</v>
      </c>
      <c r="CD134">
        <v>2.14</v>
      </c>
      <c r="CE134">
        <v>3.36</v>
      </c>
      <c r="CF134">
        <v>3.8</v>
      </c>
      <c r="CG134">
        <v>2.1</v>
      </c>
      <c r="CH134">
        <v>3.25</v>
      </c>
      <c r="CI134">
        <v>3.7</v>
      </c>
      <c r="CJ134">
        <v>2.15</v>
      </c>
      <c r="CK134">
        <v>3.38</v>
      </c>
      <c r="CL134">
        <v>3.69</v>
      </c>
      <c r="CM134">
        <v>2.2000000000000002</v>
      </c>
      <c r="CN134">
        <v>3.45</v>
      </c>
      <c r="CO134">
        <v>3.93</v>
      </c>
      <c r="CP134">
        <v>2.11</v>
      </c>
      <c r="CQ134">
        <v>3.35</v>
      </c>
      <c r="CR134">
        <v>3.74</v>
      </c>
      <c r="CS134">
        <v>2.1800000000000002</v>
      </c>
      <c r="CT134">
        <v>3.5</v>
      </c>
      <c r="CU134">
        <v>3.9</v>
      </c>
      <c r="CV134">
        <v>2.0699999999999998</v>
      </c>
      <c r="CW134">
        <v>1.83</v>
      </c>
      <c r="CX134">
        <v>2.09</v>
      </c>
      <c r="CY134">
        <v>1.83</v>
      </c>
      <c r="CZ134">
        <v>2.11</v>
      </c>
      <c r="DA134">
        <v>1.87</v>
      </c>
      <c r="DB134">
        <v>2.0499999999999998</v>
      </c>
      <c r="DC134">
        <v>1.81</v>
      </c>
      <c r="DD134">
        <v>2.12</v>
      </c>
      <c r="DE134">
        <v>1.88</v>
      </c>
      <c r="DF134">
        <v>-0.25</v>
      </c>
      <c r="DG134">
        <v>1.85</v>
      </c>
      <c r="DH134">
        <v>2.08</v>
      </c>
      <c r="DI134">
        <v>1.84</v>
      </c>
      <c r="DJ134">
        <v>2.1</v>
      </c>
      <c r="DK134">
        <v>1.85</v>
      </c>
      <c r="DL134">
        <v>2.13</v>
      </c>
      <c r="DM134">
        <v>1.81</v>
      </c>
      <c r="DN134">
        <v>2.0699999999999998</v>
      </c>
      <c r="DO134">
        <v>1.86</v>
      </c>
      <c r="DP134">
        <v>2.14</v>
      </c>
    </row>
    <row r="135" spans="1:120" x14ac:dyDescent="0.3">
      <c r="A135" t="s">
        <v>120</v>
      </c>
      <c r="B135" s="2">
        <v>45394</v>
      </c>
      <c r="C135" s="1">
        <v>0.8125</v>
      </c>
      <c r="D135" t="s">
        <v>152</v>
      </c>
      <c r="E135" t="s">
        <v>141</v>
      </c>
      <c r="F135">
        <v>3</v>
      </c>
      <c r="G135">
        <v>0</v>
      </c>
      <c r="H135" t="s">
        <v>124</v>
      </c>
      <c r="I135">
        <v>2</v>
      </c>
      <c r="J135">
        <v>0</v>
      </c>
      <c r="K135" t="s">
        <v>124</v>
      </c>
      <c r="L135" t="s">
        <v>143</v>
      </c>
      <c r="M135">
        <v>17</v>
      </c>
      <c r="N135">
        <v>12</v>
      </c>
      <c r="O135">
        <v>7</v>
      </c>
      <c r="P135">
        <v>3</v>
      </c>
      <c r="Q135">
        <v>7</v>
      </c>
      <c r="R135">
        <v>15</v>
      </c>
      <c r="S135">
        <v>8</v>
      </c>
      <c r="T135">
        <v>2</v>
      </c>
      <c r="U135">
        <v>2</v>
      </c>
      <c r="V135">
        <v>4</v>
      </c>
      <c r="W135">
        <v>0</v>
      </c>
      <c r="X135">
        <v>0</v>
      </c>
      <c r="Y135">
        <v>1.36</v>
      </c>
      <c r="Z135">
        <v>4.75</v>
      </c>
      <c r="AA135">
        <v>9</v>
      </c>
      <c r="AB135">
        <v>1.37</v>
      </c>
      <c r="AC135">
        <v>5.25</v>
      </c>
      <c r="AD135">
        <v>8</v>
      </c>
      <c r="AE135">
        <v>1.33</v>
      </c>
      <c r="AF135">
        <v>5</v>
      </c>
      <c r="AG135">
        <v>8.5</v>
      </c>
      <c r="AH135">
        <v>1.36</v>
      </c>
      <c r="AI135">
        <v>5.41</v>
      </c>
      <c r="AJ135">
        <v>8.26</v>
      </c>
      <c r="AK135">
        <v>1.36</v>
      </c>
      <c r="AL135">
        <v>5</v>
      </c>
      <c r="AM135">
        <v>8.5</v>
      </c>
      <c r="AN135">
        <v>1.41</v>
      </c>
      <c r="AO135">
        <v>5.2</v>
      </c>
      <c r="AP135">
        <v>8.15</v>
      </c>
      <c r="AQ135">
        <v>1.41</v>
      </c>
      <c r="AR135">
        <v>5.5</v>
      </c>
      <c r="AS135">
        <v>9</v>
      </c>
      <c r="AT135">
        <v>1.37</v>
      </c>
      <c r="AU135">
        <v>5.21</v>
      </c>
      <c r="AV135">
        <v>8.25</v>
      </c>
      <c r="AW135">
        <v>1.38</v>
      </c>
      <c r="AX135">
        <v>5.7</v>
      </c>
      <c r="AY135">
        <v>9.4</v>
      </c>
      <c r="AZ135">
        <v>1.57</v>
      </c>
      <c r="BA135">
        <v>2.38</v>
      </c>
      <c r="BB135">
        <v>1.61</v>
      </c>
      <c r="BC135">
        <v>2.42</v>
      </c>
      <c r="BD135">
        <v>1.66</v>
      </c>
      <c r="BE135">
        <v>2.4500000000000002</v>
      </c>
      <c r="BF135">
        <v>1.59</v>
      </c>
      <c r="BG135">
        <v>2.4</v>
      </c>
      <c r="BH135">
        <v>1.62</v>
      </c>
      <c r="BI135">
        <v>2.52</v>
      </c>
      <c r="BJ135">
        <v>-1.5</v>
      </c>
      <c r="BK135">
        <v>2.0499999999999998</v>
      </c>
      <c r="BL135">
        <v>1.85</v>
      </c>
      <c r="BM135">
        <v>2.0699999999999998</v>
      </c>
      <c r="BN135">
        <v>1.85</v>
      </c>
      <c r="BO135">
        <v>2.0699999999999998</v>
      </c>
      <c r="BP135">
        <v>1.87</v>
      </c>
      <c r="BQ135">
        <v>2.0299999999999998</v>
      </c>
      <c r="BR135">
        <v>1.83</v>
      </c>
      <c r="BS135">
        <v>2.08</v>
      </c>
      <c r="BT135">
        <v>1.87</v>
      </c>
      <c r="BU135">
        <v>1.3</v>
      </c>
      <c r="BV135">
        <v>5.25</v>
      </c>
      <c r="BW135">
        <v>9.5</v>
      </c>
      <c r="BX135">
        <v>1.33</v>
      </c>
      <c r="BY135">
        <v>5.75</v>
      </c>
      <c r="BZ135">
        <v>8.5</v>
      </c>
      <c r="CA135">
        <v>1.29</v>
      </c>
      <c r="CB135">
        <v>5.5</v>
      </c>
      <c r="CC135">
        <v>9</v>
      </c>
      <c r="CD135">
        <v>1.31</v>
      </c>
      <c r="CE135">
        <v>5.88</v>
      </c>
      <c r="CF135">
        <v>10.02</v>
      </c>
      <c r="CG135">
        <v>1.3</v>
      </c>
      <c r="CH135">
        <v>5.5</v>
      </c>
      <c r="CI135">
        <v>10</v>
      </c>
      <c r="CJ135">
        <v>1.33</v>
      </c>
      <c r="CK135">
        <v>5.56</v>
      </c>
      <c r="CL135">
        <v>10.5</v>
      </c>
      <c r="CM135">
        <v>1.35</v>
      </c>
      <c r="CN135">
        <v>5.88</v>
      </c>
      <c r="CO135">
        <v>10.5</v>
      </c>
      <c r="CP135">
        <v>1.32</v>
      </c>
      <c r="CQ135">
        <v>5.64</v>
      </c>
      <c r="CR135">
        <v>9.34</v>
      </c>
      <c r="CS135">
        <v>1.34</v>
      </c>
      <c r="CT135">
        <v>6.2</v>
      </c>
      <c r="CU135">
        <v>10</v>
      </c>
      <c r="CV135">
        <v>1.44</v>
      </c>
      <c r="CW135">
        <v>2.75</v>
      </c>
      <c r="CX135">
        <v>1.48</v>
      </c>
      <c r="CY135">
        <v>2.74</v>
      </c>
      <c r="CZ135">
        <v>1.51</v>
      </c>
      <c r="DA135">
        <v>2.88</v>
      </c>
      <c r="DB135">
        <v>1.47</v>
      </c>
      <c r="DC135">
        <v>2.72</v>
      </c>
      <c r="DD135">
        <v>1.51</v>
      </c>
      <c r="DE135">
        <v>2.94</v>
      </c>
      <c r="DF135">
        <v>-1.5</v>
      </c>
      <c r="DG135">
        <v>1.89</v>
      </c>
      <c r="DH135">
        <v>2.04</v>
      </c>
      <c r="DI135">
        <v>1.88</v>
      </c>
      <c r="DJ135">
        <v>2.0499999999999998</v>
      </c>
      <c r="DK135">
        <v>2</v>
      </c>
      <c r="DL135">
        <v>2.06</v>
      </c>
      <c r="DM135">
        <v>1.89</v>
      </c>
      <c r="DN135">
        <v>1.98</v>
      </c>
      <c r="DO135">
        <v>1.94</v>
      </c>
      <c r="DP135">
        <v>2.0499999999999998</v>
      </c>
    </row>
    <row r="136" spans="1:120" x14ac:dyDescent="0.3">
      <c r="A136" t="s">
        <v>120</v>
      </c>
      <c r="B136" s="2">
        <v>45394</v>
      </c>
      <c r="C136" s="1">
        <v>0.8125</v>
      </c>
      <c r="D136" t="s">
        <v>138</v>
      </c>
      <c r="E136" t="s">
        <v>129</v>
      </c>
      <c r="F136">
        <v>3</v>
      </c>
      <c r="G136">
        <v>3</v>
      </c>
      <c r="H136" t="s">
        <v>125</v>
      </c>
      <c r="I136">
        <v>1</v>
      </c>
      <c r="J136">
        <v>0</v>
      </c>
      <c r="K136" t="s">
        <v>124</v>
      </c>
      <c r="L136" t="s">
        <v>176</v>
      </c>
      <c r="M136">
        <v>17</v>
      </c>
      <c r="N136">
        <v>16</v>
      </c>
      <c r="O136">
        <v>6</v>
      </c>
      <c r="P136">
        <v>5</v>
      </c>
      <c r="Q136">
        <v>9</v>
      </c>
      <c r="R136">
        <v>17</v>
      </c>
      <c r="S136">
        <v>5</v>
      </c>
      <c r="T136">
        <v>6</v>
      </c>
      <c r="U136">
        <v>2</v>
      </c>
      <c r="V136">
        <v>5</v>
      </c>
      <c r="W136">
        <v>0</v>
      </c>
      <c r="X136">
        <v>0</v>
      </c>
      <c r="Y136">
        <v>4.2</v>
      </c>
      <c r="Z136">
        <v>4</v>
      </c>
      <c r="AA136">
        <v>1.75</v>
      </c>
      <c r="AB136">
        <v>4.2</v>
      </c>
      <c r="AC136">
        <v>4</v>
      </c>
      <c r="AD136">
        <v>1.78</v>
      </c>
      <c r="AE136">
        <v>4.4000000000000004</v>
      </c>
      <c r="AF136">
        <v>3.9</v>
      </c>
      <c r="AG136">
        <v>1.75</v>
      </c>
      <c r="AH136">
        <v>4.29</v>
      </c>
      <c r="AI136">
        <v>4.04</v>
      </c>
      <c r="AJ136">
        <v>1.8</v>
      </c>
      <c r="AK136">
        <v>4.33</v>
      </c>
      <c r="AL136">
        <v>4</v>
      </c>
      <c r="AM136">
        <v>1.75</v>
      </c>
      <c r="AN136">
        <v>4.28</v>
      </c>
      <c r="AO136">
        <v>4.22</v>
      </c>
      <c r="AP136">
        <v>1.8</v>
      </c>
      <c r="AQ136">
        <v>4.5</v>
      </c>
      <c r="AR136">
        <v>4.22</v>
      </c>
      <c r="AS136">
        <v>1.81</v>
      </c>
      <c r="AT136">
        <v>4.2699999999999996</v>
      </c>
      <c r="AU136">
        <v>4.04</v>
      </c>
      <c r="AV136">
        <v>1.78</v>
      </c>
      <c r="AW136">
        <v>4.5999999999999996</v>
      </c>
      <c r="AX136">
        <v>4.0999999999999996</v>
      </c>
      <c r="AY136">
        <v>1.83</v>
      </c>
      <c r="AZ136">
        <v>1.57</v>
      </c>
      <c r="BA136">
        <v>2.38</v>
      </c>
      <c r="BB136">
        <v>1.62</v>
      </c>
      <c r="BC136">
        <v>2.4</v>
      </c>
      <c r="BD136">
        <v>1.64</v>
      </c>
      <c r="BE136">
        <v>2.48</v>
      </c>
      <c r="BF136">
        <v>1.59</v>
      </c>
      <c r="BG136">
        <v>2.38</v>
      </c>
      <c r="BH136">
        <v>1.64</v>
      </c>
      <c r="BI136">
        <v>2.54</v>
      </c>
      <c r="BJ136">
        <v>0.75</v>
      </c>
      <c r="BK136">
        <v>1.89</v>
      </c>
      <c r="BL136">
        <v>2.0099999999999998</v>
      </c>
      <c r="BM136">
        <v>1.88</v>
      </c>
      <c r="BN136">
        <v>2.0299999999999998</v>
      </c>
      <c r="BO136">
        <v>1.92</v>
      </c>
      <c r="BP136">
        <v>2.04</v>
      </c>
      <c r="BQ136">
        <v>1.85</v>
      </c>
      <c r="BR136">
        <v>1.98</v>
      </c>
      <c r="BS136">
        <v>1.91</v>
      </c>
      <c r="BT136">
        <v>2.0499999999999998</v>
      </c>
      <c r="BU136">
        <v>3.5</v>
      </c>
      <c r="BV136">
        <v>3.75</v>
      </c>
      <c r="BW136">
        <v>2</v>
      </c>
      <c r="BX136">
        <v>3.5</v>
      </c>
      <c r="BY136">
        <v>3.7</v>
      </c>
      <c r="BZ136">
        <v>2</v>
      </c>
      <c r="CA136">
        <v>3.6</v>
      </c>
      <c r="CB136">
        <v>3.6</v>
      </c>
      <c r="CC136">
        <v>1.95</v>
      </c>
      <c r="CD136">
        <v>3.68</v>
      </c>
      <c r="CE136">
        <v>3.74</v>
      </c>
      <c r="CF136">
        <v>2.04</v>
      </c>
      <c r="CG136">
        <v>3.6</v>
      </c>
      <c r="CH136">
        <v>3.7</v>
      </c>
      <c r="CI136">
        <v>2</v>
      </c>
      <c r="CJ136">
        <v>3.8</v>
      </c>
      <c r="CK136">
        <v>3.83</v>
      </c>
      <c r="CL136">
        <v>1.98</v>
      </c>
      <c r="CM136">
        <v>4.08</v>
      </c>
      <c r="CN136">
        <v>4</v>
      </c>
      <c r="CO136">
        <v>2.06</v>
      </c>
      <c r="CP136">
        <v>3.63</v>
      </c>
      <c r="CQ136">
        <v>3.76</v>
      </c>
      <c r="CR136">
        <v>1.99</v>
      </c>
      <c r="CS136">
        <v>3.8</v>
      </c>
      <c r="CT136">
        <v>3.85</v>
      </c>
      <c r="CU136">
        <v>2.08</v>
      </c>
      <c r="CV136">
        <v>1.62</v>
      </c>
      <c r="CW136">
        <v>2.2999999999999998</v>
      </c>
      <c r="CX136">
        <v>1.65</v>
      </c>
      <c r="CY136">
        <v>2.35</v>
      </c>
      <c r="CZ136">
        <v>1.72</v>
      </c>
      <c r="DA136">
        <v>2.4300000000000002</v>
      </c>
      <c r="DB136">
        <v>1.63</v>
      </c>
      <c r="DC136">
        <v>2.31</v>
      </c>
      <c r="DD136">
        <v>1.68</v>
      </c>
      <c r="DE136">
        <v>2.44</v>
      </c>
      <c r="DF136">
        <v>0.5</v>
      </c>
      <c r="DG136">
        <v>1.88</v>
      </c>
      <c r="DH136">
        <v>2.0499999999999998</v>
      </c>
      <c r="DI136">
        <v>1.88</v>
      </c>
      <c r="DJ136">
        <v>2.0499999999999998</v>
      </c>
      <c r="DK136">
        <v>1.91</v>
      </c>
      <c r="DL136">
        <v>2.06</v>
      </c>
      <c r="DM136">
        <v>1.85</v>
      </c>
      <c r="DN136">
        <v>2.0099999999999998</v>
      </c>
      <c r="DO136">
        <v>1.92</v>
      </c>
      <c r="DP136">
        <v>2.06</v>
      </c>
    </row>
    <row r="137" spans="1:120" x14ac:dyDescent="0.3">
      <c r="A137" t="s">
        <v>120</v>
      </c>
      <c r="B137" s="2">
        <v>45394</v>
      </c>
      <c r="C137" s="1">
        <v>0.8125</v>
      </c>
      <c r="D137" t="s">
        <v>139</v>
      </c>
      <c r="E137" t="s">
        <v>151</v>
      </c>
      <c r="F137">
        <v>1</v>
      </c>
      <c r="G137">
        <v>5</v>
      </c>
      <c r="H137" t="s">
        <v>130</v>
      </c>
      <c r="I137">
        <v>1</v>
      </c>
      <c r="J137">
        <v>3</v>
      </c>
      <c r="K137" t="s">
        <v>130</v>
      </c>
      <c r="L137" t="s">
        <v>146</v>
      </c>
      <c r="M137">
        <v>6</v>
      </c>
      <c r="N137">
        <v>26</v>
      </c>
      <c r="O137">
        <v>4</v>
      </c>
      <c r="P137">
        <v>13</v>
      </c>
      <c r="Q137">
        <v>7</v>
      </c>
      <c r="R137">
        <v>14</v>
      </c>
      <c r="S137">
        <v>5</v>
      </c>
      <c r="T137">
        <v>7</v>
      </c>
      <c r="U137">
        <v>1</v>
      </c>
      <c r="V137">
        <v>0</v>
      </c>
      <c r="W137">
        <v>1</v>
      </c>
      <c r="X137">
        <v>0</v>
      </c>
      <c r="Y137">
        <v>8.5</v>
      </c>
      <c r="Z137">
        <v>5.25</v>
      </c>
      <c r="AA137">
        <v>1.33</v>
      </c>
      <c r="AB137">
        <v>8</v>
      </c>
      <c r="AC137">
        <v>5.5</v>
      </c>
      <c r="AD137">
        <v>1.35</v>
      </c>
      <c r="AE137">
        <v>9</v>
      </c>
      <c r="AF137">
        <v>5.5</v>
      </c>
      <c r="AG137">
        <v>1.33</v>
      </c>
      <c r="AH137">
        <v>8.92</v>
      </c>
      <c r="AI137">
        <v>5.79</v>
      </c>
      <c r="AJ137">
        <v>1.33</v>
      </c>
      <c r="AK137">
        <v>8</v>
      </c>
      <c r="AL137">
        <v>5.5</v>
      </c>
      <c r="AM137">
        <v>1.35</v>
      </c>
      <c r="AN137">
        <v>8.4499999999999993</v>
      </c>
      <c r="AO137">
        <v>5.7</v>
      </c>
      <c r="AP137">
        <v>1.37</v>
      </c>
      <c r="AQ137">
        <v>9</v>
      </c>
      <c r="AR137">
        <v>6</v>
      </c>
      <c r="AS137">
        <v>1.37</v>
      </c>
      <c r="AT137">
        <v>8.39</v>
      </c>
      <c r="AU137">
        <v>5.64</v>
      </c>
      <c r="AV137">
        <v>1.34</v>
      </c>
      <c r="AW137">
        <v>9.6</v>
      </c>
      <c r="AX137">
        <v>6</v>
      </c>
      <c r="AY137">
        <v>1.36</v>
      </c>
      <c r="AZ137">
        <v>1.44</v>
      </c>
      <c r="BA137">
        <v>2.75</v>
      </c>
      <c r="BB137">
        <v>1.43</v>
      </c>
      <c r="BC137">
        <v>2.93</v>
      </c>
      <c r="BD137">
        <v>1.45</v>
      </c>
      <c r="BE137">
        <v>2.98</v>
      </c>
      <c r="BF137">
        <v>1.43</v>
      </c>
      <c r="BG137">
        <v>2.83</v>
      </c>
      <c r="BH137">
        <v>1.46</v>
      </c>
      <c r="BI137">
        <v>3.05</v>
      </c>
      <c r="BJ137">
        <v>1.5</v>
      </c>
      <c r="BK137">
        <v>1.98</v>
      </c>
      <c r="BL137">
        <v>1.92</v>
      </c>
      <c r="BM137">
        <v>1.99</v>
      </c>
      <c r="BN137">
        <v>1.92</v>
      </c>
      <c r="BO137">
        <v>2</v>
      </c>
      <c r="BP137">
        <v>1.95</v>
      </c>
      <c r="BQ137">
        <v>1.95</v>
      </c>
      <c r="BR137">
        <v>1.91</v>
      </c>
      <c r="BS137">
        <v>2</v>
      </c>
      <c r="BT137">
        <v>1.95</v>
      </c>
      <c r="BU137">
        <v>8.5</v>
      </c>
      <c r="BV137">
        <v>5.5</v>
      </c>
      <c r="BW137">
        <v>1.3</v>
      </c>
      <c r="BX137">
        <v>8.5</v>
      </c>
      <c r="BY137">
        <v>6</v>
      </c>
      <c r="BZ137">
        <v>1.32</v>
      </c>
      <c r="CA137">
        <v>8.5</v>
      </c>
      <c r="CB137">
        <v>5.5</v>
      </c>
      <c r="CC137">
        <v>1.29</v>
      </c>
      <c r="CD137">
        <v>9.07</v>
      </c>
      <c r="CE137">
        <v>5.95</v>
      </c>
      <c r="CF137">
        <v>1.33</v>
      </c>
      <c r="CG137">
        <v>8.5</v>
      </c>
      <c r="CH137">
        <v>5.5</v>
      </c>
      <c r="CI137">
        <v>1.33</v>
      </c>
      <c r="CJ137">
        <v>9.1199999999999992</v>
      </c>
      <c r="CK137">
        <v>5.9</v>
      </c>
      <c r="CL137">
        <v>1.33</v>
      </c>
      <c r="CM137">
        <v>9.4</v>
      </c>
      <c r="CN137">
        <v>6</v>
      </c>
      <c r="CO137">
        <v>1.37</v>
      </c>
      <c r="CP137">
        <v>8.74</v>
      </c>
      <c r="CQ137">
        <v>5.8</v>
      </c>
      <c r="CR137">
        <v>1.32</v>
      </c>
      <c r="CS137">
        <v>9.6</v>
      </c>
      <c r="CT137">
        <v>6.2</v>
      </c>
      <c r="CU137">
        <v>1.35</v>
      </c>
      <c r="CV137">
        <v>1.36</v>
      </c>
      <c r="CW137">
        <v>3.2</v>
      </c>
      <c r="CX137">
        <v>1.37</v>
      </c>
      <c r="CY137">
        <v>3.18</v>
      </c>
      <c r="CZ137">
        <v>1.41</v>
      </c>
      <c r="DA137">
        <v>3.35</v>
      </c>
      <c r="DB137">
        <v>1.36</v>
      </c>
      <c r="DC137">
        <v>3.19</v>
      </c>
      <c r="DD137">
        <v>1.39</v>
      </c>
      <c r="DE137">
        <v>3.45</v>
      </c>
      <c r="DF137">
        <v>1.5</v>
      </c>
      <c r="DG137">
        <v>2.0699999999999998</v>
      </c>
      <c r="DH137">
        <v>1.86</v>
      </c>
      <c r="DI137">
        <v>2.0699999999999998</v>
      </c>
      <c r="DJ137">
        <v>1.87</v>
      </c>
      <c r="DK137">
        <v>2.0699999999999998</v>
      </c>
      <c r="DL137">
        <v>1.9</v>
      </c>
      <c r="DM137">
        <v>2.0099999999999998</v>
      </c>
      <c r="DN137">
        <v>1.86</v>
      </c>
      <c r="DO137">
        <v>2.0699999999999998</v>
      </c>
      <c r="DP137">
        <v>1.92</v>
      </c>
    </row>
    <row r="138" spans="1:120" x14ac:dyDescent="0.3">
      <c r="A138" t="s">
        <v>120</v>
      </c>
      <c r="B138" s="2">
        <v>45394</v>
      </c>
      <c r="C138" s="1">
        <v>0.84375</v>
      </c>
      <c r="D138" t="s">
        <v>132</v>
      </c>
      <c r="E138" t="s">
        <v>122</v>
      </c>
      <c r="F138">
        <v>2</v>
      </c>
      <c r="G138">
        <v>0</v>
      </c>
      <c r="H138" t="s">
        <v>124</v>
      </c>
      <c r="I138">
        <v>0</v>
      </c>
      <c r="J138">
        <v>0</v>
      </c>
      <c r="K138" t="s">
        <v>125</v>
      </c>
      <c r="L138" t="s">
        <v>150</v>
      </c>
      <c r="M138">
        <v>14</v>
      </c>
      <c r="N138">
        <v>5</v>
      </c>
      <c r="O138">
        <v>6</v>
      </c>
      <c r="P138">
        <v>2</v>
      </c>
      <c r="Q138">
        <v>12</v>
      </c>
      <c r="R138">
        <v>8</v>
      </c>
      <c r="S138">
        <v>13</v>
      </c>
      <c r="T138">
        <v>0</v>
      </c>
      <c r="U138">
        <v>1</v>
      </c>
      <c r="V138">
        <v>3</v>
      </c>
      <c r="W138">
        <v>0</v>
      </c>
      <c r="X138">
        <v>0</v>
      </c>
      <c r="Y138">
        <v>1.44</v>
      </c>
      <c r="Z138">
        <v>4.5</v>
      </c>
      <c r="AA138">
        <v>7</v>
      </c>
      <c r="AB138">
        <v>1.47</v>
      </c>
      <c r="AC138">
        <v>4.5999999999999996</v>
      </c>
      <c r="AD138">
        <v>6.5</v>
      </c>
      <c r="AE138">
        <v>1.44</v>
      </c>
      <c r="AF138">
        <v>4.5999999999999996</v>
      </c>
      <c r="AG138">
        <v>7</v>
      </c>
      <c r="AH138">
        <v>1.45</v>
      </c>
      <c r="AI138">
        <v>4.87</v>
      </c>
      <c r="AJ138">
        <v>7.03</v>
      </c>
      <c r="AK138">
        <v>1.44</v>
      </c>
      <c r="AL138">
        <v>4.5999999999999996</v>
      </c>
      <c r="AM138">
        <v>7</v>
      </c>
      <c r="AN138">
        <v>1.47</v>
      </c>
      <c r="AO138">
        <v>4.8899999999999997</v>
      </c>
      <c r="AP138">
        <v>7.13</v>
      </c>
      <c r="AQ138">
        <v>1.49</v>
      </c>
      <c r="AR138">
        <v>5</v>
      </c>
      <c r="AS138">
        <v>7.2</v>
      </c>
      <c r="AT138">
        <v>1.46</v>
      </c>
      <c r="AU138">
        <v>4.7300000000000004</v>
      </c>
      <c r="AV138">
        <v>6.92</v>
      </c>
      <c r="AW138">
        <v>1.47</v>
      </c>
      <c r="AX138">
        <v>5</v>
      </c>
      <c r="AY138">
        <v>7.8</v>
      </c>
      <c r="AZ138">
        <v>1.62</v>
      </c>
      <c r="BA138">
        <v>2.2999999999999998</v>
      </c>
      <c r="BB138">
        <v>1.65</v>
      </c>
      <c r="BC138">
        <v>2.33</v>
      </c>
      <c r="BD138">
        <v>1.67</v>
      </c>
      <c r="BE138">
        <v>2.37</v>
      </c>
      <c r="BF138">
        <v>1.63</v>
      </c>
      <c r="BG138">
        <v>2.31</v>
      </c>
      <c r="BH138">
        <v>1.67</v>
      </c>
      <c r="BI138">
        <v>2.44</v>
      </c>
      <c r="BJ138">
        <v>-1.25</v>
      </c>
      <c r="BK138">
        <v>2.0099999999999998</v>
      </c>
      <c r="BL138">
        <v>1.89</v>
      </c>
      <c r="BM138">
        <v>1.99</v>
      </c>
      <c r="BN138">
        <v>1.92</v>
      </c>
      <c r="BO138">
        <v>2.02</v>
      </c>
      <c r="BP138">
        <v>1.92</v>
      </c>
      <c r="BQ138">
        <v>1.98</v>
      </c>
      <c r="BR138">
        <v>1.86</v>
      </c>
      <c r="BS138">
        <v>2.0099999999999998</v>
      </c>
      <c r="BT138">
        <v>1.95</v>
      </c>
      <c r="BU138">
        <v>1.45</v>
      </c>
      <c r="BV138">
        <v>4.33</v>
      </c>
      <c r="BW138">
        <v>6.25</v>
      </c>
      <c r="BX138">
        <v>1.44</v>
      </c>
      <c r="BY138">
        <v>4.8</v>
      </c>
      <c r="BZ138">
        <v>6.75</v>
      </c>
      <c r="CA138">
        <v>1.4</v>
      </c>
      <c r="CB138">
        <v>4.75</v>
      </c>
      <c r="CC138">
        <v>6.5</v>
      </c>
      <c r="CD138">
        <v>1.48</v>
      </c>
      <c r="CE138">
        <v>4.8899999999999997</v>
      </c>
      <c r="CF138">
        <v>6.64</v>
      </c>
      <c r="CG138">
        <v>1.44</v>
      </c>
      <c r="CH138">
        <v>4.5999999999999996</v>
      </c>
      <c r="CI138">
        <v>7</v>
      </c>
      <c r="CJ138">
        <v>1.51</v>
      </c>
      <c r="CK138">
        <v>4.71</v>
      </c>
      <c r="CL138">
        <v>6.42</v>
      </c>
      <c r="CM138">
        <v>1.51</v>
      </c>
      <c r="CN138">
        <v>5.13</v>
      </c>
      <c r="CO138">
        <v>7.5</v>
      </c>
      <c r="CP138">
        <v>1.45</v>
      </c>
      <c r="CQ138">
        <v>4.84</v>
      </c>
      <c r="CR138">
        <v>6.86</v>
      </c>
      <c r="CS138">
        <v>1.49</v>
      </c>
      <c r="CT138">
        <v>5</v>
      </c>
      <c r="CU138">
        <v>7.4</v>
      </c>
      <c r="CV138">
        <v>1.62</v>
      </c>
      <c r="CW138">
        <v>2.2999999999999998</v>
      </c>
      <c r="CX138">
        <v>1.62</v>
      </c>
      <c r="CY138">
        <v>2.4</v>
      </c>
      <c r="CZ138">
        <v>1.7</v>
      </c>
      <c r="DA138">
        <v>2.4700000000000002</v>
      </c>
      <c r="DB138">
        <v>1.61</v>
      </c>
      <c r="DC138">
        <v>2.37</v>
      </c>
      <c r="DD138">
        <v>1.68</v>
      </c>
      <c r="DE138">
        <v>2.46</v>
      </c>
      <c r="DF138">
        <v>-1.25</v>
      </c>
      <c r="DG138">
        <v>2.0699999999999998</v>
      </c>
      <c r="DH138">
        <v>1.86</v>
      </c>
      <c r="DI138">
        <v>2.0699999999999998</v>
      </c>
      <c r="DJ138">
        <v>1.86</v>
      </c>
      <c r="DK138">
        <v>2.0699999999999998</v>
      </c>
      <c r="DL138">
        <v>1.93</v>
      </c>
      <c r="DM138">
        <v>1.99</v>
      </c>
      <c r="DN138">
        <v>1.87</v>
      </c>
      <c r="DO138">
        <v>2.06</v>
      </c>
      <c r="DP138">
        <v>1.93</v>
      </c>
    </row>
    <row r="139" spans="1:120" x14ac:dyDescent="0.3">
      <c r="A139" t="s">
        <v>120</v>
      </c>
      <c r="B139" s="2">
        <v>45394</v>
      </c>
      <c r="C139" s="1">
        <v>0.84375</v>
      </c>
      <c r="D139" t="s">
        <v>145</v>
      </c>
      <c r="E139" t="s">
        <v>148</v>
      </c>
      <c r="F139">
        <v>3</v>
      </c>
      <c r="G139">
        <v>1</v>
      </c>
      <c r="H139" t="s">
        <v>124</v>
      </c>
      <c r="I139">
        <v>3</v>
      </c>
      <c r="J139">
        <v>0</v>
      </c>
      <c r="K139" t="s">
        <v>124</v>
      </c>
      <c r="L139" t="s">
        <v>167</v>
      </c>
      <c r="M139">
        <v>20</v>
      </c>
      <c r="N139">
        <v>9</v>
      </c>
      <c r="O139">
        <v>10</v>
      </c>
      <c r="P139">
        <v>1</v>
      </c>
      <c r="Q139">
        <v>11</v>
      </c>
      <c r="R139">
        <v>15</v>
      </c>
      <c r="S139">
        <v>10</v>
      </c>
      <c r="T139">
        <v>5</v>
      </c>
      <c r="U139">
        <v>2</v>
      </c>
      <c r="V139">
        <v>2</v>
      </c>
      <c r="W139">
        <v>0</v>
      </c>
      <c r="X139">
        <v>0</v>
      </c>
      <c r="Y139">
        <v>1.8</v>
      </c>
      <c r="Z139">
        <v>3.75</v>
      </c>
      <c r="AA139">
        <v>4.33</v>
      </c>
      <c r="AB139">
        <v>1.78</v>
      </c>
      <c r="AC139">
        <v>4</v>
      </c>
      <c r="AD139">
        <v>4.2</v>
      </c>
      <c r="AE139">
        <v>1.8</v>
      </c>
      <c r="AF139">
        <v>4</v>
      </c>
      <c r="AG139">
        <v>4.2</v>
      </c>
      <c r="AH139">
        <v>1.8</v>
      </c>
      <c r="AI139">
        <v>3.91</v>
      </c>
      <c r="AJ139">
        <v>4.4400000000000004</v>
      </c>
      <c r="AK139">
        <v>1.8</v>
      </c>
      <c r="AL139">
        <v>4</v>
      </c>
      <c r="AM139">
        <v>4.2</v>
      </c>
      <c r="AN139">
        <v>1.82</v>
      </c>
      <c r="AO139">
        <v>4.21</v>
      </c>
      <c r="AP139">
        <v>4.21</v>
      </c>
      <c r="AQ139">
        <v>1.84</v>
      </c>
      <c r="AR139">
        <v>4.21</v>
      </c>
      <c r="AS139">
        <v>4.53</v>
      </c>
      <c r="AT139">
        <v>1.8</v>
      </c>
      <c r="AU139">
        <v>4.01</v>
      </c>
      <c r="AV139">
        <v>4.24</v>
      </c>
      <c r="AW139">
        <v>1.85</v>
      </c>
      <c r="AX139">
        <v>4.0999999999999996</v>
      </c>
      <c r="AY139">
        <v>4.5</v>
      </c>
      <c r="AZ139">
        <v>1.57</v>
      </c>
      <c r="BA139">
        <v>2.38</v>
      </c>
      <c r="BB139">
        <v>1.59</v>
      </c>
      <c r="BC139">
        <v>2.4500000000000002</v>
      </c>
      <c r="BD139">
        <v>1.6</v>
      </c>
      <c r="BE139">
        <v>2.5</v>
      </c>
      <c r="BF139">
        <v>1.57</v>
      </c>
      <c r="BG139">
        <v>2.42</v>
      </c>
      <c r="BH139">
        <v>1.61</v>
      </c>
      <c r="BI139">
        <v>2.5</v>
      </c>
      <c r="BJ139">
        <v>-0.75</v>
      </c>
      <c r="BK139">
        <v>2.0299999999999998</v>
      </c>
      <c r="BL139">
        <v>1.87</v>
      </c>
      <c r="BM139">
        <v>2.0299999999999998</v>
      </c>
      <c r="BN139">
        <v>1.88</v>
      </c>
      <c r="BO139">
        <v>2.06</v>
      </c>
      <c r="BP139">
        <v>1.89</v>
      </c>
      <c r="BQ139">
        <v>2.0099999999999998</v>
      </c>
      <c r="BR139">
        <v>1.84</v>
      </c>
      <c r="BS139">
        <v>2.0699999999999998</v>
      </c>
      <c r="BT139">
        <v>1.91</v>
      </c>
      <c r="BU139">
        <v>1.67</v>
      </c>
      <c r="BV139">
        <v>4</v>
      </c>
      <c r="BW139">
        <v>5</v>
      </c>
      <c r="BX139">
        <v>1.7</v>
      </c>
      <c r="BY139">
        <v>4</v>
      </c>
      <c r="BZ139">
        <v>4.5999999999999996</v>
      </c>
      <c r="CA139">
        <v>1.65</v>
      </c>
      <c r="CB139">
        <v>3.9</v>
      </c>
      <c r="CC139">
        <v>4.75</v>
      </c>
      <c r="CD139">
        <v>1.68</v>
      </c>
      <c r="CE139">
        <v>4.2300000000000004</v>
      </c>
      <c r="CF139">
        <v>5.0599999999999996</v>
      </c>
      <c r="CG139">
        <v>1.7</v>
      </c>
      <c r="CH139">
        <v>4</v>
      </c>
      <c r="CI139">
        <v>4.75</v>
      </c>
      <c r="CJ139">
        <v>1.7</v>
      </c>
      <c r="CK139">
        <v>4.07</v>
      </c>
      <c r="CL139">
        <v>5.09</v>
      </c>
      <c r="CM139">
        <v>1.83</v>
      </c>
      <c r="CN139">
        <v>4.3</v>
      </c>
      <c r="CO139">
        <v>5.15</v>
      </c>
      <c r="CP139">
        <v>1.69</v>
      </c>
      <c r="CQ139">
        <v>4.1100000000000003</v>
      </c>
      <c r="CR139">
        <v>4.8899999999999997</v>
      </c>
      <c r="CS139">
        <v>1.72</v>
      </c>
      <c r="CT139">
        <v>4.3</v>
      </c>
      <c r="CU139">
        <v>5.2</v>
      </c>
      <c r="CV139">
        <v>1.53</v>
      </c>
      <c r="CW139">
        <v>2.5</v>
      </c>
      <c r="CX139">
        <v>1.57</v>
      </c>
      <c r="CY139">
        <v>2.5099999999999998</v>
      </c>
      <c r="CZ139">
        <v>1.6</v>
      </c>
      <c r="DA139">
        <v>2.56</v>
      </c>
      <c r="DB139">
        <v>1.56</v>
      </c>
      <c r="DC139">
        <v>2.48</v>
      </c>
      <c r="DD139">
        <v>1.58</v>
      </c>
      <c r="DE139">
        <v>2.68</v>
      </c>
      <c r="DF139">
        <v>-0.75</v>
      </c>
      <c r="DG139">
        <v>1.85</v>
      </c>
      <c r="DH139">
        <v>2.08</v>
      </c>
      <c r="DI139">
        <v>1.85</v>
      </c>
      <c r="DJ139">
        <v>2.08</v>
      </c>
      <c r="DK139">
        <v>1.88</v>
      </c>
      <c r="DL139">
        <v>2.08</v>
      </c>
      <c r="DM139">
        <v>1.84</v>
      </c>
      <c r="DN139">
        <v>2.02</v>
      </c>
      <c r="DO139">
        <v>1.92</v>
      </c>
      <c r="DP139">
        <v>2.0699999999999998</v>
      </c>
    </row>
    <row r="140" spans="1:120" x14ac:dyDescent="0.3">
      <c r="A140" t="s">
        <v>120</v>
      </c>
      <c r="B140" s="2">
        <v>45424</v>
      </c>
      <c r="C140" s="1">
        <v>0.8125</v>
      </c>
      <c r="D140" t="s">
        <v>123</v>
      </c>
      <c r="E140" t="s">
        <v>136</v>
      </c>
      <c r="F140">
        <v>3</v>
      </c>
      <c r="G140">
        <v>1</v>
      </c>
      <c r="H140" t="s">
        <v>124</v>
      </c>
      <c r="I140">
        <v>1</v>
      </c>
      <c r="J140">
        <v>0</v>
      </c>
      <c r="K140" t="s">
        <v>124</v>
      </c>
      <c r="L140" t="s">
        <v>171</v>
      </c>
      <c r="M140">
        <v>6</v>
      </c>
      <c r="N140">
        <v>13</v>
      </c>
      <c r="O140">
        <v>2</v>
      </c>
      <c r="P140">
        <v>3</v>
      </c>
      <c r="Q140">
        <v>7</v>
      </c>
      <c r="R140">
        <v>8</v>
      </c>
      <c r="S140">
        <v>5</v>
      </c>
      <c r="T140">
        <v>6</v>
      </c>
      <c r="U140">
        <v>2</v>
      </c>
      <c r="V140">
        <v>2</v>
      </c>
      <c r="W140">
        <v>0</v>
      </c>
      <c r="X140">
        <v>0</v>
      </c>
      <c r="Y140">
        <v>2.35</v>
      </c>
      <c r="Z140">
        <v>3.6</v>
      </c>
      <c r="AA140">
        <v>2.88</v>
      </c>
      <c r="AB140">
        <v>2.2999999999999998</v>
      </c>
      <c r="AC140">
        <v>3.6</v>
      </c>
      <c r="AD140">
        <v>2.9</v>
      </c>
      <c r="AE140">
        <v>2.4</v>
      </c>
      <c r="AF140">
        <v>3.6</v>
      </c>
      <c r="AG140">
        <v>2.88</v>
      </c>
      <c r="AH140">
        <v>2.37</v>
      </c>
      <c r="AI140">
        <v>3.69</v>
      </c>
      <c r="AJ140">
        <v>2.94</v>
      </c>
      <c r="AK140">
        <v>2.2999999999999998</v>
      </c>
      <c r="AL140">
        <v>3.7</v>
      </c>
      <c r="AM140">
        <v>2.9</v>
      </c>
      <c r="AN140">
        <v>2.37</v>
      </c>
      <c r="AO140">
        <v>3.82</v>
      </c>
      <c r="AP140">
        <v>2.93</v>
      </c>
      <c r="AQ140">
        <v>2.4</v>
      </c>
      <c r="AR140">
        <v>3.82</v>
      </c>
      <c r="AS140">
        <v>3.04</v>
      </c>
      <c r="AT140">
        <v>2.33</v>
      </c>
      <c r="AU140">
        <v>3.65</v>
      </c>
      <c r="AV140">
        <v>2.92</v>
      </c>
      <c r="AW140">
        <v>2.46</v>
      </c>
      <c r="AX140">
        <v>3.7</v>
      </c>
      <c r="AY140">
        <v>3.05</v>
      </c>
      <c r="AZ140">
        <v>1.62</v>
      </c>
      <c r="BA140">
        <v>2.2999999999999998</v>
      </c>
      <c r="BB140">
        <v>1.63</v>
      </c>
      <c r="BC140">
        <v>2.39</v>
      </c>
      <c r="BD140">
        <v>1.66</v>
      </c>
      <c r="BE140">
        <v>2.39</v>
      </c>
      <c r="BF140">
        <v>1.62</v>
      </c>
      <c r="BG140">
        <v>2.33</v>
      </c>
      <c r="BH140">
        <v>1.65</v>
      </c>
      <c r="BI140">
        <v>2.44</v>
      </c>
      <c r="BJ140">
        <v>-0.25</v>
      </c>
      <c r="BK140">
        <v>2.06</v>
      </c>
      <c r="BL140">
        <v>1.84</v>
      </c>
      <c r="BM140">
        <v>2.0699999999999998</v>
      </c>
      <c r="BN140">
        <v>1.85</v>
      </c>
      <c r="BO140">
        <v>2.0699999999999998</v>
      </c>
      <c r="BP140">
        <v>1.87</v>
      </c>
      <c r="BQ140">
        <v>2.02</v>
      </c>
      <c r="BR140">
        <v>1.82</v>
      </c>
      <c r="BS140">
        <v>2.13</v>
      </c>
      <c r="BT140">
        <v>1.87</v>
      </c>
      <c r="BU140">
        <v>2.5499999999999998</v>
      </c>
      <c r="BV140">
        <v>3.6</v>
      </c>
      <c r="BW140">
        <v>2.6</v>
      </c>
      <c r="BX140">
        <v>2.6</v>
      </c>
      <c r="BY140">
        <v>3.5</v>
      </c>
      <c r="BZ140">
        <v>2.65</v>
      </c>
      <c r="CA140">
        <v>2.4500000000000002</v>
      </c>
      <c r="CB140">
        <v>3.6</v>
      </c>
      <c r="CC140">
        <v>2.8</v>
      </c>
      <c r="CD140">
        <v>2.64</v>
      </c>
      <c r="CE140">
        <v>3.65</v>
      </c>
      <c r="CF140">
        <v>2.7</v>
      </c>
      <c r="CG140">
        <v>2.6</v>
      </c>
      <c r="CH140">
        <v>3.5</v>
      </c>
      <c r="CI140">
        <v>2.62</v>
      </c>
      <c r="CJ140">
        <v>2.61</v>
      </c>
      <c r="CK140">
        <v>3.68</v>
      </c>
      <c r="CL140">
        <v>2.66</v>
      </c>
      <c r="CM140">
        <v>2.72</v>
      </c>
      <c r="CN140">
        <v>3.68</v>
      </c>
      <c r="CO140">
        <v>2.8</v>
      </c>
      <c r="CP140">
        <v>2.6</v>
      </c>
      <c r="CQ140">
        <v>3.58</v>
      </c>
      <c r="CR140">
        <v>2.66</v>
      </c>
      <c r="CS140">
        <v>2.7</v>
      </c>
      <c r="CT140">
        <v>3.7</v>
      </c>
      <c r="CU140">
        <v>2.76</v>
      </c>
      <c r="CV140">
        <v>1.67</v>
      </c>
      <c r="CW140">
        <v>2.2000000000000002</v>
      </c>
      <c r="CX140">
        <v>1.69</v>
      </c>
      <c r="CY140">
        <v>2.25</v>
      </c>
      <c r="CZ140">
        <v>1.72</v>
      </c>
      <c r="DA140">
        <v>2.33</v>
      </c>
      <c r="DB140">
        <v>1.68</v>
      </c>
      <c r="DC140">
        <v>2.23</v>
      </c>
      <c r="DD140">
        <v>1.76</v>
      </c>
      <c r="DE140">
        <v>2.2799999999999998</v>
      </c>
      <c r="DF140">
        <v>0</v>
      </c>
      <c r="DG140">
        <v>1.94</v>
      </c>
      <c r="DH140">
        <v>1.99</v>
      </c>
      <c r="DI140">
        <v>1.94</v>
      </c>
      <c r="DJ140">
        <v>1.98</v>
      </c>
      <c r="DK140">
        <v>1.96</v>
      </c>
      <c r="DL140">
        <v>2</v>
      </c>
      <c r="DM140">
        <v>1.92</v>
      </c>
      <c r="DN140">
        <v>1.96</v>
      </c>
      <c r="DO140">
        <v>1.97</v>
      </c>
      <c r="DP140">
        <v>2.0099999999999998</v>
      </c>
    </row>
    <row r="141" spans="1:120" x14ac:dyDescent="0.3">
      <c r="A141" t="s">
        <v>120</v>
      </c>
      <c r="B141" s="2">
        <v>45424</v>
      </c>
      <c r="C141" s="1">
        <v>0.84375</v>
      </c>
      <c r="D141" t="s">
        <v>142</v>
      </c>
      <c r="E141" t="s">
        <v>156</v>
      </c>
      <c r="F141">
        <v>1</v>
      </c>
      <c r="G141">
        <v>0</v>
      </c>
      <c r="H141" t="s">
        <v>124</v>
      </c>
      <c r="I141">
        <v>1</v>
      </c>
      <c r="J141">
        <v>0</v>
      </c>
      <c r="K141" t="s">
        <v>124</v>
      </c>
      <c r="L141" t="s">
        <v>137</v>
      </c>
      <c r="M141">
        <v>21</v>
      </c>
      <c r="N141">
        <v>12</v>
      </c>
      <c r="O141">
        <v>8</v>
      </c>
      <c r="P141">
        <v>4</v>
      </c>
      <c r="Q141">
        <v>15</v>
      </c>
      <c r="R141">
        <v>8</v>
      </c>
      <c r="S141">
        <v>5</v>
      </c>
      <c r="T141">
        <v>9</v>
      </c>
      <c r="U141">
        <v>2</v>
      </c>
      <c r="V141">
        <v>2</v>
      </c>
      <c r="W141">
        <v>0</v>
      </c>
      <c r="X141">
        <v>0</v>
      </c>
      <c r="Y141">
        <v>2.63</v>
      </c>
      <c r="Z141">
        <v>3.75</v>
      </c>
      <c r="AA141">
        <v>2.4500000000000002</v>
      </c>
      <c r="AB141">
        <v>2.7</v>
      </c>
      <c r="AC141">
        <v>3.9</v>
      </c>
      <c r="AD141">
        <v>2.37</v>
      </c>
      <c r="AE141">
        <v>2.63</v>
      </c>
      <c r="AF141">
        <v>3.9</v>
      </c>
      <c r="AG141">
        <v>2.4500000000000002</v>
      </c>
      <c r="AH141">
        <v>2.67</v>
      </c>
      <c r="AI141">
        <v>3.92</v>
      </c>
      <c r="AJ141">
        <v>2.4700000000000002</v>
      </c>
      <c r="AK141">
        <v>2.62</v>
      </c>
      <c r="AL141">
        <v>3.9</v>
      </c>
      <c r="AM141">
        <v>2.4</v>
      </c>
      <c r="AN141">
        <v>2.69</v>
      </c>
      <c r="AO141">
        <v>4.12</v>
      </c>
      <c r="AP141">
        <v>2.4300000000000002</v>
      </c>
      <c r="AQ141">
        <v>2.75</v>
      </c>
      <c r="AR141">
        <v>4.12</v>
      </c>
      <c r="AS141">
        <v>2.5</v>
      </c>
      <c r="AT141">
        <v>2.65</v>
      </c>
      <c r="AU141">
        <v>3.92</v>
      </c>
      <c r="AV141">
        <v>2.42</v>
      </c>
      <c r="AW141">
        <v>2.78</v>
      </c>
      <c r="AX141">
        <v>4</v>
      </c>
      <c r="AY141">
        <v>2.54</v>
      </c>
      <c r="AZ141">
        <v>1.44</v>
      </c>
      <c r="BA141">
        <v>2.75</v>
      </c>
      <c r="BB141">
        <v>1.43</v>
      </c>
      <c r="BC141">
        <v>2.94</v>
      </c>
      <c r="BD141">
        <v>1.44</v>
      </c>
      <c r="BE141">
        <v>3.02</v>
      </c>
      <c r="BF141">
        <v>1.41</v>
      </c>
      <c r="BG141">
        <v>2.9</v>
      </c>
      <c r="BH141">
        <v>1.45</v>
      </c>
      <c r="BI141">
        <v>3.1</v>
      </c>
      <c r="BJ141">
        <v>0</v>
      </c>
      <c r="BK141">
        <v>2.04</v>
      </c>
      <c r="BL141">
        <v>1.86</v>
      </c>
      <c r="BM141">
        <v>2.0299999999999998</v>
      </c>
      <c r="BN141">
        <v>1.88</v>
      </c>
      <c r="BO141">
        <v>2.0699999999999998</v>
      </c>
      <c r="BP141">
        <v>1.88</v>
      </c>
      <c r="BQ141">
        <v>2.0099999999999998</v>
      </c>
      <c r="BR141">
        <v>1.84</v>
      </c>
      <c r="BS141">
        <v>2.08</v>
      </c>
      <c r="BT141">
        <v>1.91</v>
      </c>
      <c r="BU141">
        <v>2.1</v>
      </c>
      <c r="BV141">
        <v>4</v>
      </c>
      <c r="BW141">
        <v>3</v>
      </c>
      <c r="BX141">
        <v>2.2000000000000002</v>
      </c>
      <c r="BY141">
        <v>3.75</v>
      </c>
      <c r="BZ141">
        <v>3</v>
      </c>
      <c r="CA141">
        <v>2.1</v>
      </c>
      <c r="CB141">
        <v>3.9</v>
      </c>
      <c r="CC141">
        <v>3</v>
      </c>
      <c r="CD141">
        <v>2.21</v>
      </c>
      <c r="CE141">
        <v>3.97</v>
      </c>
      <c r="CF141">
        <v>3.06</v>
      </c>
      <c r="CG141">
        <v>2.2000000000000002</v>
      </c>
      <c r="CH141">
        <v>3.7</v>
      </c>
      <c r="CI141">
        <v>3.1</v>
      </c>
      <c r="CJ141">
        <v>2.2599999999999998</v>
      </c>
      <c r="CK141">
        <v>4.1100000000000003</v>
      </c>
      <c r="CL141">
        <v>2.91</v>
      </c>
      <c r="CM141">
        <v>2.36</v>
      </c>
      <c r="CN141">
        <v>4.1100000000000003</v>
      </c>
      <c r="CO141">
        <v>3.2</v>
      </c>
      <c r="CP141">
        <v>2.1800000000000002</v>
      </c>
      <c r="CQ141">
        <v>3.91</v>
      </c>
      <c r="CR141">
        <v>3.05</v>
      </c>
      <c r="CS141">
        <v>2.2400000000000002</v>
      </c>
      <c r="CT141">
        <v>4.0999999999999996</v>
      </c>
      <c r="CU141">
        <v>3.2</v>
      </c>
      <c r="CV141">
        <v>1.44</v>
      </c>
      <c r="CW141">
        <v>2.75</v>
      </c>
      <c r="CX141">
        <v>1.45</v>
      </c>
      <c r="CY141">
        <v>2.85</v>
      </c>
      <c r="CZ141">
        <v>1.47</v>
      </c>
      <c r="DA141">
        <v>2.96</v>
      </c>
      <c r="DB141">
        <v>1.45</v>
      </c>
      <c r="DC141">
        <v>2.83</v>
      </c>
      <c r="DD141">
        <v>1.47</v>
      </c>
      <c r="DE141">
        <v>3.1</v>
      </c>
      <c r="DF141">
        <v>-0.25</v>
      </c>
      <c r="DG141">
        <v>1.95</v>
      </c>
      <c r="DH141">
        <v>1.98</v>
      </c>
      <c r="DI141">
        <v>1.95</v>
      </c>
      <c r="DJ141">
        <v>1.97</v>
      </c>
      <c r="DK141">
        <v>1.99</v>
      </c>
      <c r="DL141">
        <v>2.02</v>
      </c>
      <c r="DM141">
        <v>1.91</v>
      </c>
      <c r="DN141">
        <v>1.95</v>
      </c>
      <c r="DO141">
        <v>1.96</v>
      </c>
      <c r="DP141">
        <v>2.02</v>
      </c>
    </row>
    <row r="142" spans="1:120" x14ac:dyDescent="0.3">
      <c r="A142" t="s">
        <v>120</v>
      </c>
      <c r="B142" s="2">
        <v>45485</v>
      </c>
      <c r="C142" s="1">
        <v>0.625</v>
      </c>
      <c r="D142" t="s">
        <v>145</v>
      </c>
      <c r="E142" t="s">
        <v>139</v>
      </c>
      <c r="F142">
        <v>1</v>
      </c>
      <c r="G142">
        <v>0</v>
      </c>
      <c r="H142" t="s">
        <v>124</v>
      </c>
      <c r="I142">
        <v>1</v>
      </c>
      <c r="J142">
        <v>0</v>
      </c>
      <c r="K142" t="s">
        <v>124</v>
      </c>
      <c r="L142" t="s">
        <v>159</v>
      </c>
      <c r="M142">
        <v>18</v>
      </c>
      <c r="N142">
        <v>4</v>
      </c>
      <c r="O142">
        <v>5</v>
      </c>
      <c r="P142">
        <v>0</v>
      </c>
      <c r="Q142">
        <v>18</v>
      </c>
      <c r="R142">
        <v>15</v>
      </c>
      <c r="S142">
        <v>14</v>
      </c>
      <c r="T142">
        <v>1</v>
      </c>
      <c r="U142">
        <v>1</v>
      </c>
      <c r="V142">
        <v>3</v>
      </c>
      <c r="W142">
        <v>0</v>
      </c>
      <c r="X142">
        <v>0</v>
      </c>
      <c r="Y142">
        <v>1.36</v>
      </c>
      <c r="Z142">
        <v>5.5</v>
      </c>
      <c r="AA142">
        <v>7</v>
      </c>
      <c r="AB142">
        <v>1.37</v>
      </c>
      <c r="AC142">
        <v>5.25</v>
      </c>
      <c r="AD142">
        <v>7.75</v>
      </c>
      <c r="AE142">
        <v>1.33</v>
      </c>
      <c r="AF142">
        <v>5.5</v>
      </c>
      <c r="AG142">
        <v>8</v>
      </c>
      <c r="AH142">
        <v>1.37</v>
      </c>
      <c r="AI142">
        <v>5.48</v>
      </c>
      <c r="AJ142">
        <v>7.77</v>
      </c>
      <c r="AK142">
        <v>1.36</v>
      </c>
      <c r="AL142">
        <v>5</v>
      </c>
      <c r="AM142">
        <v>8</v>
      </c>
      <c r="AQ142">
        <v>1.39</v>
      </c>
      <c r="AR142">
        <v>5.6</v>
      </c>
      <c r="AS142">
        <v>8.1</v>
      </c>
      <c r="AT142">
        <v>1.37</v>
      </c>
      <c r="AU142">
        <v>5.41</v>
      </c>
      <c r="AV142">
        <v>7.78</v>
      </c>
      <c r="AW142">
        <v>1.4</v>
      </c>
      <c r="AX142">
        <v>5.9</v>
      </c>
      <c r="AY142">
        <v>8.6</v>
      </c>
      <c r="AZ142">
        <v>1.44</v>
      </c>
      <c r="BA142">
        <v>2.75</v>
      </c>
      <c r="BB142">
        <v>1.46</v>
      </c>
      <c r="BC142">
        <v>2.82</v>
      </c>
      <c r="BD142">
        <v>1.47</v>
      </c>
      <c r="BE142">
        <v>2.9</v>
      </c>
      <c r="BF142">
        <v>1.44</v>
      </c>
      <c r="BG142">
        <v>2.81</v>
      </c>
      <c r="BH142">
        <v>1.47</v>
      </c>
      <c r="BI142">
        <v>3</v>
      </c>
      <c r="BJ142">
        <v>-1.5</v>
      </c>
      <c r="BK142">
        <v>2.0099999999999998</v>
      </c>
      <c r="BL142">
        <v>1.89</v>
      </c>
      <c r="BM142">
        <v>2.0099999999999998</v>
      </c>
      <c r="BN142">
        <v>1.9</v>
      </c>
      <c r="BO142">
        <v>2.0299999999999998</v>
      </c>
      <c r="BP142">
        <v>1.93</v>
      </c>
      <c r="BQ142">
        <v>1.99</v>
      </c>
      <c r="BR142">
        <v>1.87</v>
      </c>
      <c r="BS142">
        <v>2.0299999999999998</v>
      </c>
      <c r="BT142">
        <v>1.95</v>
      </c>
      <c r="BU142">
        <v>1.3</v>
      </c>
      <c r="BV142">
        <v>5.5</v>
      </c>
      <c r="BW142">
        <v>9</v>
      </c>
      <c r="BX142">
        <v>1.31</v>
      </c>
      <c r="BY142">
        <v>5.75</v>
      </c>
      <c r="BZ142">
        <v>9</v>
      </c>
      <c r="CA142">
        <v>1.3</v>
      </c>
      <c r="CB142">
        <v>5.5</v>
      </c>
      <c r="CC142">
        <v>9.5</v>
      </c>
      <c r="CD142">
        <v>1.33</v>
      </c>
      <c r="CE142">
        <v>5.79</v>
      </c>
      <c r="CF142">
        <v>9.42</v>
      </c>
      <c r="CG142">
        <v>1.33</v>
      </c>
      <c r="CH142">
        <v>5.5</v>
      </c>
      <c r="CI142">
        <v>9</v>
      </c>
      <c r="CJ142">
        <v>1.33</v>
      </c>
      <c r="CK142">
        <v>5.77</v>
      </c>
      <c r="CL142">
        <v>9.4499999999999993</v>
      </c>
      <c r="CM142">
        <v>1.38</v>
      </c>
      <c r="CN142">
        <v>5.9</v>
      </c>
      <c r="CO142">
        <v>10</v>
      </c>
      <c r="CP142">
        <v>1.32</v>
      </c>
      <c r="CQ142">
        <v>5.67</v>
      </c>
      <c r="CR142">
        <v>9.15</v>
      </c>
      <c r="CS142">
        <v>1.36</v>
      </c>
      <c r="CT142">
        <v>6</v>
      </c>
      <c r="CU142">
        <v>9.8000000000000007</v>
      </c>
      <c r="CV142">
        <v>1.44</v>
      </c>
      <c r="CW142">
        <v>2.75</v>
      </c>
      <c r="CX142">
        <v>1.48</v>
      </c>
      <c r="CY142">
        <v>2.75</v>
      </c>
      <c r="CZ142">
        <v>1.51</v>
      </c>
      <c r="DA142">
        <v>2.88</v>
      </c>
      <c r="DB142">
        <v>1.47</v>
      </c>
      <c r="DC142">
        <v>2.73</v>
      </c>
      <c r="DD142">
        <v>1.51</v>
      </c>
      <c r="DE142">
        <v>2.92</v>
      </c>
      <c r="DF142">
        <v>-1.5</v>
      </c>
      <c r="DG142">
        <v>1.89</v>
      </c>
      <c r="DH142">
        <v>2.04</v>
      </c>
      <c r="DI142">
        <v>1.9</v>
      </c>
      <c r="DJ142">
        <v>2.0299999999999998</v>
      </c>
      <c r="DK142">
        <v>1.96</v>
      </c>
      <c r="DL142">
        <v>2.06</v>
      </c>
      <c r="DM142">
        <v>1.88</v>
      </c>
      <c r="DN142">
        <v>1.99</v>
      </c>
      <c r="DO142">
        <v>1.94</v>
      </c>
      <c r="DP142">
        <v>2.0499999999999998</v>
      </c>
    </row>
    <row r="143" spans="1:120" x14ac:dyDescent="0.3">
      <c r="A143" t="s">
        <v>120</v>
      </c>
      <c r="B143" s="2">
        <v>45485</v>
      </c>
      <c r="C143" s="1">
        <v>0.625</v>
      </c>
      <c r="D143" t="s">
        <v>148</v>
      </c>
      <c r="E143" t="s">
        <v>138</v>
      </c>
      <c r="F143">
        <v>4</v>
      </c>
      <c r="G143">
        <v>2</v>
      </c>
      <c r="H143" t="s">
        <v>124</v>
      </c>
      <c r="I143">
        <v>2</v>
      </c>
      <c r="J143">
        <v>2</v>
      </c>
      <c r="K143" t="s">
        <v>125</v>
      </c>
      <c r="L143" t="s">
        <v>131</v>
      </c>
      <c r="M143">
        <v>11</v>
      </c>
      <c r="N143">
        <v>16</v>
      </c>
      <c r="O143">
        <v>8</v>
      </c>
      <c r="P143">
        <v>3</v>
      </c>
      <c r="Q143">
        <v>10</v>
      </c>
      <c r="R143">
        <v>7</v>
      </c>
      <c r="S143">
        <v>3</v>
      </c>
      <c r="T143">
        <v>4</v>
      </c>
      <c r="U143">
        <v>3</v>
      </c>
      <c r="V143">
        <v>0</v>
      </c>
      <c r="W143">
        <v>0</v>
      </c>
      <c r="X143">
        <v>0</v>
      </c>
      <c r="Y143">
        <v>2.88</v>
      </c>
      <c r="Z143">
        <v>3.75</v>
      </c>
      <c r="AA143">
        <v>2.2999999999999998</v>
      </c>
      <c r="AB143">
        <v>2.8</v>
      </c>
      <c r="AC143">
        <v>3.7</v>
      </c>
      <c r="AD143">
        <v>2.37</v>
      </c>
      <c r="AH143">
        <v>2.88</v>
      </c>
      <c r="AI143">
        <v>3.75</v>
      </c>
      <c r="AJ143">
        <v>2.38</v>
      </c>
      <c r="AK143">
        <v>2.88</v>
      </c>
      <c r="AL143">
        <v>3.6</v>
      </c>
      <c r="AM143">
        <v>2.38</v>
      </c>
      <c r="AQ143">
        <v>2.94</v>
      </c>
      <c r="AR143">
        <v>3.85</v>
      </c>
      <c r="AS143">
        <v>2.41</v>
      </c>
      <c r="AT143">
        <v>2.86</v>
      </c>
      <c r="AU143">
        <v>3.74</v>
      </c>
      <c r="AV143">
        <v>2.36</v>
      </c>
      <c r="AW143">
        <v>3</v>
      </c>
      <c r="AX143">
        <v>3.85</v>
      </c>
      <c r="AY143">
        <v>2.42</v>
      </c>
      <c r="AZ143">
        <v>1.57</v>
      </c>
      <c r="BA143">
        <v>2.38</v>
      </c>
      <c r="BB143">
        <v>1.59</v>
      </c>
      <c r="BC143">
        <v>2.4700000000000002</v>
      </c>
      <c r="BD143">
        <v>1.59</v>
      </c>
      <c r="BE143">
        <v>2.52</v>
      </c>
      <c r="BF143">
        <v>1.57</v>
      </c>
      <c r="BG143">
        <v>2.4500000000000002</v>
      </c>
      <c r="BH143">
        <v>1.6</v>
      </c>
      <c r="BI143">
        <v>2.6</v>
      </c>
      <c r="BJ143">
        <v>0.25</v>
      </c>
      <c r="BK143">
        <v>1.84</v>
      </c>
      <c r="BL143">
        <v>2.06</v>
      </c>
      <c r="BM143">
        <v>1.83</v>
      </c>
      <c r="BN143">
        <v>2.09</v>
      </c>
      <c r="BO143">
        <v>1.87</v>
      </c>
      <c r="BP143">
        <v>2.09</v>
      </c>
      <c r="BQ143">
        <v>1.82</v>
      </c>
      <c r="BR143">
        <v>2.04</v>
      </c>
      <c r="BS143">
        <v>1.88</v>
      </c>
      <c r="BT143">
        <v>2.1</v>
      </c>
      <c r="BU143">
        <v>2.88</v>
      </c>
      <c r="BV143">
        <v>3.75</v>
      </c>
      <c r="BW143">
        <v>2.2999999999999998</v>
      </c>
      <c r="BX143">
        <v>2.9</v>
      </c>
      <c r="BY143">
        <v>3.6</v>
      </c>
      <c r="BZ143">
        <v>2.35</v>
      </c>
      <c r="CA143">
        <v>2.9</v>
      </c>
      <c r="CB143">
        <v>3.6</v>
      </c>
      <c r="CC143">
        <v>2.25</v>
      </c>
      <c r="CD143">
        <v>3.02</v>
      </c>
      <c r="CE143">
        <v>3.74</v>
      </c>
      <c r="CF143">
        <v>2.33</v>
      </c>
      <c r="CG143">
        <v>3</v>
      </c>
      <c r="CH143">
        <v>3.5</v>
      </c>
      <c r="CI143">
        <v>2.2999999999999998</v>
      </c>
      <c r="CJ143">
        <v>3.1</v>
      </c>
      <c r="CK143">
        <v>3.84</v>
      </c>
      <c r="CL143">
        <v>2.2400000000000002</v>
      </c>
      <c r="CM143">
        <v>3.1</v>
      </c>
      <c r="CN143">
        <v>3.84</v>
      </c>
      <c r="CO143">
        <v>2.52</v>
      </c>
      <c r="CP143">
        <v>2.95</v>
      </c>
      <c r="CQ143">
        <v>3.68</v>
      </c>
      <c r="CR143">
        <v>2.33</v>
      </c>
      <c r="CS143">
        <v>3.1</v>
      </c>
      <c r="CT143">
        <v>3.85</v>
      </c>
      <c r="CU143">
        <v>2.36</v>
      </c>
      <c r="CV143">
        <v>1.57</v>
      </c>
      <c r="CW143">
        <v>2.38</v>
      </c>
      <c r="CX143">
        <v>1.6</v>
      </c>
      <c r="CY143">
        <v>2.46</v>
      </c>
      <c r="CZ143">
        <v>1.64</v>
      </c>
      <c r="DA143">
        <v>2.5299999999999998</v>
      </c>
      <c r="DB143">
        <v>1.59</v>
      </c>
      <c r="DC143">
        <v>2.42</v>
      </c>
      <c r="DD143">
        <v>1.61</v>
      </c>
      <c r="DE143">
        <v>2.6</v>
      </c>
      <c r="DF143">
        <v>0.25</v>
      </c>
      <c r="DG143">
        <v>1.88</v>
      </c>
      <c r="DH143">
        <v>2.0499999999999998</v>
      </c>
      <c r="DI143">
        <v>1.89</v>
      </c>
      <c r="DJ143">
        <v>2.04</v>
      </c>
      <c r="DK143">
        <v>1.94</v>
      </c>
      <c r="DL143">
        <v>2.06</v>
      </c>
      <c r="DM143">
        <v>1.86</v>
      </c>
      <c r="DN143">
        <v>2.0099999999999998</v>
      </c>
      <c r="DO143">
        <v>1.93</v>
      </c>
      <c r="DP143">
        <v>2.06</v>
      </c>
    </row>
    <row r="144" spans="1:120" x14ac:dyDescent="0.3">
      <c r="A144" t="s">
        <v>120</v>
      </c>
      <c r="B144" s="2">
        <v>45485</v>
      </c>
      <c r="C144" s="1">
        <v>0.625</v>
      </c>
      <c r="D144" t="s">
        <v>149</v>
      </c>
      <c r="E144" t="s">
        <v>152</v>
      </c>
      <c r="F144">
        <v>2</v>
      </c>
      <c r="G144">
        <v>2</v>
      </c>
      <c r="H144" t="s">
        <v>125</v>
      </c>
      <c r="I144">
        <v>1</v>
      </c>
      <c r="J144">
        <v>1</v>
      </c>
      <c r="K144" t="s">
        <v>125</v>
      </c>
      <c r="L144" t="s">
        <v>126</v>
      </c>
      <c r="M144">
        <v>12</v>
      </c>
      <c r="N144">
        <v>12</v>
      </c>
      <c r="O144">
        <v>3</v>
      </c>
      <c r="P144">
        <v>4</v>
      </c>
      <c r="Q144">
        <v>4</v>
      </c>
      <c r="R144">
        <v>10</v>
      </c>
      <c r="S144">
        <v>6</v>
      </c>
      <c r="T144">
        <v>8</v>
      </c>
      <c r="U144">
        <v>1</v>
      </c>
      <c r="V144">
        <v>0</v>
      </c>
      <c r="W144">
        <v>0</v>
      </c>
      <c r="X144">
        <v>1</v>
      </c>
      <c r="Y144">
        <v>5.5</v>
      </c>
      <c r="Z144">
        <v>4.2</v>
      </c>
      <c r="AA144">
        <v>1.57</v>
      </c>
      <c r="AB144">
        <v>5.5</v>
      </c>
      <c r="AC144">
        <v>4.33</v>
      </c>
      <c r="AD144">
        <v>1.58</v>
      </c>
      <c r="AE144">
        <v>5.5</v>
      </c>
      <c r="AF144">
        <v>4.2</v>
      </c>
      <c r="AG144">
        <v>1.6</v>
      </c>
      <c r="AH144">
        <v>5.38</v>
      </c>
      <c r="AI144">
        <v>4.3899999999999997</v>
      </c>
      <c r="AJ144">
        <v>1.6</v>
      </c>
      <c r="AK144">
        <v>5.5</v>
      </c>
      <c r="AL144">
        <v>4.2</v>
      </c>
      <c r="AM144">
        <v>1.6</v>
      </c>
      <c r="AQ144">
        <v>5.5</v>
      </c>
      <c r="AR144">
        <v>4.5</v>
      </c>
      <c r="AS144">
        <v>1.63</v>
      </c>
      <c r="AT144">
        <v>5.39</v>
      </c>
      <c r="AU144">
        <v>4.33</v>
      </c>
      <c r="AV144">
        <v>1.6</v>
      </c>
      <c r="AW144">
        <v>5.8</v>
      </c>
      <c r="AX144">
        <v>4.4000000000000004</v>
      </c>
      <c r="AY144">
        <v>1.65</v>
      </c>
      <c r="AZ144">
        <v>1.62</v>
      </c>
      <c r="BA144">
        <v>2.2999999999999998</v>
      </c>
      <c r="BB144">
        <v>1.64</v>
      </c>
      <c r="BC144">
        <v>2.36</v>
      </c>
      <c r="BD144">
        <v>1.67</v>
      </c>
      <c r="BE144">
        <v>2.41</v>
      </c>
      <c r="BF144">
        <v>1.64</v>
      </c>
      <c r="BG144">
        <v>2.31</v>
      </c>
      <c r="BH144">
        <v>1.67</v>
      </c>
      <c r="BI144">
        <v>2.44</v>
      </c>
      <c r="BJ144">
        <v>1</v>
      </c>
      <c r="BK144">
        <v>1.89</v>
      </c>
      <c r="BL144">
        <v>2.0099999999999998</v>
      </c>
      <c r="BM144">
        <v>1.89</v>
      </c>
      <c r="BN144">
        <v>2.0099999999999998</v>
      </c>
      <c r="BO144">
        <v>1.94</v>
      </c>
      <c r="BP144">
        <v>2.04</v>
      </c>
      <c r="BQ144">
        <v>1.87</v>
      </c>
      <c r="BR144">
        <v>1.99</v>
      </c>
      <c r="BS144">
        <v>1.89</v>
      </c>
      <c r="BT144">
        <v>2.0699999999999998</v>
      </c>
      <c r="BU144">
        <v>4.5</v>
      </c>
      <c r="BV144">
        <v>4</v>
      </c>
      <c r="BW144">
        <v>1.73</v>
      </c>
      <c r="BX144">
        <v>4.4000000000000004</v>
      </c>
      <c r="BY144">
        <v>4</v>
      </c>
      <c r="BZ144">
        <v>1.75</v>
      </c>
      <c r="CA144">
        <v>4.5999999999999996</v>
      </c>
      <c r="CB144">
        <v>3.9</v>
      </c>
      <c r="CC144">
        <v>1.75</v>
      </c>
      <c r="CD144">
        <v>4.6900000000000004</v>
      </c>
      <c r="CE144">
        <v>4.04</v>
      </c>
      <c r="CF144">
        <v>1.76</v>
      </c>
      <c r="CG144">
        <v>4.75</v>
      </c>
      <c r="CH144">
        <v>3.8</v>
      </c>
      <c r="CI144">
        <v>1.73</v>
      </c>
      <c r="CJ144">
        <v>4.88</v>
      </c>
      <c r="CK144">
        <v>4.08</v>
      </c>
      <c r="CL144">
        <v>1.72</v>
      </c>
      <c r="CM144">
        <v>5.01</v>
      </c>
      <c r="CN144">
        <v>4.2</v>
      </c>
      <c r="CO144">
        <v>1.78</v>
      </c>
      <c r="CP144">
        <v>4.67</v>
      </c>
      <c r="CQ144">
        <v>4</v>
      </c>
      <c r="CR144">
        <v>1.74</v>
      </c>
      <c r="CS144">
        <v>4.9000000000000004</v>
      </c>
      <c r="CT144">
        <v>4.0999999999999996</v>
      </c>
      <c r="CU144">
        <v>1.78</v>
      </c>
      <c r="CV144">
        <v>1.62</v>
      </c>
      <c r="CW144">
        <v>2.2999999999999998</v>
      </c>
      <c r="CX144">
        <v>1.63</v>
      </c>
      <c r="CY144">
        <v>2.37</v>
      </c>
      <c r="CZ144">
        <v>1.73</v>
      </c>
      <c r="DA144">
        <v>2.42</v>
      </c>
      <c r="DB144">
        <v>1.64</v>
      </c>
      <c r="DC144">
        <v>2.31</v>
      </c>
      <c r="DD144">
        <v>1.67</v>
      </c>
      <c r="DE144">
        <v>2.46</v>
      </c>
      <c r="DF144">
        <v>0.75</v>
      </c>
      <c r="DG144">
        <v>1.95</v>
      </c>
      <c r="DH144">
        <v>1.95</v>
      </c>
      <c r="DI144">
        <v>1.95</v>
      </c>
      <c r="DJ144">
        <v>1.97</v>
      </c>
      <c r="DK144">
        <v>2</v>
      </c>
      <c r="DL144">
        <v>1.98</v>
      </c>
      <c r="DM144">
        <v>1.93</v>
      </c>
      <c r="DN144">
        <v>1.93</v>
      </c>
      <c r="DO144">
        <v>1.98</v>
      </c>
      <c r="DP144">
        <v>2</v>
      </c>
    </row>
    <row r="145" spans="1:120" x14ac:dyDescent="0.3">
      <c r="A145" t="s">
        <v>120</v>
      </c>
      <c r="B145" s="2">
        <v>45485</v>
      </c>
      <c r="C145" s="1">
        <v>0.72916666666666663</v>
      </c>
      <c r="D145" t="s">
        <v>122</v>
      </c>
      <c r="E145" t="s">
        <v>141</v>
      </c>
      <c r="F145">
        <v>2</v>
      </c>
      <c r="G145">
        <v>3</v>
      </c>
      <c r="H145" t="s">
        <v>130</v>
      </c>
      <c r="I145">
        <v>1</v>
      </c>
      <c r="J145">
        <v>1</v>
      </c>
      <c r="K145" t="s">
        <v>125</v>
      </c>
      <c r="L145" t="s">
        <v>163</v>
      </c>
      <c r="M145">
        <v>17</v>
      </c>
      <c r="N145">
        <v>11</v>
      </c>
      <c r="O145">
        <v>7</v>
      </c>
      <c r="P145">
        <v>3</v>
      </c>
      <c r="Q145">
        <v>10</v>
      </c>
      <c r="R145">
        <v>13</v>
      </c>
      <c r="S145">
        <v>5</v>
      </c>
      <c r="T145">
        <v>3</v>
      </c>
      <c r="U145">
        <v>0</v>
      </c>
      <c r="V145">
        <v>2</v>
      </c>
      <c r="W145">
        <v>0</v>
      </c>
      <c r="X145">
        <v>0</v>
      </c>
      <c r="Y145">
        <v>1.65</v>
      </c>
      <c r="Z145">
        <v>3.9</v>
      </c>
      <c r="AA145">
        <v>5.25</v>
      </c>
      <c r="AB145">
        <v>1.66</v>
      </c>
      <c r="AC145">
        <v>4</v>
      </c>
      <c r="AD145">
        <v>5</v>
      </c>
      <c r="AE145">
        <v>1.67</v>
      </c>
      <c r="AF145">
        <v>4</v>
      </c>
      <c r="AG145">
        <v>5</v>
      </c>
      <c r="AH145">
        <v>1.68</v>
      </c>
      <c r="AI145">
        <v>4.05</v>
      </c>
      <c r="AJ145">
        <v>5.18</v>
      </c>
      <c r="AK145">
        <v>1.67</v>
      </c>
      <c r="AL145">
        <v>4</v>
      </c>
      <c r="AM145">
        <v>5</v>
      </c>
      <c r="AQ145">
        <v>1.7</v>
      </c>
      <c r="AR145">
        <v>4.2</v>
      </c>
      <c r="AS145">
        <v>5.4</v>
      </c>
      <c r="AT145">
        <v>1.67</v>
      </c>
      <c r="AU145">
        <v>4.05</v>
      </c>
      <c r="AV145">
        <v>5.12</v>
      </c>
      <c r="AW145">
        <v>1.71</v>
      </c>
      <c r="AX145">
        <v>4.2</v>
      </c>
      <c r="AY145">
        <v>5.5</v>
      </c>
      <c r="AZ145">
        <v>1.8</v>
      </c>
      <c r="BA145">
        <v>2</v>
      </c>
      <c r="BB145">
        <v>1.82</v>
      </c>
      <c r="BC145">
        <v>2.0499999999999998</v>
      </c>
      <c r="BD145">
        <v>1.84</v>
      </c>
      <c r="BE145">
        <v>2.15</v>
      </c>
      <c r="BF145">
        <v>1.79</v>
      </c>
      <c r="BG145">
        <v>2.0499999999999998</v>
      </c>
      <c r="BH145">
        <v>1.85</v>
      </c>
      <c r="BI145">
        <v>2.14</v>
      </c>
      <c r="BJ145">
        <v>-0.75</v>
      </c>
      <c r="BK145">
        <v>1.85</v>
      </c>
      <c r="BL145">
        <v>2.0499999999999998</v>
      </c>
      <c r="BM145">
        <v>1.87</v>
      </c>
      <c r="BN145">
        <v>2.04</v>
      </c>
      <c r="BO145">
        <v>1.87</v>
      </c>
      <c r="BP145">
        <v>2.08</v>
      </c>
      <c r="BQ145">
        <v>1.83</v>
      </c>
      <c r="BR145">
        <v>2.02</v>
      </c>
      <c r="BS145">
        <v>1.92</v>
      </c>
      <c r="BT145">
        <v>2.0699999999999998</v>
      </c>
      <c r="BU145">
        <v>1.67</v>
      </c>
      <c r="BV145">
        <v>3.9</v>
      </c>
      <c r="BW145">
        <v>5</v>
      </c>
      <c r="BX145">
        <v>1.71</v>
      </c>
      <c r="BY145">
        <v>3.9</v>
      </c>
      <c r="BZ145">
        <v>4.8</v>
      </c>
      <c r="CA145">
        <v>1.67</v>
      </c>
      <c r="CB145">
        <v>3.75</v>
      </c>
      <c r="CC145">
        <v>5</v>
      </c>
      <c r="CD145">
        <v>1.69</v>
      </c>
      <c r="CE145">
        <v>3.98</v>
      </c>
      <c r="CF145">
        <v>5.33</v>
      </c>
      <c r="CG145">
        <v>1.7</v>
      </c>
      <c r="CH145">
        <v>3.8</v>
      </c>
      <c r="CI145">
        <v>5</v>
      </c>
      <c r="CJ145">
        <v>1.69</v>
      </c>
      <c r="CK145">
        <v>4</v>
      </c>
      <c r="CL145">
        <v>5.31</v>
      </c>
      <c r="CM145">
        <v>1.73</v>
      </c>
      <c r="CN145">
        <v>4.0999999999999996</v>
      </c>
      <c r="CO145">
        <v>5.74</v>
      </c>
      <c r="CP145">
        <v>1.68</v>
      </c>
      <c r="CQ145">
        <v>3.93</v>
      </c>
      <c r="CR145">
        <v>5.09</v>
      </c>
      <c r="CS145">
        <v>1.73</v>
      </c>
      <c r="CT145">
        <v>4</v>
      </c>
      <c r="CU145">
        <v>5.6</v>
      </c>
      <c r="CV145">
        <v>1.73</v>
      </c>
      <c r="CW145">
        <v>2.1</v>
      </c>
      <c r="CX145">
        <v>1.83</v>
      </c>
      <c r="CY145">
        <v>2.0699999999999998</v>
      </c>
      <c r="CZ145">
        <v>1.88</v>
      </c>
      <c r="DA145">
        <v>2.17</v>
      </c>
      <c r="DB145">
        <v>1.79</v>
      </c>
      <c r="DC145">
        <v>2.06</v>
      </c>
      <c r="DD145">
        <v>1.84</v>
      </c>
      <c r="DE145">
        <v>2.16</v>
      </c>
      <c r="DF145">
        <v>-0.75</v>
      </c>
      <c r="DG145">
        <v>1.9</v>
      </c>
      <c r="DH145">
        <v>2.0299999999999998</v>
      </c>
      <c r="DI145">
        <v>1.89</v>
      </c>
      <c r="DJ145">
        <v>2.04</v>
      </c>
      <c r="DK145">
        <v>1.95</v>
      </c>
      <c r="DL145">
        <v>2.0499999999999998</v>
      </c>
      <c r="DM145">
        <v>1.88</v>
      </c>
      <c r="DN145">
        <v>1.98</v>
      </c>
      <c r="DO145">
        <v>1.93</v>
      </c>
      <c r="DP145">
        <v>2.06</v>
      </c>
    </row>
    <row r="146" spans="1:120" x14ac:dyDescent="0.3">
      <c r="A146" t="s">
        <v>120</v>
      </c>
      <c r="B146" s="2">
        <v>45516</v>
      </c>
      <c r="C146" s="1">
        <v>0.58333333333333337</v>
      </c>
      <c r="D146" t="s">
        <v>123</v>
      </c>
      <c r="E146" t="s">
        <v>132</v>
      </c>
      <c r="F146">
        <v>1</v>
      </c>
      <c r="G146">
        <v>1</v>
      </c>
      <c r="H146" t="s">
        <v>125</v>
      </c>
      <c r="I146">
        <v>1</v>
      </c>
      <c r="J146">
        <v>0</v>
      </c>
      <c r="K146" t="s">
        <v>124</v>
      </c>
      <c r="L146" t="s">
        <v>157</v>
      </c>
      <c r="M146">
        <v>2</v>
      </c>
      <c r="N146">
        <v>12</v>
      </c>
      <c r="O146">
        <v>2</v>
      </c>
      <c r="P146">
        <v>4</v>
      </c>
      <c r="Q146">
        <v>10</v>
      </c>
      <c r="R146">
        <v>9</v>
      </c>
      <c r="S146">
        <v>0</v>
      </c>
      <c r="T146">
        <v>6</v>
      </c>
      <c r="U146">
        <v>4</v>
      </c>
      <c r="V146">
        <v>2</v>
      </c>
      <c r="W146">
        <v>0</v>
      </c>
      <c r="X146">
        <v>0</v>
      </c>
      <c r="Y146">
        <v>5</v>
      </c>
      <c r="Z146">
        <v>4.33</v>
      </c>
      <c r="AA146">
        <v>1.6</v>
      </c>
      <c r="AB146">
        <v>5.5</v>
      </c>
      <c r="AC146">
        <v>4.2</v>
      </c>
      <c r="AD146">
        <v>1.6</v>
      </c>
      <c r="AE146">
        <v>5.5</v>
      </c>
      <c r="AF146">
        <v>4.2</v>
      </c>
      <c r="AG146">
        <v>1.6</v>
      </c>
      <c r="AH146">
        <v>5.33</v>
      </c>
      <c r="AI146">
        <v>4.22</v>
      </c>
      <c r="AJ146">
        <v>1.63</v>
      </c>
      <c r="AK146">
        <v>5.5</v>
      </c>
      <c r="AL146">
        <v>4.2</v>
      </c>
      <c r="AM146">
        <v>1.6</v>
      </c>
      <c r="AQ146">
        <v>6</v>
      </c>
      <c r="AR146">
        <v>4.3499999999999996</v>
      </c>
      <c r="AS146">
        <v>1.65</v>
      </c>
      <c r="AT146">
        <v>5.4</v>
      </c>
      <c r="AU146">
        <v>4.24</v>
      </c>
      <c r="AV146">
        <v>1.61</v>
      </c>
      <c r="AW146">
        <v>6</v>
      </c>
      <c r="AX146">
        <v>4.4000000000000004</v>
      </c>
      <c r="AY146">
        <v>1.64</v>
      </c>
      <c r="AZ146">
        <v>1.8</v>
      </c>
      <c r="BA146">
        <v>2</v>
      </c>
      <c r="BB146">
        <v>1.82</v>
      </c>
      <c r="BC146">
        <v>2.06</v>
      </c>
      <c r="BD146">
        <v>1.84</v>
      </c>
      <c r="BE146">
        <v>2.17</v>
      </c>
      <c r="BF146">
        <v>1.78</v>
      </c>
      <c r="BG146">
        <v>2.06</v>
      </c>
      <c r="BH146">
        <v>1.83</v>
      </c>
      <c r="BI146">
        <v>2.14</v>
      </c>
      <c r="BJ146">
        <v>1</v>
      </c>
      <c r="BK146">
        <v>1.85</v>
      </c>
      <c r="BL146">
        <v>2.0499999999999998</v>
      </c>
      <c r="BM146">
        <v>1.84</v>
      </c>
      <c r="BN146">
        <v>2.08</v>
      </c>
      <c r="BO146">
        <v>1.87</v>
      </c>
      <c r="BP146">
        <v>2.1</v>
      </c>
      <c r="BQ146">
        <v>1.83</v>
      </c>
      <c r="BR146">
        <v>2.04</v>
      </c>
      <c r="BS146">
        <v>1.87</v>
      </c>
      <c r="BT146">
        <v>2.0699999999999998</v>
      </c>
      <c r="BU146">
        <v>5</v>
      </c>
      <c r="BV146">
        <v>4.33</v>
      </c>
      <c r="BW146">
        <v>1.62</v>
      </c>
      <c r="BX146">
        <v>5.25</v>
      </c>
      <c r="BY146">
        <v>4.2</v>
      </c>
      <c r="BZ146">
        <v>1.61</v>
      </c>
      <c r="CA146">
        <v>5.5</v>
      </c>
      <c r="CB146">
        <v>4.0999999999999996</v>
      </c>
      <c r="CC146">
        <v>1.57</v>
      </c>
      <c r="CD146">
        <v>5.5</v>
      </c>
      <c r="CE146">
        <v>4.2</v>
      </c>
      <c r="CF146">
        <v>1.64</v>
      </c>
      <c r="CG146">
        <v>5.5</v>
      </c>
      <c r="CH146">
        <v>4.2</v>
      </c>
      <c r="CI146">
        <v>1.6</v>
      </c>
      <c r="CJ146">
        <v>5.42</v>
      </c>
      <c r="CK146">
        <v>4.41</v>
      </c>
      <c r="CL146">
        <v>1.62</v>
      </c>
      <c r="CM146">
        <v>5.85</v>
      </c>
      <c r="CN146">
        <v>4.41</v>
      </c>
      <c r="CO146">
        <v>1.65</v>
      </c>
      <c r="CP146">
        <v>5.34</v>
      </c>
      <c r="CQ146">
        <v>4.24</v>
      </c>
      <c r="CR146">
        <v>1.62</v>
      </c>
      <c r="CS146">
        <v>6</v>
      </c>
      <c r="CT146">
        <v>4.4000000000000004</v>
      </c>
      <c r="CU146">
        <v>1.63</v>
      </c>
      <c r="CV146">
        <v>1.73</v>
      </c>
      <c r="CW146">
        <v>2.1</v>
      </c>
      <c r="CX146">
        <v>1.79</v>
      </c>
      <c r="CY146">
        <v>2.12</v>
      </c>
      <c r="CZ146">
        <v>1.79</v>
      </c>
      <c r="DA146">
        <v>2.23</v>
      </c>
      <c r="DB146">
        <v>1.74</v>
      </c>
      <c r="DC146">
        <v>2.14</v>
      </c>
      <c r="DD146">
        <v>1.81</v>
      </c>
      <c r="DE146">
        <v>2.2200000000000002</v>
      </c>
      <c r="DF146">
        <v>1</v>
      </c>
      <c r="DG146">
        <v>1.75</v>
      </c>
      <c r="DH146">
        <v>2.0499999999999998</v>
      </c>
      <c r="DI146">
        <v>1.83</v>
      </c>
      <c r="DJ146">
        <v>2.12</v>
      </c>
      <c r="DK146">
        <v>1.93</v>
      </c>
      <c r="DL146">
        <v>2.14</v>
      </c>
      <c r="DM146">
        <v>1.81</v>
      </c>
      <c r="DN146">
        <v>2.06</v>
      </c>
      <c r="DO146">
        <v>1.86</v>
      </c>
      <c r="DP146">
        <v>2.13</v>
      </c>
    </row>
    <row r="147" spans="1:120" x14ac:dyDescent="0.3">
      <c r="A147" t="s">
        <v>120</v>
      </c>
      <c r="B147" s="2">
        <v>45516</v>
      </c>
      <c r="C147" s="1">
        <v>0.58333333333333337</v>
      </c>
      <c r="D147" t="s">
        <v>128</v>
      </c>
      <c r="E147" t="s">
        <v>142</v>
      </c>
      <c r="F147">
        <v>1</v>
      </c>
      <c r="G147">
        <v>2</v>
      </c>
      <c r="H147" t="s">
        <v>130</v>
      </c>
      <c r="I147">
        <v>1</v>
      </c>
      <c r="J147">
        <v>0</v>
      </c>
      <c r="K147" t="s">
        <v>124</v>
      </c>
      <c r="L147" t="s">
        <v>160</v>
      </c>
      <c r="M147">
        <v>18</v>
      </c>
      <c r="N147">
        <v>22</v>
      </c>
      <c r="O147">
        <v>5</v>
      </c>
      <c r="P147">
        <v>6</v>
      </c>
      <c r="Q147">
        <v>9</v>
      </c>
      <c r="R147">
        <v>13</v>
      </c>
      <c r="S147">
        <v>6</v>
      </c>
      <c r="T147">
        <v>13</v>
      </c>
      <c r="U147">
        <v>2</v>
      </c>
      <c r="V147">
        <v>1</v>
      </c>
      <c r="W147">
        <v>0</v>
      </c>
      <c r="X147">
        <v>0</v>
      </c>
      <c r="Y147">
        <v>3.5</v>
      </c>
      <c r="Z147">
        <v>3.75</v>
      </c>
      <c r="AA147">
        <v>2</v>
      </c>
      <c r="AB147">
        <v>3.4</v>
      </c>
      <c r="AC147">
        <v>3.6</v>
      </c>
      <c r="AD147">
        <v>2.0499999999999998</v>
      </c>
      <c r="AE147">
        <v>3.6</v>
      </c>
      <c r="AF147">
        <v>3.7</v>
      </c>
      <c r="AG147">
        <v>2</v>
      </c>
      <c r="AH147">
        <v>3.68</v>
      </c>
      <c r="AI147">
        <v>3.76</v>
      </c>
      <c r="AJ147">
        <v>2.0099999999999998</v>
      </c>
      <c r="AK147">
        <v>3.5</v>
      </c>
      <c r="AL147">
        <v>3.7</v>
      </c>
      <c r="AM147">
        <v>2.0499999999999998</v>
      </c>
      <c r="AQ147">
        <v>3.71</v>
      </c>
      <c r="AR147">
        <v>3.8</v>
      </c>
      <c r="AS147">
        <v>2.06</v>
      </c>
      <c r="AT147">
        <v>3.57</v>
      </c>
      <c r="AU147">
        <v>3.73</v>
      </c>
      <c r="AV147">
        <v>2.02</v>
      </c>
      <c r="AW147">
        <v>3.75</v>
      </c>
      <c r="AX147">
        <v>3.85</v>
      </c>
      <c r="AY147">
        <v>2.08</v>
      </c>
      <c r="AZ147">
        <v>1.73</v>
      </c>
      <c r="BA147">
        <v>2.1</v>
      </c>
      <c r="BB147">
        <v>1.72</v>
      </c>
      <c r="BC147">
        <v>2.2000000000000002</v>
      </c>
      <c r="BD147">
        <v>1.75</v>
      </c>
      <c r="BE147">
        <v>2.2200000000000002</v>
      </c>
      <c r="BF147">
        <v>1.72</v>
      </c>
      <c r="BG147">
        <v>2.16</v>
      </c>
      <c r="BH147">
        <v>1.75</v>
      </c>
      <c r="BI147">
        <v>2.2599999999999998</v>
      </c>
      <c r="BJ147">
        <v>0.5</v>
      </c>
      <c r="BK147">
        <v>1.87</v>
      </c>
      <c r="BL147">
        <v>2.0299999999999998</v>
      </c>
      <c r="BM147">
        <v>1.88</v>
      </c>
      <c r="BN147">
        <v>2.02</v>
      </c>
      <c r="BO147">
        <v>1.89</v>
      </c>
      <c r="BP147">
        <v>2.0499999999999998</v>
      </c>
      <c r="BQ147">
        <v>1.85</v>
      </c>
      <c r="BR147">
        <v>2.0099999999999998</v>
      </c>
      <c r="BS147">
        <v>1.9</v>
      </c>
      <c r="BT147">
        <v>2.08</v>
      </c>
      <c r="BU147">
        <v>3.7</v>
      </c>
      <c r="BV147">
        <v>3.8</v>
      </c>
      <c r="BW147">
        <v>1.91</v>
      </c>
      <c r="BX147">
        <v>3.8</v>
      </c>
      <c r="BY147">
        <v>3.75</v>
      </c>
      <c r="BZ147">
        <v>1.93</v>
      </c>
      <c r="CA147">
        <v>3.6</v>
      </c>
      <c r="CB147">
        <v>3.6</v>
      </c>
      <c r="CC147">
        <v>1.95</v>
      </c>
      <c r="CD147">
        <v>3.92</v>
      </c>
      <c r="CE147">
        <v>3.82</v>
      </c>
      <c r="CF147">
        <v>1.95</v>
      </c>
      <c r="CG147">
        <v>3.8</v>
      </c>
      <c r="CH147">
        <v>3.75</v>
      </c>
      <c r="CI147">
        <v>1.91</v>
      </c>
      <c r="CJ147">
        <v>3.95</v>
      </c>
      <c r="CK147">
        <v>3.9</v>
      </c>
      <c r="CL147">
        <v>1.92</v>
      </c>
      <c r="CM147">
        <v>4</v>
      </c>
      <c r="CN147">
        <v>4</v>
      </c>
      <c r="CO147">
        <v>2</v>
      </c>
      <c r="CP147">
        <v>3.81</v>
      </c>
      <c r="CQ147">
        <v>3.83</v>
      </c>
      <c r="CR147">
        <v>1.93</v>
      </c>
      <c r="CS147">
        <v>3.95</v>
      </c>
      <c r="CT147">
        <v>3.9</v>
      </c>
      <c r="CU147">
        <v>2.02</v>
      </c>
      <c r="CV147">
        <v>1.67</v>
      </c>
      <c r="CW147">
        <v>2.2000000000000002</v>
      </c>
      <c r="CX147">
        <v>1.7</v>
      </c>
      <c r="CY147">
        <v>2.2599999999999998</v>
      </c>
      <c r="CZ147">
        <v>1.7</v>
      </c>
      <c r="DA147">
        <v>2.35</v>
      </c>
      <c r="DB147">
        <v>1.67</v>
      </c>
      <c r="DC147">
        <v>2.25</v>
      </c>
      <c r="DD147">
        <v>1.73</v>
      </c>
      <c r="DE147">
        <v>2.34</v>
      </c>
      <c r="DF147">
        <v>0.5</v>
      </c>
      <c r="DG147">
        <v>1.95</v>
      </c>
      <c r="DH147">
        <v>1.95</v>
      </c>
      <c r="DI147">
        <v>1.96</v>
      </c>
      <c r="DJ147">
        <v>1.96</v>
      </c>
      <c r="DK147">
        <v>2</v>
      </c>
      <c r="DL147">
        <v>1.99</v>
      </c>
      <c r="DM147">
        <v>1.94</v>
      </c>
      <c r="DN147">
        <v>1.92</v>
      </c>
      <c r="DO147">
        <v>1.96</v>
      </c>
      <c r="DP147">
        <v>2.0299999999999998</v>
      </c>
    </row>
    <row r="148" spans="1:120" x14ac:dyDescent="0.3">
      <c r="A148" t="s">
        <v>120</v>
      </c>
      <c r="B148" s="2">
        <v>45516</v>
      </c>
      <c r="C148" s="1">
        <v>0.58333333333333337</v>
      </c>
      <c r="D148" t="s">
        <v>155</v>
      </c>
      <c r="E148" t="s">
        <v>136</v>
      </c>
      <c r="F148">
        <v>2</v>
      </c>
      <c r="G148">
        <v>2</v>
      </c>
      <c r="H148" t="s">
        <v>125</v>
      </c>
      <c r="I148">
        <v>0</v>
      </c>
      <c r="J148">
        <v>1</v>
      </c>
      <c r="K148" t="s">
        <v>130</v>
      </c>
      <c r="L148" t="s">
        <v>164</v>
      </c>
      <c r="M148">
        <v>10</v>
      </c>
      <c r="N148">
        <v>16</v>
      </c>
      <c r="O148">
        <v>3</v>
      </c>
      <c r="P148">
        <v>7</v>
      </c>
      <c r="Q148">
        <v>9</v>
      </c>
      <c r="R148">
        <v>10</v>
      </c>
      <c r="S148">
        <v>5</v>
      </c>
      <c r="T148">
        <v>5</v>
      </c>
      <c r="U148">
        <v>1</v>
      </c>
      <c r="V148">
        <v>2</v>
      </c>
      <c r="W148">
        <v>0</v>
      </c>
      <c r="X148">
        <v>0</v>
      </c>
      <c r="Y148">
        <v>4.5</v>
      </c>
      <c r="Z148">
        <v>3.8</v>
      </c>
      <c r="AA148">
        <v>1.73</v>
      </c>
      <c r="AB148">
        <v>4.5</v>
      </c>
      <c r="AC148">
        <v>4.0999999999999996</v>
      </c>
      <c r="AD148">
        <v>1.71</v>
      </c>
      <c r="AE148">
        <v>4.5999999999999996</v>
      </c>
      <c r="AF148">
        <v>4</v>
      </c>
      <c r="AG148">
        <v>1.75</v>
      </c>
      <c r="AH148">
        <v>4.6900000000000004</v>
      </c>
      <c r="AI148">
        <v>4.07</v>
      </c>
      <c r="AJ148">
        <v>1.73</v>
      </c>
      <c r="AK148">
        <v>4.33</v>
      </c>
      <c r="AL148">
        <v>4</v>
      </c>
      <c r="AM148">
        <v>1.75</v>
      </c>
      <c r="AQ148">
        <v>4.6900000000000004</v>
      </c>
      <c r="AR148">
        <v>4.2</v>
      </c>
      <c r="AS148">
        <v>1.8</v>
      </c>
      <c r="AT148">
        <v>4.4800000000000004</v>
      </c>
      <c r="AU148">
        <v>4.0199999999999996</v>
      </c>
      <c r="AV148">
        <v>1.75</v>
      </c>
      <c r="AW148">
        <v>4.8</v>
      </c>
      <c r="AX148">
        <v>4.2</v>
      </c>
      <c r="AY148">
        <v>1.79</v>
      </c>
      <c r="AZ148">
        <v>1.57</v>
      </c>
      <c r="BA148">
        <v>2.38</v>
      </c>
      <c r="BB148">
        <v>1.61</v>
      </c>
      <c r="BC148">
        <v>2.41</v>
      </c>
      <c r="BD148">
        <v>1.63</v>
      </c>
      <c r="BE148">
        <v>2.44</v>
      </c>
      <c r="BF148">
        <v>1.59</v>
      </c>
      <c r="BG148">
        <v>2.39</v>
      </c>
      <c r="BH148">
        <v>1.64</v>
      </c>
      <c r="BI148">
        <v>2.44</v>
      </c>
      <c r="BJ148">
        <v>0.75</v>
      </c>
      <c r="BK148">
        <v>1.95</v>
      </c>
      <c r="BL148">
        <v>1.95</v>
      </c>
      <c r="BM148">
        <v>1.96</v>
      </c>
      <c r="BN148">
        <v>1.94</v>
      </c>
      <c r="BO148">
        <v>1.98</v>
      </c>
      <c r="BP148">
        <v>1.98</v>
      </c>
      <c r="BQ148">
        <v>1.93</v>
      </c>
      <c r="BR148">
        <v>1.92</v>
      </c>
      <c r="BS148">
        <v>1.96</v>
      </c>
      <c r="BT148">
        <v>2</v>
      </c>
      <c r="BU148">
        <v>5</v>
      </c>
      <c r="BV148">
        <v>4.2</v>
      </c>
      <c r="BW148">
        <v>1.65</v>
      </c>
      <c r="BX148">
        <v>4.8</v>
      </c>
      <c r="BY148">
        <v>4.2</v>
      </c>
      <c r="BZ148">
        <v>1.65</v>
      </c>
      <c r="CA148">
        <v>5</v>
      </c>
      <c r="CB148">
        <v>4.0999999999999996</v>
      </c>
      <c r="CC148">
        <v>1.62</v>
      </c>
      <c r="CD148">
        <v>4.9800000000000004</v>
      </c>
      <c r="CE148">
        <v>4.2699999999999996</v>
      </c>
      <c r="CF148">
        <v>1.68</v>
      </c>
      <c r="CG148">
        <v>5</v>
      </c>
      <c r="CH148">
        <v>4</v>
      </c>
      <c r="CI148">
        <v>1.67</v>
      </c>
      <c r="CJ148">
        <v>4.87</v>
      </c>
      <c r="CK148">
        <v>4.25</v>
      </c>
      <c r="CL148">
        <v>1.7</v>
      </c>
      <c r="CM148">
        <v>5.25</v>
      </c>
      <c r="CN148">
        <v>4.3499999999999996</v>
      </c>
      <c r="CO148">
        <v>1.73</v>
      </c>
      <c r="CP148">
        <v>4.92</v>
      </c>
      <c r="CQ148">
        <v>4.22</v>
      </c>
      <c r="CR148">
        <v>1.67</v>
      </c>
      <c r="CS148">
        <v>5.2</v>
      </c>
      <c r="CT148">
        <v>4.5</v>
      </c>
      <c r="CU148">
        <v>1.69</v>
      </c>
      <c r="CV148">
        <v>1.53</v>
      </c>
      <c r="CW148">
        <v>2.5</v>
      </c>
      <c r="CX148">
        <v>1.58</v>
      </c>
      <c r="CY148">
        <v>2.5099999999999998</v>
      </c>
      <c r="CZ148">
        <v>1.61</v>
      </c>
      <c r="DA148">
        <v>2.63</v>
      </c>
      <c r="DB148">
        <v>1.56</v>
      </c>
      <c r="DC148">
        <v>2.4900000000000002</v>
      </c>
      <c r="DD148">
        <v>1.58</v>
      </c>
      <c r="DE148">
        <v>2.7</v>
      </c>
      <c r="DF148">
        <v>0.75</v>
      </c>
      <c r="DG148">
        <v>2.06</v>
      </c>
      <c r="DH148">
        <v>1.84</v>
      </c>
      <c r="DI148">
        <v>2.08</v>
      </c>
      <c r="DJ148">
        <v>1.85</v>
      </c>
      <c r="DK148">
        <v>2.09</v>
      </c>
      <c r="DL148">
        <v>1.87</v>
      </c>
      <c r="DM148">
        <v>2.04</v>
      </c>
      <c r="DN148">
        <v>1.83</v>
      </c>
      <c r="DO148">
        <v>2.13</v>
      </c>
      <c r="DP148">
        <v>1.86</v>
      </c>
    </row>
    <row r="149" spans="1:120" x14ac:dyDescent="0.3">
      <c r="A149" t="s">
        <v>120</v>
      </c>
      <c r="B149" s="2">
        <v>45516</v>
      </c>
      <c r="C149" s="1">
        <v>0.6875</v>
      </c>
      <c r="D149" t="s">
        <v>156</v>
      </c>
      <c r="E149" t="s">
        <v>151</v>
      </c>
      <c r="F149">
        <v>3</v>
      </c>
      <c r="G149">
        <v>4</v>
      </c>
      <c r="H149" t="s">
        <v>130</v>
      </c>
      <c r="I149">
        <v>2</v>
      </c>
      <c r="J149">
        <v>1</v>
      </c>
      <c r="K149" t="s">
        <v>124</v>
      </c>
      <c r="L149" t="s">
        <v>153</v>
      </c>
      <c r="M149">
        <v>13</v>
      </c>
      <c r="N149">
        <v>17</v>
      </c>
      <c r="O149">
        <v>5</v>
      </c>
      <c r="P149">
        <v>8</v>
      </c>
      <c r="Q149">
        <v>17</v>
      </c>
      <c r="R149">
        <v>11</v>
      </c>
      <c r="S149">
        <v>5</v>
      </c>
      <c r="T149">
        <v>10</v>
      </c>
      <c r="U149">
        <v>2</v>
      </c>
      <c r="V149">
        <v>2</v>
      </c>
      <c r="W149">
        <v>0</v>
      </c>
      <c r="X149">
        <v>0</v>
      </c>
      <c r="Y149">
        <v>3.4</v>
      </c>
      <c r="Z149">
        <v>3.9</v>
      </c>
      <c r="AA149">
        <v>2</v>
      </c>
      <c r="AB149">
        <v>3.1</v>
      </c>
      <c r="AC149">
        <v>4</v>
      </c>
      <c r="AD149">
        <v>2.1</v>
      </c>
      <c r="AE149">
        <v>3.25</v>
      </c>
      <c r="AF149">
        <v>3.9</v>
      </c>
      <c r="AG149">
        <v>2.1</v>
      </c>
      <c r="AH149">
        <v>3.23</v>
      </c>
      <c r="AI149">
        <v>4.13</v>
      </c>
      <c r="AJ149">
        <v>2.0699999999999998</v>
      </c>
      <c r="AK149">
        <v>3.1</v>
      </c>
      <c r="AL149">
        <v>4</v>
      </c>
      <c r="AM149">
        <v>2.1</v>
      </c>
      <c r="AQ149">
        <v>3.4</v>
      </c>
      <c r="AR149">
        <v>4.2</v>
      </c>
      <c r="AS149">
        <v>2.17</v>
      </c>
      <c r="AT149">
        <v>3.21</v>
      </c>
      <c r="AU149">
        <v>4.04</v>
      </c>
      <c r="AV149">
        <v>2.0699999999999998</v>
      </c>
      <c r="AW149">
        <v>3.4</v>
      </c>
      <c r="AX149">
        <v>4.0999999999999996</v>
      </c>
      <c r="AY149">
        <v>2.12</v>
      </c>
      <c r="AZ149">
        <v>1.36</v>
      </c>
      <c r="BA149">
        <v>3.2</v>
      </c>
      <c r="BB149">
        <v>1.36</v>
      </c>
      <c r="BC149">
        <v>3.32</v>
      </c>
      <c r="BD149">
        <v>1.36</v>
      </c>
      <c r="BE149">
        <v>3.45</v>
      </c>
      <c r="BF149">
        <v>1.35</v>
      </c>
      <c r="BG149">
        <v>3.26</v>
      </c>
      <c r="BH149">
        <v>1.4</v>
      </c>
      <c r="BI149">
        <v>3.4</v>
      </c>
      <c r="BJ149">
        <v>0.5</v>
      </c>
      <c r="BK149">
        <v>1.86</v>
      </c>
      <c r="BL149">
        <v>2.04</v>
      </c>
      <c r="BM149">
        <v>1.83</v>
      </c>
      <c r="BN149">
        <v>2.0699999999999998</v>
      </c>
      <c r="BO149">
        <v>1.86</v>
      </c>
      <c r="BP149">
        <v>2.12</v>
      </c>
      <c r="BQ149">
        <v>1.82</v>
      </c>
      <c r="BR149">
        <v>2.04</v>
      </c>
      <c r="BS149">
        <v>1.87</v>
      </c>
      <c r="BT149">
        <v>2.12</v>
      </c>
      <c r="BU149">
        <v>2.88</v>
      </c>
      <c r="BV149">
        <v>4</v>
      </c>
      <c r="BW149">
        <v>2.2000000000000002</v>
      </c>
      <c r="BX149">
        <v>2.8</v>
      </c>
      <c r="BY149">
        <v>3.9</v>
      </c>
      <c r="BZ149">
        <v>2.25</v>
      </c>
      <c r="CA149">
        <v>2.8</v>
      </c>
      <c r="CB149">
        <v>3.9</v>
      </c>
      <c r="CC149">
        <v>2.2000000000000002</v>
      </c>
      <c r="CD149">
        <v>2.93</v>
      </c>
      <c r="CE149">
        <v>4.0999999999999996</v>
      </c>
      <c r="CF149">
        <v>2.25</v>
      </c>
      <c r="CG149">
        <v>3</v>
      </c>
      <c r="CH149">
        <v>3.8</v>
      </c>
      <c r="CI149">
        <v>2.2000000000000002</v>
      </c>
      <c r="CJ149">
        <v>3.12</v>
      </c>
      <c r="CK149">
        <v>4.08</v>
      </c>
      <c r="CL149">
        <v>2.15</v>
      </c>
      <c r="CM149">
        <v>3.12</v>
      </c>
      <c r="CN149">
        <v>4.0999999999999996</v>
      </c>
      <c r="CO149">
        <v>2.35</v>
      </c>
      <c r="CP149">
        <v>2.9</v>
      </c>
      <c r="CQ149">
        <v>3.98</v>
      </c>
      <c r="CR149">
        <v>2.2400000000000002</v>
      </c>
      <c r="CS149">
        <v>3</v>
      </c>
      <c r="CT149">
        <v>4.2</v>
      </c>
      <c r="CU149">
        <v>2.2999999999999998</v>
      </c>
      <c r="CV149">
        <v>1.33</v>
      </c>
      <c r="CW149">
        <v>3.4</v>
      </c>
      <c r="CX149">
        <v>1.35</v>
      </c>
      <c r="CY149">
        <v>3.37</v>
      </c>
      <c r="CZ149">
        <v>1.37</v>
      </c>
      <c r="DA149">
        <v>3.45</v>
      </c>
      <c r="DB149">
        <v>1.34</v>
      </c>
      <c r="DC149">
        <v>3.31</v>
      </c>
      <c r="DD149">
        <v>1.38</v>
      </c>
      <c r="DE149">
        <v>3.6</v>
      </c>
      <c r="DF149">
        <v>0.25</v>
      </c>
      <c r="DG149">
        <v>1.9</v>
      </c>
      <c r="DH149">
        <v>2</v>
      </c>
      <c r="DI149">
        <v>1.93</v>
      </c>
      <c r="DJ149">
        <v>2</v>
      </c>
      <c r="DK149">
        <v>1.98</v>
      </c>
      <c r="DL149">
        <v>2.0499999999999998</v>
      </c>
      <c r="DM149">
        <v>1.89</v>
      </c>
      <c r="DN149">
        <v>1.97</v>
      </c>
      <c r="DO149">
        <v>1.95</v>
      </c>
      <c r="DP149">
        <v>2.04</v>
      </c>
    </row>
    <row r="150" spans="1:120" x14ac:dyDescent="0.3">
      <c r="A150" t="s">
        <v>120</v>
      </c>
      <c r="B150" s="2">
        <v>45547</v>
      </c>
      <c r="C150" s="1">
        <v>0.83333333333333337</v>
      </c>
      <c r="D150" t="s">
        <v>144</v>
      </c>
      <c r="E150" t="s">
        <v>133</v>
      </c>
      <c r="F150">
        <v>2</v>
      </c>
      <c r="G150">
        <v>1</v>
      </c>
      <c r="H150" t="s">
        <v>124</v>
      </c>
      <c r="I150">
        <v>0</v>
      </c>
      <c r="J150">
        <v>0</v>
      </c>
      <c r="K150" t="s">
        <v>125</v>
      </c>
      <c r="L150" t="s">
        <v>173</v>
      </c>
      <c r="M150">
        <v>19</v>
      </c>
      <c r="N150">
        <v>19</v>
      </c>
      <c r="O150">
        <v>4</v>
      </c>
      <c r="P150">
        <v>5</v>
      </c>
      <c r="Q150">
        <v>12</v>
      </c>
      <c r="R150">
        <v>17</v>
      </c>
      <c r="S150">
        <v>11</v>
      </c>
      <c r="T150">
        <v>0</v>
      </c>
      <c r="U150">
        <v>5</v>
      </c>
      <c r="V150">
        <v>4</v>
      </c>
      <c r="W150">
        <v>0</v>
      </c>
      <c r="X150">
        <v>0</v>
      </c>
      <c r="Y150">
        <v>1.9</v>
      </c>
      <c r="Z150">
        <v>3.9</v>
      </c>
      <c r="AA150">
        <v>3.75</v>
      </c>
      <c r="AB150">
        <v>1.93</v>
      </c>
      <c r="AC150">
        <v>3.75</v>
      </c>
      <c r="AD150">
        <v>3.75</v>
      </c>
      <c r="AE150">
        <v>1.85</v>
      </c>
      <c r="AF150">
        <v>3.75</v>
      </c>
      <c r="AG150">
        <v>3.8</v>
      </c>
      <c r="AH150">
        <v>1.95</v>
      </c>
      <c r="AI150">
        <v>3.88</v>
      </c>
      <c r="AJ150">
        <v>3.76</v>
      </c>
      <c r="AK150">
        <v>1.91</v>
      </c>
      <c r="AL150">
        <v>3.8</v>
      </c>
      <c r="AM150">
        <v>3.8</v>
      </c>
      <c r="AQ150">
        <v>1.96</v>
      </c>
      <c r="AR150">
        <v>3.95</v>
      </c>
      <c r="AS150">
        <v>4</v>
      </c>
      <c r="AT150">
        <v>1.91</v>
      </c>
      <c r="AU150">
        <v>3.85</v>
      </c>
      <c r="AV150">
        <v>3.81</v>
      </c>
      <c r="AW150">
        <v>1.94</v>
      </c>
      <c r="AX150">
        <v>4</v>
      </c>
      <c r="AY150">
        <v>4</v>
      </c>
      <c r="AZ150">
        <v>1.62</v>
      </c>
      <c r="BA150">
        <v>2.2999999999999998</v>
      </c>
      <c r="BB150">
        <v>1.62</v>
      </c>
      <c r="BC150">
        <v>2.4</v>
      </c>
      <c r="BD150">
        <v>1.65</v>
      </c>
      <c r="BE150">
        <v>2.4500000000000002</v>
      </c>
      <c r="BF150">
        <v>1.6</v>
      </c>
      <c r="BG150">
        <v>2.36</v>
      </c>
      <c r="BH150">
        <v>1.63</v>
      </c>
      <c r="BI150">
        <v>2.48</v>
      </c>
      <c r="BJ150">
        <v>-0.5</v>
      </c>
      <c r="BK150">
        <v>1.93</v>
      </c>
      <c r="BL150">
        <v>1.97</v>
      </c>
      <c r="BM150">
        <v>1.96</v>
      </c>
      <c r="BN150">
        <v>1.94</v>
      </c>
      <c r="BO150">
        <v>1.96</v>
      </c>
      <c r="BP150">
        <v>2.02</v>
      </c>
      <c r="BQ150">
        <v>1.91</v>
      </c>
      <c r="BR150">
        <v>1.94</v>
      </c>
      <c r="BS150">
        <v>1.95</v>
      </c>
      <c r="BT150">
        <v>2.04</v>
      </c>
      <c r="BU150">
        <v>1.8</v>
      </c>
      <c r="BV150">
        <v>3.9</v>
      </c>
      <c r="BW150">
        <v>4.2</v>
      </c>
      <c r="BX150">
        <v>1.85</v>
      </c>
      <c r="BY150">
        <v>3.75</v>
      </c>
      <c r="BZ150">
        <v>4.0999999999999996</v>
      </c>
      <c r="CA150">
        <v>1.8</v>
      </c>
      <c r="CB150">
        <v>3.75</v>
      </c>
      <c r="CC150">
        <v>4.0999999999999996</v>
      </c>
      <c r="CD150">
        <v>1.82</v>
      </c>
      <c r="CE150">
        <v>3.99</v>
      </c>
      <c r="CF150">
        <v>4.37</v>
      </c>
      <c r="CG150">
        <v>1.8</v>
      </c>
      <c r="CH150">
        <v>3.75</v>
      </c>
      <c r="CI150">
        <v>4.33</v>
      </c>
      <c r="CJ150">
        <v>1.8</v>
      </c>
      <c r="CK150">
        <v>3.97</v>
      </c>
      <c r="CL150">
        <v>4.46</v>
      </c>
      <c r="CM150">
        <v>1.91</v>
      </c>
      <c r="CN150">
        <v>4.05</v>
      </c>
      <c r="CO150">
        <v>4.46</v>
      </c>
      <c r="CP150">
        <v>1.82</v>
      </c>
      <c r="CQ150">
        <v>3.88</v>
      </c>
      <c r="CR150">
        <v>4.24</v>
      </c>
      <c r="CS150">
        <v>1.86</v>
      </c>
      <c r="CT150">
        <v>4.0999999999999996</v>
      </c>
      <c r="CU150">
        <v>4.5</v>
      </c>
      <c r="CV150">
        <v>1.67</v>
      </c>
      <c r="CW150">
        <v>2.2000000000000002</v>
      </c>
      <c r="CX150">
        <v>1.7</v>
      </c>
      <c r="CY150">
        <v>2.25</v>
      </c>
      <c r="CZ150">
        <v>1.74</v>
      </c>
      <c r="DA150">
        <v>2.37</v>
      </c>
      <c r="DB150">
        <v>1.68</v>
      </c>
      <c r="DC150">
        <v>2.2200000000000002</v>
      </c>
      <c r="DD150">
        <v>1.73</v>
      </c>
      <c r="DE150">
        <v>2.34</v>
      </c>
      <c r="DF150">
        <v>-0.75</v>
      </c>
      <c r="DG150">
        <v>2.0499999999999998</v>
      </c>
      <c r="DH150">
        <v>1.85</v>
      </c>
      <c r="DI150">
        <v>2.06</v>
      </c>
      <c r="DJ150">
        <v>1.87</v>
      </c>
      <c r="DK150">
        <v>2.12</v>
      </c>
      <c r="DL150">
        <v>1.87</v>
      </c>
      <c r="DM150">
        <v>2.0299999999999998</v>
      </c>
      <c r="DN150">
        <v>1.83</v>
      </c>
      <c r="DO150">
        <v>2.11</v>
      </c>
      <c r="DP150">
        <v>1.88</v>
      </c>
    </row>
    <row r="151" spans="1:120" x14ac:dyDescent="0.3">
      <c r="A151" t="s">
        <v>120</v>
      </c>
      <c r="B151" t="s">
        <v>191</v>
      </c>
      <c r="C151" s="1">
        <v>0.625</v>
      </c>
      <c r="D151" t="s">
        <v>132</v>
      </c>
      <c r="E151" t="s">
        <v>135</v>
      </c>
      <c r="F151">
        <v>0</v>
      </c>
      <c r="G151">
        <v>0</v>
      </c>
      <c r="H151" t="s">
        <v>125</v>
      </c>
      <c r="I151">
        <v>0</v>
      </c>
      <c r="J151">
        <v>0</v>
      </c>
      <c r="K151" t="s">
        <v>125</v>
      </c>
      <c r="L151" t="s">
        <v>140</v>
      </c>
      <c r="M151">
        <v>13</v>
      </c>
      <c r="N151">
        <v>2</v>
      </c>
      <c r="O151">
        <v>5</v>
      </c>
      <c r="P151">
        <v>0</v>
      </c>
      <c r="Q151">
        <v>6</v>
      </c>
      <c r="R151">
        <v>9</v>
      </c>
      <c r="S151">
        <v>8</v>
      </c>
      <c r="T151">
        <v>2</v>
      </c>
      <c r="U151">
        <v>0</v>
      </c>
      <c r="V151">
        <v>3</v>
      </c>
      <c r="W151">
        <v>0</v>
      </c>
      <c r="X151">
        <v>0</v>
      </c>
      <c r="Y151">
        <v>1.22</v>
      </c>
      <c r="Z151">
        <v>6.5</v>
      </c>
      <c r="AA151">
        <v>12</v>
      </c>
      <c r="AB151">
        <v>1.24</v>
      </c>
      <c r="AC151">
        <v>6.5</v>
      </c>
      <c r="AD151">
        <v>12.5</v>
      </c>
      <c r="AE151">
        <v>1.2</v>
      </c>
      <c r="AF151">
        <v>6.5</v>
      </c>
      <c r="AG151">
        <v>14</v>
      </c>
      <c r="AH151">
        <v>1.23</v>
      </c>
      <c r="AI151">
        <v>6.63</v>
      </c>
      <c r="AJ151">
        <v>12.95</v>
      </c>
      <c r="AK151">
        <v>1.25</v>
      </c>
      <c r="AL151">
        <v>5.8</v>
      </c>
      <c r="AM151">
        <v>13</v>
      </c>
      <c r="AN151">
        <v>1.26</v>
      </c>
      <c r="AO151">
        <v>6.36</v>
      </c>
      <c r="AP151">
        <v>12.9</v>
      </c>
      <c r="AQ151">
        <v>1.26</v>
      </c>
      <c r="AR151">
        <v>6.63</v>
      </c>
      <c r="AS151">
        <v>15</v>
      </c>
      <c r="AT151">
        <v>1.23</v>
      </c>
      <c r="AU151">
        <v>6.33</v>
      </c>
      <c r="AV151">
        <v>13.36</v>
      </c>
      <c r="AW151">
        <v>1.24</v>
      </c>
      <c r="AX151">
        <v>7.2</v>
      </c>
      <c r="AY151">
        <v>16.5</v>
      </c>
      <c r="AZ151">
        <v>1.67</v>
      </c>
      <c r="BA151">
        <v>2.2000000000000002</v>
      </c>
      <c r="BB151">
        <v>1.68</v>
      </c>
      <c r="BC151">
        <v>2.2400000000000002</v>
      </c>
      <c r="BD151">
        <v>1.71</v>
      </c>
      <c r="BE151">
        <v>2.2999999999999998</v>
      </c>
      <c r="BF151">
        <v>1.66</v>
      </c>
      <c r="BG151">
        <v>2.23</v>
      </c>
      <c r="BH151">
        <v>1.71</v>
      </c>
      <c r="BI151">
        <v>2.34</v>
      </c>
      <c r="BJ151">
        <v>-1.75</v>
      </c>
      <c r="BK151">
        <v>1.95</v>
      </c>
      <c r="BL151">
        <v>1.95</v>
      </c>
      <c r="BM151">
        <v>1.94</v>
      </c>
      <c r="BN151">
        <v>1.94</v>
      </c>
      <c r="BO151">
        <v>1.98</v>
      </c>
      <c r="BP151">
        <v>1.98</v>
      </c>
      <c r="BQ151">
        <v>1.92</v>
      </c>
      <c r="BR151">
        <v>1.91</v>
      </c>
      <c r="BS151">
        <v>1.94</v>
      </c>
      <c r="BT151">
        <v>2.0099999999999998</v>
      </c>
      <c r="BU151">
        <v>1.22</v>
      </c>
      <c r="BV151">
        <v>6.5</v>
      </c>
      <c r="BW151">
        <v>13</v>
      </c>
      <c r="BX151">
        <v>1.26</v>
      </c>
      <c r="BY151">
        <v>6.25</v>
      </c>
      <c r="BZ151">
        <v>11.5</v>
      </c>
      <c r="CA151">
        <v>1.2</v>
      </c>
      <c r="CB151">
        <v>6.5</v>
      </c>
      <c r="CC151">
        <v>12</v>
      </c>
      <c r="CD151">
        <v>1.25</v>
      </c>
      <c r="CE151">
        <v>6.5</v>
      </c>
      <c r="CF151">
        <v>13</v>
      </c>
      <c r="CG151">
        <v>1.22</v>
      </c>
      <c r="CH151">
        <v>6</v>
      </c>
      <c r="CI151">
        <v>12</v>
      </c>
      <c r="CJ151">
        <v>1.24</v>
      </c>
      <c r="CK151">
        <v>6.61</v>
      </c>
      <c r="CL151">
        <v>13.7</v>
      </c>
      <c r="CM151">
        <v>1.26</v>
      </c>
      <c r="CN151">
        <v>6.8</v>
      </c>
      <c r="CO151">
        <v>15</v>
      </c>
      <c r="CP151">
        <v>1.23</v>
      </c>
      <c r="CQ151">
        <v>6.39</v>
      </c>
      <c r="CR151">
        <v>12.72</v>
      </c>
      <c r="CS151">
        <v>1.25</v>
      </c>
      <c r="CT151">
        <v>7.4</v>
      </c>
      <c r="CU151">
        <v>14.5</v>
      </c>
      <c r="CV151">
        <v>1.62</v>
      </c>
      <c r="CW151">
        <v>2.2999999999999998</v>
      </c>
      <c r="CX151">
        <v>1.64</v>
      </c>
      <c r="CY151">
        <v>2.35</v>
      </c>
      <c r="CZ151">
        <v>1.69</v>
      </c>
      <c r="DA151">
        <v>2.42</v>
      </c>
      <c r="DB151">
        <v>1.62</v>
      </c>
      <c r="DC151">
        <v>2.3199999999999998</v>
      </c>
      <c r="DD151">
        <v>1.65</v>
      </c>
      <c r="DE151">
        <v>2.52</v>
      </c>
      <c r="DF151">
        <v>-1.75</v>
      </c>
      <c r="DG151">
        <v>2.0499999999999998</v>
      </c>
      <c r="DH151">
        <v>1.88</v>
      </c>
      <c r="DI151">
        <v>2.04</v>
      </c>
      <c r="DJ151">
        <v>1.87</v>
      </c>
      <c r="DK151">
        <v>2.06</v>
      </c>
      <c r="DL151">
        <v>1.98</v>
      </c>
      <c r="DM151">
        <v>1.97</v>
      </c>
      <c r="DN151">
        <v>1.88</v>
      </c>
      <c r="DO151">
        <v>2.04</v>
      </c>
      <c r="DP151">
        <v>1.94</v>
      </c>
    </row>
    <row r="152" spans="1:120" x14ac:dyDescent="0.3">
      <c r="A152" t="s">
        <v>120</v>
      </c>
      <c r="B152" t="s">
        <v>191</v>
      </c>
      <c r="C152" s="1">
        <v>0.625</v>
      </c>
      <c r="D152" t="s">
        <v>129</v>
      </c>
      <c r="E152" t="s">
        <v>123</v>
      </c>
      <c r="F152">
        <v>2</v>
      </c>
      <c r="G152">
        <v>2</v>
      </c>
      <c r="H152" t="s">
        <v>125</v>
      </c>
      <c r="I152">
        <v>0</v>
      </c>
      <c r="J152">
        <v>1</v>
      </c>
      <c r="K152" t="s">
        <v>130</v>
      </c>
      <c r="L152" t="s">
        <v>146</v>
      </c>
      <c r="M152">
        <v>16</v>
      </c>
      <c r="N152">
        <v>12</v>
      </c>
      <c r="O152">
        <v>4</v>
      </c>
      <c r="P152">
        <v>3</v>
      </c>
      <c r="Q152">
        <v>10</v>
      </c>
      <c r="R152">
        <v>7</v>
      </c>
      <c r="S152">
        <v>5</v>
      </c>
      <c r="T152">
        <v>4</v>
      </c>
      <c r="U152">
        <v>3</v>
      </c>
      <c r="V152">
        <v>4</v>
      </c>
      <c r="W152">
        <v>1</v>
      </c>
      <c r="X152">
        <v>0</v>
      </c>
      <c r="Y152">
        <v>1.33</v>
      </c>
      <c r="Z152">
        <v>5.5</v>
      </c>
      <c r="AA152">
        <v>8</v>
      </c>
      <c r="AB152">
        <v>1.31</v>
      </c>
      <c r="AC152">
        <v>5.75</v>
      </c>
      <c r="AD152">
        <v>9.25</v>
      </c>
      <c r="AE152">
        <v>1.3</v>
      </c>
      <c r="AF152">
        <v>5.5</v>
      </c>
      <c r="AG152">
        <v>9.5</v>
      </c>
      <c r="AH152">
        <v>1.32</v>
      </c>
      <c r="AI152">
        <v>6.04</v>
      </c>
      <c r="AJ152">
        <v>8.8800000000000008</v>
      </c>
      <c r="AK152">
        <v>1.33</v>
      </c>
      <c r="AL152">
        <v>5.5</v>
      </c>
      <c r="AM152">
        <v>8.5</v>
      </c>
      <c r="AN152">
        <v>1.34</v>
      </c>
      <c r="AO152">
        <v>5.86</v>
      </c>
      <c r="AP152">
        <v>9.35</v>
      </c>
      <c r="AQ152">
        <v>1.34</v>
      </c>
      <c r="AR152">
        <v>6.04</v>
      </c>
      <c r="AS152">
        <v>10</v>
      </c>
      <c r="AT152">
        <v>1.32</v>
      </c>
      <c r="AU152">
        <v>5.75</v>
      </c>
      <c r="AV152">
        <v>8.89</v>
      </c>
      <c r="AW152">
        <v>1.34</v>
      </c>
      <c r="AX152">
        <v>6.2</v>
      </c>
      <c r="AY152">
        <v>10</v>
      </c>
      <c r="AZ152">
        <v>1.5</v>
      </c>
      <c r="BA152">
        <v>2.63</v>
      </c>
      <c r="BB152">
        <v>1.49</v>
      </c>
      <c r="BC152">
        <v>2.72</v>
      </c>
      <c r="BD152">
        <v>1.52</v>
      </c>
      <c r="BE152">
        <v>2.85</v>
      </c>
      <c r="BF152">
        <v>1.47</v>
      </c>
      <c r="BG152">
        <v>2.66</v>
      </c>
      <c r="BH152">
        <v>1.53</v>
      </c>
      <c r="BI152">
        <v>2.8</v>
      </c>
      <c r="BJ152">
        <v>-1.5</v>
      </c>
      <c r="BK152">
        <v>1.91</v>
      </c>
      <c r="BL152">
        <v>1.99</v>
      </c>
      <c r="BM152">
        <v>1.9</v>
      </c>
      <c r="BN152">
        <v>2</v>
      </c>
      <c r="BO152">
        <v>2.0099999999999998</v>
      </c>
      <c r="BP152">
        <v>2.04</v>
      </c>
      <c r="BQ152">
        <v>1.89</v>
      </c>
      <c r="BR152">
        <v>1.96</v>
      </c>
      <c r="BS152">
        <v>1.92</v>
      </c>
      <c r="BT152">
        <v>2.02</v>
      </c>
      <c r="BU152">
        <v>1.29</v>
      </c>
      <c r="BV152">
        <v>6</v>
      </c>
      <c r="BW152">
        <v>9</v>
      </c>
      <c r="BX152">
        <v>1.29</v>
      </c>
      <c r="BY152">
        <v>6.25</v>
      </c>
      <c r="BZ152">
        <v>9</v>
      </c>
      <c r="CA152">
        <v>1.25</v>
      </c>
      <c r="CB152">
        <v>6</v>
      </c>
      <c r="CC152">
        <v>10</v>
      </c>
      <c r="CD152">
        <v>1.29</v>
      </c>
      <c r="CE152">
        <v>6.13</v>
      </c>
      <c r="CF152">
        <v>9.6199999999999992</v>
      </c>
      <c r="CG152">
        <v>1.3</v>
      </c>
      <c r="CH152">
        <v>6</v>
      </c>
      <c r="CI152">
        <v>9</v>
      </c>
      <c r="CJ152">
        <v>1.31</v>
      </c>
      <c r="CK152">
        <v>6.17</v>
      </c>
      <c r="CL152">
        <v>9.64</v>
      </c>
      <c r="CM152">
        <v>1.31</v>
      </c>
      <c r="CN152">
        <v>6.4</v>
      </c>
      <c r="CO152">
        <v>11.5</v>
      </c>
      <c r="CP152">
        <v>1.29</v>
      </c>
      <c r="CQ152">
        <v>6.13</v>
      </c>
      <c r="CR152">
        <v>9.58</v>
      </c>
      <c r="CS152">
        <v>1.3</v>
      </c>
      <c r="CT152">
        <v>7</v>
      </c>
      <c r="CU152">
        <v>11</v>
      </c>
      <c r="CV152">
        <v>1.36</v>
      </c>
      <c r="CW152">
        <v>3.2</v>
      </c>
      <c r="CX152">
        <v>1.41</v>
      </c>
      <c r="CY152">
        <v>3.01</v>
      </c>
      <c r="CZ152">
        <v>1.41</v>
      </c>
      <c r="DA152">
        <v>3.25</v>
      </c>
      <c r="DB152">
        <v>1.38</v>
      </c>
      <c r="DC152">
        <v>3.06</v>
      </c>
      <c r="DD152">
        <v>1.42</v>
      </c>
      <c r="DE152">
        <v>3.3</v>
      </c>
      <c r="DF152">
        <v>-1.75</v>
      </c>
      <c r="DG152">
        <v>2.02</v>
      </c>
      <c r="DH152">
        <v>1.91</v>
      </c>
      <c r="DI152">
        <v>2.02</v>
      </c>
      <c r="DJ152">
        <v>1.89</v>
      </c>
      <c r="DK152">
        <v>2.04</v>
      </c>
      <c r="DL152">
        <v>1.94</v>
      </c>
      <c r="DM152">
        <v>1.98</v>
      </c>
      <c r="DN152">
        <v>1.88</v>
      </c>
      <c r="DO152">
        <v>2.0299999999999998</v>
      </c>
      <c r="DP152">
        <v>1.96</v>
      </c>
    </row>
    <row r="153" spans="1:120" x14ac:dyDescent="0.3">
      <c r="A153" t="s">
        <v>120</v>
      </c>
      <c r="B153" t="s">
        <v>191</v>
      </c>
      <c r="C153" s="1">
        <v>0.625</v>
      </c>
      <c r="D153" t="s">
        <v>138</v>
      </c>
      <c r="E153" t="s">
        <v>155</v>
      </c>
      <c r="F153">
        <v>4</v>
      </c>
      <c r="G153">
        <v>0</v>
      </c>
      <c r="H153" t="s">
        <v>124</v>
      </c>
      <c r="I153">
        <v>1</v>
      </c>
      <c r="J153">
        <v>0</v>
      </c>
      <c r="K153" t="s">
        <v>124</v>
      </c>
      <c r="L153" t="s">
        <v>185</v>
      </c>
      <c r="M153">
        <v>27</v>
      </c>
      <c r="N153">
        <v>4</v>
      </c>
      <c r="O153">
        <v>11</v>
      </c>
      <c r="P153">
        <v>1</v>
      </c>
      <c r="Q153">
        <v>7</v>
      </c>
      <c r="R153">
        <v>16</v>
      </c>
      <c r="S153">
        <v>5</v>
      </c>
      <c r="T153">
        <v>2</v>
      </c>
      <c r="U153">
        <v>3</v>
      </c>
      <c r="V153">
        <v>3</v>
      </c>
      <c r="W153">
        <v>0</v>
      </c>
      <c r="X153">
        <v>0</v>
      </c>
      <c r="Y153">
        <v>1.3</v>
      </c>
      <c r="Z153">
        <v>6</v>
      </c>
      <c r="AA153">
        <v>8.5</v>
      </c>
      <c r="AB153">
        <v>1.33</v>
      </c>
      <c r="AC153">
        <v>5.5</v>
      </c>
      <c r="AD153">
        <v>9</v>
      </c>
      <c r="AE153">
        <v>1.3</v>
      </c>
      <c r="AF153">
        <v>5.5</v>
      </c>
      <c r="AG153">
        <v>9.5</v>
      </c>
      <c r="AH153">
        <v>1.3</v>
      </c>
      <c r="AI153">
        <v>6.02</v>
      </c>
      <c r="AJ153">
        <v>8.9499999999999993</v>
      </c>
      <c r="AK153">
        <v>1.3</v>
      </c>
      <c r="AL153">
        <v>5.8</v>
      </c>
      <c r="AM153">
        <v>9</v>
      </c>
      <c r="AN153">
        <v>1.34</v>
      </c>
      <c r="AO153">
        <v>6.06</v>
      </c>
      <c r="AP153">
        <v>8.5500000000000007</v>
      </c>
      <c r="AQ153">
        <v>1.34</v>
      </c>
      <c r="AR153">
        <v>6.06</v>
      </c>
      <c r="AS153">
        <v>10</v>
      </c>
      <c r="AT153">
        <v>1.31</v>
      </c>
      <c r="AU153">
        <v>5.83</v>
      </c>
      <c r="AV153">
        <v>9.08</v>
      </c>
      <c r="AW153">
        <v>1.33</v>
      </c>
      <c r="AX153">
        <v>6.2</v>
      </c>
      <c r="AY153">
        <v>10.5</v>
      </c>
      <c r="AZ153">
        <v>1.44</v>
      </c>
      <c r="BA153">
        <v>2.75</v>
      </c>
      <c r="BB153">
        <v>1.45</v>
      </c>
      <c r="BC153">
        <v>2.81</v>
      </c>
      <c r="BD153">
        <v>1.47</v>
      </c>
      <c r="BE153">
        <v>2.87</v>
      </c>
      <c r="BF153">
        <v>1.45</v>
      </c>
      <c r="BG153">
        <v>2.75</v>
      </c>
      <c r="BH153">
        <v>1.5</v>
      </c>
      <c r="BI153">
        <v>2.92</v>
      </c>
      <c r="BJ153">
        <v>-1.5</v>
      </c>
      <c r="BK153">
        <v>1.85</v>
      </c>
      <c r="BL153">
        <v>2.0499999999999998</v>
      </c>
      <c r="BM153">
        <v>1.83</v>
      </c>
      <c r="BN153">
        <v>2.0499999999999998</v>
      </c>
      <c r="BO153">
        <v>1.87</v>
      </c>
      <c r="BP153">
        <v>2.06</v>
      </c>
      <c r="BQ153">
        <v>1.84</v>
      </c>
      <c r="BR153">
        <v>2.02</v>
      </c>
      <c r="BS153">
        <v>1.91</v>
      </c>
      <c r="BT153">
        <v>2.0499999999999998</v>
      </c>
      <c r="BU153">
        <v>1.29</v>
      </c>
      <c r="BV153">
        <v>6.25</v>
      </c>
      <c r="BW153">
        <v>9</v>
      </c>
      <c r="BX153">
        <v>1.28</v>
      </c>
      <c r="BY153">
        <v>6.25</v>
      </c>
      <c r="BZ153">
        <v>9.5</v>
      </c>
      <c r="CA153">
        <v>1.25</v>
      </c>
      <c r="CB153">
        <v>6</v>
      </c>
      <c r="CC153">
        <v>9.5</v>
      </c>
      <c r="CD153">
        <v>1.29</v>
      </c>
      <c r="CE153">
        <v>6.29</v>
      </c>
      <c r="CF153">
        <v>9.49</v>
      </c>
      <c r="CG153">
        <v>1.29</v>
      </c>
      <c r="CH153">
        <v>6</v>
      </c>
      <c r="CI153">
        <v>9.5</v>
      </c>
      <c r="CJ153">
        <v>1.32</v>
      </c>
      <c r="CK153">
        <v>6.36</v>
      </c>
      <c r="CL153">
        <v>8.8000000000000007</v>
      </c>
      <c r="CM153">
        <v>1.32</v>
      </c>
      <c r="CN153">
        <v>6.4</v>
      </c>
      <c r="CO153">
        <v>11</v>
      </c>
      <c r="CP153">
        <v>1.29</v>
      </c>
      <c r="CQ153">
        <v>6.18</v>
      </c>
      <c r="CR153">
        <v>9.42</v>
      </c>
      <c r="CS153">
        <v>1.31</v>
      </c>
      <c r="CT153">
        <v>6.4</v>
      </c>
      <c r="CU153">
        <v>11.5</v>
      </c>
      <c r="CV153">
        <v>1.36</v>
      </c>
      <c r="CW153">
        <v>3.2</v>
      </c>
      <c r="CX153">
        <v>1.38</v>
      </c>
      <c r="CY153">
        <v>3.14</v>
      </c>
      <c r="CZ153">
        <v>1.4</v>
      </c>
      <c r="DA153">
        <v>3.2</v>
      </c>
      <c r="DB153">
        <v>1.37</v>
      </c>
      <c r="DC153">
        <v>3.1</v>
      </c>
      <c r="DD153">
        <v>1.41</v>
      </c>
      <c r="DE153">
        <v>3.4</v>
      </c>
      <c r="DF153">
        <v>-1.75</v>
      </c>
      <c r="DG153">
        <v>1.98</v>
      </c>
      <c r="DH153">
        <v>1.95</v>
      </c>
      <c r="DI153">
        <v>1.98</v>
      </c>
      <c r="DJ153">
        <v>1.92</v>
      </c>
      <c r="DK153">
        <v>2.0099999999999998</v>
      </c>
      <c r="DL153">
        <v>1.96</v>
      </c>
      <c r="DM153">
        <v>1.95</v>
      </c>
      <c r="DN153">
        <v>1.9</v>
      </c>
      <c r="DO153">
        <v>2.0099999999999998</v>
      </c>
      <c r="DP153">
        <v>1.96</v>
      </c>
    </row>
    <row r="154" spans="1:120" x14ac:dyDescent="0.3">
      <c r="A154" t="s">
        <v>120</v>
      </c>
      <c r="B154" t="s">
        <v>191</v>
      </c>
      <c r="C154" s="1">
        <v>0.625</v>
      </c>
      <c r="D154" t="s">
        <v>133</v>
      </c>
      <c r="E154" t="s">
        <v>128</v>
      </c>
      <c r="F154">
        <v>1</v>
      </c>
      <c r="G154">
        <v>2</v>
      </c>
      <c r="H154" t="s">
        <v>130</v>
      </c>
      <c r="I154">
        <v>0</v>
      </c>
      <c r="J154">
        <v>1</v>
      </c>
      <c r="K154" t="s">
        <v>130</v>
      </c>
      <c r="L154" t="s">
        <v>137</v>
      </c>
      <c r="M154">
        <v>16</v>
      </c>
      <c r="N154">
        <v>10</v>
      </c>
      <c r="O154">
        <v>6</v>
      </c>
      <c r="P154">
        <v>5</v>
      </c>
      <c r="Q154">
        <v>13</v>
      </c>
      <c r="R154">
        <v>9</v>
      </c>
      <c r="S154">
        <v>7</v>
      </c>
      <c r="T154">
        <v>3</v>
      </c>
      <c r="U154">
        <v>0</v>
      </c>
      <c r="V154">
        <v>2</v>
      </c>
      <c r="W154">
        <v>1</v>
      </c>
      <c r="X154">
        <v>0</v>
      </c>
      <c r="Y154">
        <v>1.9</v>
      </c>
      <c r="Z154">
        <v>3.8</v>
      </c>
      <c r="AA154">
        <v>3.8</v>
      </c>
      <c r="AB154">
        <v>1.88</v>
      </c>
      <c r="AC154">
        <v>3.8</v>
      </c>
      <c r="AD154">
        <v>3.9</v>
      </c>
      <c r="AE154">
        <v>1.91</v>
      </c>
      <c r="AF154">
        <v>3.75</v>
      </c>
      <c r="AG154">
        <v>3.9</v>
      </c>
      <c r="AH154">
        <v>1.91</v>
      </c>
      <c r="AI154">
        <v>3.91</v>
      </c>
      <c r="AJ154">
        <v>3.93</v>
      </c>
      <c r="AK154">
        <v>1.85</v>
      </c>
      <c r="AL154">
        <v>3.8</v>
      </c>
      <c r="AM154">
        <v>3.8</v>
      </c>
      <c r="AN154">
        <v>1.93</v>
      </c>
      <c r="AO154">
        <v>3.96</v>
      </c>
      <c r="AP154">
        <v>3.94</v>
      </c>
      <c r="AQ154">
        <v>1.93</v>
      </c>
      <c r="AR154">
        <v>3.96</v>
      </c>
      <c r="AS154">
        <v>4</v>
      </c>
      <c r="AT154">
        <v>1.9</v>
      </c>
      <c r="AU154">
        <v>3.83</v>
      </c>
      <c r="AV154">
        <v>3.85</v>
      </c>
      <c r="AW154">
        <v>1.98</v>
      </c>
      <c r="AX154">
        <v>3.9</v>
      </c>
      <c r="AY154">
        <v>4.0999999999999996</v>
      </c>
      <c r="AZ154">
        <v>1.73</v>
      </c>
      <c r="BA154">
        <v>2.1</v>
      </c>
      <c r="BB154">
        <v>1.74</v>
      </c>
      <c r="BC154">
        <v>2.1800000000000002</v>
      </c>
      <c r="BD154">
        <v>1.76</v>
      </c>
      <c r="BE154">
        <v>2.23</v>
      </c>
      <c r="BF154">
        <v>1.72</v>
      </c>
      <c r="BG154">
        <v>2.15</v>
      </c>
      <c r="BH154">
        <v>1.77</v>
      </c>
      <c r="BI154">
        <v>2.2400000000000002</v>
      </c>
      <c r="BJ154">
        <v>-0.5</v>
      </c>
      <c r="BK154">
        <v>1.92</v>
      </c>
      <c r="BL154">
        <v>1.98</v>
      </c>
      <c r="BM154">
        <v>1.92</v>
      </c>
      <c r="BN154">
        <v>1.99</v>
      </c>
      <c r="BO154">
        <v>1.95</v>
      </c>
      <c r="BP154">
        <v>1.99</v>
      </c>
      <c r="BQ154">
        <v>1.9</v>
      </c>
      <c r="BR154">
        <v>1.94</v>
      </c>
      <c r="BS154">
        <v>1.98</v>
      </c>
      <c r="BT154">
        <v>2.0099999999999998</v>
      </c>
      <c r="BU154">
        <v>1.91</v>
      </c>
      <c r="BV154">
        <v>3.7</v>
      </c>
      <c r="BW154">
        <v>3.75</v>
      </c>
      <c r="BX154">
        <v>1.98</v>
      </c>
      <c r="BY154">
        <v>3.6</v>
      </c>
      <c r="BZ154">
        <v>3.7</v>
      </c>
      <c r="CA154">
        <v>1.95</v>
      </c>
      <c r="CB154">
        <v>3.5</v>
      </c>
      <c r="CC154">
        <v>3.75</v>
      </c>
      <c r="CD154">
        <v>2</v>
      </c>
      <c r="CE154">
        <v>3.65</v>
      </c>
      <c r="CF154">
        <v>3.93</v>
      </c>
      <c r="CG154">
        <v>2</v>
      </c>
      <c r="CH154">
        <v>3.6</v>
      </c>
      <c r="CI154">
        <v>3.6</v>
      </c>
      <c r="CJ154">
        <v>1.98</v>
      </c>
      <c r="CK154">
        <v>3.77</v>
      </c>
      <c r="CL154">
        <v>3.82</v>
      </c>
      <c r="CM154">
        <v>2.08</v>
      </c>
      <c r="CN154">
        <v>3.77</v>
      </c>
      <c r="CO154">
        <v>3.93</v>
      </c>
      <c r="CP154">
        <v>1.98</v>
      </c>
      <c r="CQ154">
        <v>3.64</v>
      </c>
      <c r="CR154">
        <v>3.77</v>
      </c>
      <c r="CS154">
        <v>2.04</v>
      </c>
      <c r="CT154">
        <v>3.75</v>
      </c>
      <c r="CU154">
        <v>4</v>
      </c>
      <c r="CV154">
        <v>1.8</v>
      </c>
      <c r="CW154">
        <v>2</v>
      </c>
      <c r="CX154">
        <v>1.87</v>
      </c>
      <c r="CY154">
        <v>2.04</v>
      </c>
      <c r="CZ154">
        <v>1.87</v>
      </c>
      <c r="DA154">
        <v>2.12</v>
      </c>
      <c r="DB154">
        <v>1.81</v>
      </c>
      <c r="DC154">
        <v>2.04</v>
      </c>
      <c r="DD154">
        <v>1.86</v>
      </c>
      <c r="DE154">
        <v>2.14</v>
      </c>
      <c r="DF154">
        <v>-0.5</v>
      </c>
      <c r="DG154">
        <v>1.98</v>
      </c>
      <c r="DH154">
        <v>1.95</v>
      </c>
      <c r="DI154">
        <v>2.0099999999999998</v>
      </c>
      <c r="DJ154">
        <v>1.92</v>
      </c>
      <c r="DK154">
        <v>2.0099999999999998</v>
      </c>
      <c r="DL154">
        <v>1.95</v>
      </c>
      <c r="DM154">
        <v>1.98</v>
      </c>
      <c r="DN154">
        <v>1.88</v>
      </c>
      <c r="DO154">
        <v>2.02</v>
      </c>
      <c r="DP154">
        <v>1.94</v>
      </c>
    </row>
    <row r="155" spans="1:120" x14ac:dyDescent="0.3">
      <c r="A155" t="s">
        <v>120</v>
      </c>
      <c r="B155" t="s">
        <v>191</v>
      </c>
      <c r="C155" s="1">
        <v>0.72916666666666663</v>
      </c>
      <c r="D155" t="s">
        <v>141</v>
      </c>
      <c r="E155" t="s">
        <v>145</v>
      </c>
      <c r="F155">
        <v>2</v>
      </c>
      <c r="G155">
        <v>1</v>
      </c>
      <c r="H155" t="s">
        <v>124</v>
      </c>
      <c r="I155">
        <v>0</v>
      </c>
      <c r="J155">
        <v>0</v>
      </c>
      <c r="K155" t="s">
        <v>125</v>
      </c>
      <c r="L155" t="s">
        <v>150</v>
      </c>
      <c r="M155">
        <v>17</v>
      </c>
      <c r="N155">
        <v>8</v>
      </c>
      <c r="O155">
        <v>6</v>
      </c>
      <c r="P155">
        <v>2</v>
      </c>
      <c r="Q155">
        <v>12</v>
      </c>
      <c r="R155">
        <v>6</v>
      </c>
      <c r="S155">
        <v>4</v>
      </c>
      <c r="T155">
        <v>3</v>
      </c>
      <c r="U155">
        <v>0</v>
      </c>
      <c r="V155">
        <v>1</v>
      </c>
      <c r="W155">
        <v>0</v>
      </c>
      <c r="X155">
        <v>0</v>
      </c>
      <c r="Y155">
        <v>2.63</v>
      </c>
      <c r="Z155">
        <v>3.3</v>
      </c>
      <c r="AA155">
        <v>2.7</v>
      </c>
      <c r="AB155">
        <v>2.6</v>
      </c>
      <c r="AC155">
        <v>3.4</v>
      </c>
      <c r="AD155">
        <v>2.65</v>
      </c>
      <c r="AE155">
        <v>2.63</v>
      </c>
      <c r="AF155">
        <v>3.4</v>
      </c>
      <c r="AG155">
        <v>2.7</v>
      </c>
      <c r="AH155">
        <v>2.67</v>
      </c>
      <c r="AI155">
        <v>3.38</v>
      </c>
      <c r="AJ155">
        <v>2.76</v>
      </c>
      <c r="AK155">
        <v>2.62</v>
      </c>
      <c r="AL155">
        <v>3.4</v>
      </c>
      <c r="AM155">
        <v>2.62</v>
      </c>
      <c r="AN155">
        <v>2.66</v>
      </c>
      <c r="AO155">
        <v>3.59</v>
      </c>
      <c r="AP155">
        <v>2.7</v>
      </c>
      <c r="AQ155">
        <v>2.68</v>
      </c>
      <c r="AR155">
        <v>3.59</v>
      </c>
      <c r="AS155">
        <v>2.78</v>
      </c>
      <c r="AT155">
        <v>2.64</v>
      </c>
      <c r="AU155">
        <v>3.39</v>
      </c>
      <c r="AV155">
        <v>2.68</v>
      </c>
      <c r="AW155">
        <v>2.76</v>
      </c>
      <c r="AX155">
        <v>3.45</v>
      </c>
      <c r="AY155">
        <v>2.82</v>
      </c>
      <c r="AZ155">
        <v>1.9</v>
      </c>
      <c r="BA155">
        <v>2</v>
      </c>
      <c r="BB155">
        <v>1.88</v>
      </c>
      <c r="BC155">
        <v>2</v>
      </c>
      <c r="BD155">
        <v>1.92</v>
      </c>
      <c r="BE155">
        <v>2.0099999999999998</v>
      </c>
      <c r="BF155">
        <v>1.87</v>
      </c>
      <c r="BG155">
        <v>1.96</v>
      </c>
      <c r="BH155">
        <v>1.94</v>
      </c>
      <c r="BI155">
        <v>2.04</v>
      </c>
      <c r="BJ155">
        <v>0</v>
      </c>
      <c r="BK155">
        <v>1.91</v>
      </c>
      <c r="BL155">
        <v>1.99</v>
      </c>
      <c r="BM155">
        <v>1.92</v>
      </c>
      <c r="BN155">
        <v>1.98</v>
      </c>
      <c r="BO155">
        <v>1.94</v>
      </c>
      <c r="BP155">
        <v>2</v>
      </c>
      <c r="BQ155">
        <v>1.91</v>
      </c>
      <c r="BR155">
        <v>1.95</v>
      </c>
      <c r="BS155">
        <v>1.96</v>
      </c>
      <c r="BT155">
        <v>2.02</v>
      </c>
      <c r="BU155">
        <v>2.7</v>
      </c>
      <c r="BV155">
        <v>3.2</v>
      </c>
      <c r="BW155">
        <v>2.75</v>
      </c>
      <c r="BX155">
        <v>2.65</v>
      </c>
      <c r="BY155">
        <v>3.1</v>
      </c>
      <c r="BZ155">
        <v>2.8</v>
      </c>
      <c r="CA155">
        <v>2.63</v>
      </c>
      <c r="CB155">
        <v>3.1</v>
      </c>
      <c r="CC155">
        <v>2.75</v>
      </c>
      <c r="CD155">
        <v>2.73</v>
      </c>
      <c r="CE155">
        <v>3.28</v>
      </c>
      <c r="CF155">
        <v>2.81</v>
      </c>
      <c r="CG155">
        <v>2.7</v>
      </c>
      <c r="CH155">
        <v>3.1</v>
      </c>
      <c r="CI155">
        <v>2.75</v>
      </c>
      <c r="CJ155">
        <v>2.87</v>
      </c>
      <c r="CK155">
        <v>3.25</v>
      </c>
      <c r="CL155">
        <v>2.67</v>
      </c>
      <c r="CM155">
        <v>2.89</v>
      </c>
      <c r="CN155">
        <v>3.3</v>
      </c>
      <c r="CO155">
        <v>2.85</v>
      </c>
      <c r="CP155">
        <v>2.71</v>
      </c>
      <c r="CQ155">
        <v>3.19</v>
      </c>
      <c r="CR155">
        <v>2.76</v>
      </c>
      <c r="CS155">
        <v>2.76</v>
      </c>
      <c r="CT155">
        <v>3.35</v>
      </c>
      <c r="CU155">
        <v>2.92</v>
      </c>
      <c r="CV155">
        <v>2</v>
      </c>
      <c r="CW155">
        <v>1.8</v>
      </c>
      <c r="CX155">
        <v>2.12</v>
      </c>
      <c r="CY155">
        <v>1.79</v>
      </c>
      <c r="CZ155">
        <v>2.15</v>
      </c>
      <c r="DA155">
        <v>1.85</v>
      </c>
      <c r="DB155">
        <v>2.1</v>
      </c>
      <c r="DC155">
        <v>1.76</v>
      </c>
      <c r="DD155">
        <v>2.16</v>
      </c>
      <c r="DE155">
        <v>1.85</v>
      </c>
      <c r="DF155">
        <v>0</v>
      </c>
      <c r="DG155">
        <v>1.94</v>
      </c>
      <c r="DH155">
        <v>1.99</v>
      </c>
      <c r="DI155">
        <v>1.93</v>
      </c>
      <c r="DJ155">
        <v>1.99</v>
      </c>
      <c r="DK155">
        <v>2</v>
      </c>
      <c r="DL155">
        <v>2</v>
      </c>
      <c r="DM155">
        <v>1.93</v>
      </c>
      <c r="DN155">
        <v>1.95</v>
      </c>
      <c r="DO155">
        <v>1.95</v>
      </c>
      <c r="DP155">
        <v>2.04</v>
      </c>
    </row>
    <row r="156" spans="1:120" x14ac:dyDescent="0.3">
      <c r="A156" t="s">
        <v>120</v>
      </c>
      <c r="B156" t="s">
        <v>192</v>
      </c>
      <c r="C156" s="1">
        <v>0.58333333333333337</v>
      </c>
      <c r="D156" t="s">
        <v>136</v>
      </c>
      <c r="E156" t="s">
        <v>149</v>
      </c>
      <c r="F156">
        <v>1</v>
      </c>
      <c r="G156">
        <v>3</v>
      </c>
      <c r="H156" t="s">
        <v>130</v>
      </c>
      <c r="I156">
        <v>0</v>
      </c>
      <c r="J156">
        <v>2</v>
      </c>
      <c r="K156" t="s">
        <v>130</v>
      </c>
      <c r="L156" t="s">
        <v>143</v>
      </c>
      <c r="M156">
        <v>17</v>
      </c>
      <c r="N156">
        <v>13</v>
      </c>
      <c r="O156">
        <v>5</v>
      </c>
      <c r="P156">
        <v>5</v>
      </c>
      <c r="Q156">
        <v>11</v>
      </c>
      <c r="R156">
        <v>15</v>
      </c>
      <c r="S156">
        <v>8</v>
      </c>
      <c r="T156">
        <v>5</v>
      </c>
      <c r="U156">
        <v>1</v>
      </c>
      <c r="V156">
        <v>4</v>
      </c>
      <c r="W156">
        <v>0</v>
      </c>
      <c r="X156">
        <v>0</v>
      </c>
      <c r="Y156">
        <v>1.85</v>
      </c>
      <c r="Z156">
        <v>3.8</v>
      </c>
      <c r="AA156">
        <v>3.9</v>
      </c>
      <c r="AB156">
        <v>1.87</v>
      </c>
      <c r="AC156">
        <v>3.8</v>
      </c>
      <c r="AD156">
        <v>3.9</v>
      </c>
      <c r="AE156">
        <v>1.87</v>
      </c>
      <c r="AF156">
        <v>3.8</v>
      </c>
      <c r="AG156">
        <v>4</v>
      </c>
      <c r="AH156">
        <v>1.9</v>
      </c>
      <c r="AI156">
        <v>3.89</v>
      </c>
      <c r="AJ156">
        <v>3.97</v>
      </c>
      <c r="AK156">
        <v>1.91</v>
      </c>
      <c r="AL156">
        <v>3.75</v>
      </c>
      <c r="AM156">
        <v>3.8</v>
      </c>
      <c r="AN156">
        <v>1.93</v>
      </c>
      <c r="AO156">
        <v>3.94</v>
      </c>
      <c r="AP156">
        <v>3.96</v>
      </c>
      <c r="AQ156">
        <v>1.93</v>
      </c>
      <c r="AR156">
        <v>3.94</v>
      </c>
      <c r="AS156">
        <v>4.05</v>
      </c>
      <c r="AT156">
        <v>1.89</v>
      </c>
      <c r="AU156">
        <v>3.82</v>
      </c>
      <c r="AV156">
        <v>3.9</v>
      </c>
      <c r="AW156">
        <v>1.93</v>
      </c>
      <c r="AX156">
        <v>3.95</v>
      </c>
      <c r="AY156">
        <v>4.3</v>
      </c>
      <c r="AZ156">
        <v>1.73</v>
      </c>
      <c r="BA156">
        <v>2.1</v>
      </c>
      <c r="BB156">
        <v>1.73</v>
      </c>
      <c r="BC156">
        <v>2.19</v>
      </c>
      <c r="BD156">
        <v>1.76</v>
      </c>
      <c r="BE156">
        <v>2.19</v>
      </c>
      <c r="BF156">
        <v>1.72</v>
      </c>
      <c r="BG156">
        <v>2.13</v>
      </c>
      <c r="BH156">
        <v>1.75</v>
      </c>
      <c r="BI156">
        <v>2.2599999999999998</v>
      </c>
      <c r="BJ156">
        <v>-0.5</v>
      </c>
      <c r="BK156">
        <v>1.9</v>
      </c>
      <c r="BL156">
        <v>2</v>
      </c>
      <c r="BM156">
        <v>1.91</v>
      </c>
      <c r="BN156">
        <v>2</v>
      </c>
      <c r="BO156">
        <v>1.92</v>
      </c>
      <c r="BP156">
        <v>2.02</v>
      </c>
      <c r="BQ156">
        <v>1.89</v>
      </c>
      <c r="BR156">
        <v>1.96</v>
      </c>
      <c r="BS156">
        <v>1.93</v>
      </c>
      <c r="BT156">
        <v>2.06</v>
      </c>
      <c r="BU156">
        <v>1.91</v>
      </c>
      <c r="BV156">
        <v>3.6</v>
      </c>
      <c r="BW156">
        <v>3.9</v>
      </c>
      <c r="BX156">
        <v>1.88</v>
      </c>
      <c r="BY156">
        <v>3.6</v>
      </c>
      <c r="BZ156">
        <v>4.0999999999999996</v>
      </c>
      <c r="CA156">
        <v>1.87</v>
      </c>
      <c r="CB156">
        <v>3.6</v>
      </c>
      <c r="CC156">
        <v>4</v>
      </c>
      <c r="CD156">
        <v>1.92</v>
      </c>
      <c r="CE156">
        <v>3.73</v>
      </c>
      <c r="CF156">
        <v>4.1399999999999997</v>
      </c>
      <c r="CG156">
        <v>1.85</v>
      </c>
      <c r="CH156">
        <v>3.7</v>
      </c>
      <c r="CI156">
        <v>4</v>
      </c>
      <c r="CJ156">
        <v>1.91</v>
      </c>
      <c r="CK156">
        <v>3.68</v>
      </c>
      <c r="CL156">
        <v>4.26</v>
      </c>
      <c r="CM156">
        <v>1.95</v>
      </c>
      <c r="CN156">
        <v>3.9</v>
      </c>
      <c r="CO156">
        <v>4.2699999999999996</v>
      </c>
      <c r="CP156">
        <v>1.9</v>
      </c>
      <c r="CQ156">
        <v>3.69</v>
      </c>
      <c r="CR156">
        <v>4.05</v>
      </c>
      <c r="CS156">
        <v>1.96</v>
      </c>
      <c r="CT156">
        <v>3.75</v>
      </c>
      <c r="CU156">
        <v>4.4000000000000004</v>
      </c>
      <c r="CV156">
        <v>1.73</v>
      </c>
      <c r="CW156">
        <v>2.1</v>
      </c>
      <c r="CX156">
        <v>1.82</v>
      </c>
      <c r="CY156">
        <v>2.0699999999999998</v>
      </c>
      <c r="CZ156">
        <v>1.83</v>
      </c>
      <c r="DA156">
        <v>2.2000000000000002</v>
      </c>
      <c r="DB156">
        <v>1.79</v>
      </c>
      <c r="DC156">
        <v>2.06</v>
      </c>
      <c r="DD156">
        <v>1.85</v>
      </c>
      <c r="DE156">
        <v>2.16</v>
      </c>
      <c r="DF156">
        <v>-0.5</v>
      </c>
      <c r="DG156">
        <v>1.97</v>
      </c>
      <c r="DH156">
        <v>1.96</v>
      </c>
      <c r="DI156">
        <v>1.93</v>
      </c>
      <c r="DJ156">
        <v>2</v>
      </c>
      <c r="DK156">
        <v>1.97</v>
      </c>
      <c r="DL156">
        <v>2.0099999999999998</v>
      </c>
      <c r="DM156">
        <v>1.9</v>
      </c>
      <c r="DN156">
        <v>1.96</v>
      </c>
      <c r="DO156">
        <v>1.96</v>
      </c>
      <c r="DP156">
        <v>2.0299999999999998</v>
      </c>
    </row>
    <row r="157" spans="1:120" x14ac:dyDescent="0.3">
      <c r="A157" t="s">
        <v>120</v>
      </c>
      <c r="B157" t="s">
        <v>192</v>
      </c>
      <c r="C157" s="1">
        <v>0.6875</v>
      </c>
      <c r="D157" t="s">
        <v>152</v>
      </c>
      <c r="E157" t="s">
        <v>122</v>
      </c>
      <c r="F157">
        <v>1</v>
      </c>
      <c r="G157">
        <v>2</v>
      </c>
      <c r="H157" t="s">
        <v>130</v>
      </c>
      <c r="I157">
        <v>1</v>
      </c>
      <c r="J157">
        <v>0</v>
      </c>
      <c r="K157" t="s">
        <v>124</v>
      </c>
      <c r="L157" t="s">
        <v>153</v>
      </c>
      <c r="M157">
        <v>10</v>
      </c>
      <c r="N157">
        <v>10</v>
      </c>
      <c r="O157">
        <v>3</v>
      </c>
      <c r="P157">
        <v>3</v>
      </c>
      <c r="Q157">
        <v>5</v>
      </c>
      <c r="R157">
        <v>14</v>
      </c>
      <c r="S157">
        <v>8</v>
      </c>
      <c r="T157">
        <v>2</v>
      </c>
      <c r="U157">
        <v>1</v>
      </c>
      <c r="V157">
        <v>1</v>
      </c>
      <c r="W157">
        <v>0</v>
      </c>
      <c r="X157">
        <v>0</v>
      </c>
      <c r="Y157">
        <v>1.57</v>
      </c>
      <c r="Z157">
        <v>4.5</v>
      </c>
      <c r="AA157">
        <v>5</v>
      </c>
      <c r="AB157">
        <v>1.55</v>
      </c>
      <c r="AC157">
        <v>4.5999999999999996</v>
      </c>
      <c r="AD157">
        <v>5.25</v>
      </c>
      <c r="AE157">
        <v>1.57</v>
      </c>
      <c r="AF157">
        <v>4.5999999999999996</v>
      </c>
      <c r="AG157">
        <v>5</v>
      </c>
      <c r="AH157">
        <v>1.6</v>
      </c>
      <c r="AI157">
        <v>4.6500000000000004</v>
      </c>
      <c r="AJ157">
        <v>5.07</v>
      </c>
      <c r="AK157">
        <v>1.6</v>
      </c>
      <c r="AL157">
        <v>4.4000000000000004</v>
      </c>
      <c r="AM157">
        <v>5</v>
      </c>
      <c r="AN157">
        <v>1.61</v>
      </c>
      <c r="AO157">
        <v>4.74</v>
      </c>
      <c r="AP157">
        <v>5.15</v>
      </c>
      <c r="AQ157">
        <v>1.61</v>
      </c>
      <c r="AR157">
        <v>4.8</v>
      </c>
      <c r="AS157">
        <v>5.25</v>
      </c>
      <c r="AT157">
        <v>1.58</v>
      </c>
      <c r="AU157">
        <v>4.59</v>
      </c>
      <c r="AV157">
        <v>5.04</v>
      </c>
      <c r="AW157">
        <v>1.62</v>
      </c>
      <c r="AX157">
        <v>4.9000000000000004</v>
      </c>
      <c r="AY157">
        <v>5.5</v>
      </c>
      <c r="AZ157">
        <v>1.44</v>
      </c>
      <c r="BA157">
        <v>2.75</v>
      </c>
      <c r="BB157">
        <v>1.46</v>
      </c>
      <c r="BC157">
        <v>2.82</v>
      </c>
      <c r="BD157">
        <v>1.46</v>
      </c>
      <c r="BE157">
        <v>2.88</v>
      </c>
      <c r="BF157">
        <v>1.43</v>
      </c>
      <c r="BG157">
        <v>2.78</v>
      </c>
      <c r="BH157">
        <v>1.47</v>
      </c>
      <c r="BI157">
        <v>3.05</v>
      </c>
      <c r="BJ157">
        <v>-1</v>
      </c>
      <c r="BK157">
        <v>1.95</v>
      </c>
      <c r="BL157">
        <v>1.95</v>
      </c>
      <c r="BM157">
        <v>1.97</v>
      </c>
      <c r="BN157">
        <v>1.93</v>
      </c>
      <c r="BO157">
        <v>1.97</v>
      </c>
      <c r="BP157">
        <v>1.98</v>
      </c>
      <c r="BQ157">
        <v>1.93</v>
      </c>
      <c r="BR157">
        <v>1.91</v>
      </c>
      <c r="BS157">
        <v>1.97</v>
      </c>
      <c r="BT157">
        <v>1.99</v>
      </c>
      <c r="BU157">
        <v>1.5</v>
      </c>
      <c r="BV157">
        <v>4.75</v>
      </c>
      <c r="BW157">
        <v>5.75</v>
      </c>
      <c r="BX157">
        <v>1.51</v>
      </c>
      <c r="BY157">
        <v>4.8</v>
      </c>
      <c r="BZ157">
        <v>5.5</v>
      </c>
      <c r="CA157">
        <v>1.47</v>
      </c>
      <c r="CB157">
        <v>4.75</v>
      </c>
      <c r="CC157">
        <v>5.5</v>
      </c>
      <c r="CD157">
        <v>1.53</v>
      </c>
      <c r="CE157">
        <v>4.9000000000000004</v>
      </c>
      <c r="CF157">
        <v>5.85</v>
      </c>
      <c r="CG157">
        <v>1.55</v>
      </c>
      <c r="CH157">
        <v>4.5</v>
      </c>
      <c r="CI157">
        <v>5</v>
      </c>
      <c r="CJ157">
        <v>1.55</v>
      </c>
      <c r="CK157">
        <v>4.84</v>
      </c>
      <c r="CL157">
        <v>5.53</v>
      </c>
      <c r="CM157">
        <v>1.66</v>
      </c>
      <c r="CN157">
        <v>5</v>
      </c>
      <c r="CO157">
        <v>6.13</v>
      </c>
      <c r="CP157">
        <v>1.54</v>
      </c>
      <c r="CQ157">
        <v>4.79</v>
      </c>
      <c r="CR157">
        <v>5.5</v>
      </c>
      <c r="CS157">
        <v>1.54</v>
      </c>
      <c r="CT157">
        <v>5.0999999999999996</v>
      </c>
      <c r="CU157">
        <v>6.2</v>
      </c>
      <c r="CV157">
        <v>1.44</v>
      </c>
      <c r="CW157">
        <v>2.75</v>
      </c>
      <c r="CX157">
        <v>1.5</v>
      </c>
      <c r="CY157">
        <v>2.7</v>
      </c>
      <c r="CZ157">
        <v>1.5</v>
      </c>
      <c r="DA157">
        <v>2.93</v>
      </c>
      <c r="DB157">
        <v>1.45</v>
      </c>
      <c r="DC157">
        <v>2.79</v>
      </c>
      <c r="DD157">
        <v>1.49</v>
      </c>
      <c r="DE157">
        <v>3</v>
      </c>
      <c r="DF157">
        <v>-1.25</v>
      </c>
      <c r="DG157">
        <v>2.0499999999999998</v>
      </c>
      <c r="DH157">
        <v>1.75</v>
      </c>
      <c r="DI157">
        <v>2.11</v>
      </c>
      <c r="DJ157">
        <v>1.81</v>
      </c>
      <c r="DK157">
        <v>2.34</v>
      </c>
      <c r="DL157">
        <v>1.86</v>
      </c>
      <c r="DM157">
        <v>2.11</v>
      </c>
      <c r="DN157">
        <v>1.77</v>
      </c>
      <c r="DO157">
        <v>2.11</v>
      </c>
      <c r="DP157">
        <v>1.88</v>
      </c>
    </row>
    <row r="158" spans="1:120" x14ac:dyDescent="0.3">
      <c r="A158" t="s">
        <v>120</v>
      </c>
      <c r="B158" t="s">
        <v>192</v>
      </c>
      <c r="C158" s="1">
        <v>0.79166666666666663</v>
      </c>
      <c r="D158" t="s">
        <v>151</v>
      </c>
      <c r="E158" t="s">
        <v>148</v>
      </c>
      <c r="F158">
        <v>2</v>
      </c>
      <c r="G158">
        <v>1</v>
      </c>
      <c r="H158" t="s">
        <v>124</v>
      </c>
      <c r="I158">
        <v>1</v>
      </c>
      <c r="J158">
        <v>0</v>
      </c>
      <c r="K158" t="s">
        <v>124</v>
      </c>
      <c r="L158" t="s">
        <v>171</v>
      </c>
      <c r="M158">
        <v>26</v>
      </c>
      <c r="N158">
        <v>9</v>
      </c>
      <c r="O158">
        <v>8</v>
      </c>
      <c r="P158">
        <v>4</v>
      </c>
      <c r="Q158">
        <v>11</v>
      </c>
      <c r="R158">
        <v>7</v>
      </c>
      <c r="S158">
        <v>8</v>
      </c>
      <c r="T158">
        <v>5</v>
      </c>
      <c r="U158">
        <v>0</v>
      </c>
      <c r="V158">
        <v>2</v>
      </c>
      <c r="W158">
        <v>1</v>
      </c>
      <c r="X158">
        <v>0</v>
      </c>
      <c r="Y158">
        <v>1.33</v>
      </c>
      <c r="Z158">
        <v>6</v>
      </c>
      <c r="AA158">
        <v>7.5</v>
      </c>
      <c r="AB158">
        <v>1.34</v>
      </c>
      <c r="AC158">
        <v>6</v>
      </c>
      <c r="AD158">
        <v>7.75</v>
      </c>
      <c r="AE158">
        <v>1.3</v>
      </c>
      <c r="AF158">
        <v>6</v>
      </c>
      <c r="AG158">
        <v>8.5</v>
      </c>
      <c r="AH158">
        <v>1.33</v>
      </c>
      <c r="AI158">
        <v>6.05</v>
      </c>
      <c r="AJ158">
        <v>8.44</v>
      </c>
      <c r="AK158">
        <v>1.36</v>
      </c>
      <c r="AL158">
        <v>5.5</v>
      </c>
      <c r="AM158">
        <v>7.5</v>
      </c>
      <c r="AN158">
        <v>1.36</v>
      </c>
      <c r="AO158">
        <v>6.01</v>
      </c>
      <c r="AP158">
        <v>8.1</v>
      </c>
      <c r="AQ158">
        <v>1.36</v>
      </c>
      <c r="AR158">
        <v>6.2</v>
      </c>
      <c r="AS158">
        <v>9</v>
      </c>
      <c r="AT158">
        <v>1.33</v>
      </c>
      <c r="AU158">
        <v>5.89</v>
      </c>
      <c r="AV158">
        <v>8.08</v>
      </c>
      <c r="AW158">
        <v>1.35</v>
      </c>
      <c r="AX158">
        <v>6.4</v>
      </c>
      <c r="AY158">
        <v>9.4</v>
      </c>
      <c r="AZ158">
        <v>1.33</v>
      </c>
      <c r="BA158">
        <v>3.4</v>
      </c>
      <c r="BB158">
        <v>1.35</v>
      </c>
      <c r="BC158">
        <v>3.31</v>
      </c>
      <c r="BD158">
        <v>1.35</v>
      </c>
      <c r="BE158">
        <v>3.55</v>
      </c>
      <c r="BF158">
        <v>1.32</v>
      </c>
      <c r="BG158">
        <v>3.32</v>
      </c>
      <c r="BH158">
        <v>1.35</v>
      </c>
      <c r="BI158">
        <v>3.65</v>
      </c>
      <c r="BJ158">
        <v>-1.5</v>
      </c>
      <c r="BK158">
        <v>1.87</v>
      </c>
      <c r="BL158">
        <v>2.0299999999999998</v>
      </c>
      <c r="BM158">
        <v>1.87</v>
      </c>
      <c r="BN158">
        <v>2.04</v>
      </c>
      <c r="BO158">
        <v>1.91</v>
      </c>
      <c r="BP158">
        <v>2.04</v>
      </c>
      <c r="BQ158">
        <v>1.85</v>
      </c>
      <c r="BR158">
        <v>1.99</v>
      </c>
      <c r="BS158">
        <v>1.86</v>
      </c>
      <c r="BT158">
        <v>2.0299999999999998</v>
      </c>
      <c r="BU158">
        <v>1.33</v>
      </c>
      <c r="BV158">
        <v>6</v>
      </c>
      <c r="BW158">
        <v>7.5</v>
      </c>
      <c r="BX158">
        <v>1.37</v>
      </c>
      <c r="BY158">
        <v>5.75</v>
      </c>
      <c r="BZ158">
        <v>7</v>
      </c>
      <c r="CA158">
        <v>1.3</v>
      </c>
      <c r="CB158">
        <v>5.5</v>
      </c>
      <c r="CC158">
        <v>7.5</v>
      </c>
      <c r="CD158">
        <v>1.32</v>
      </c>
      <c r="CE158">
        <v>6.3</v>
      </c>
      <c r="CF158">
        <v>8.25</v>
      </c>
      <c r="CG158">
        <v>1.36</v>
      </c>
      <c r="CH158">
        <v>5</v>
      </c>
      <c r="CI158">
        <v>7</v>
      </c>
      <c r="CJ158">
        <v>1.38</v>
      </c>
      <c r="CK158">
        <v>5.86</v>
      </c>
      <c r="CL158">
        <v>7.39</v>
      </c>
      <c r="CM158">
        <v>1.38</v>
      </c>
      <c r="CN158">
        <v>6.3</v>
      </c>
      <c r="CO158">
        <v>8.6</v>
      </c>
      <c r="CP158">
        <v>1.35</v>
      </c>
      <c r="CQ158">
        <v>5.84</v>
      </c>
      <c r="CR158">
        <v>7.68</v>
      </c>
      <c r="CS158">
        <v>1.38</v>
      </c>
      <c r="CT158">
        <v>6.2</v>
      </c>
      <c r="CU158">
        <v>8.1999999999999993</v>
      </c>
      <c r="CV158">
        <v>1.33</v>
      </c>
      <c r="CW158">
        <v>3.4</v>
      </c>
      <c r="CX158">
        <v>1.32</v>
      </c>
      <c r="CY158">
        <v>3.54</v>
      </c>
      <c r="CZ158">
        <v>1.4</v>
      </c>
      <c r="DA158">
        <v>3.56</v>
      </c>
      <c r="DB158">
        <v>1.33</v>
      </c>
      <c r="DC158">
        <v>3.36</v>
      </c>
      <c r="DD158">
        <v>1.39</v>
      </c>
      <c r="DE158">
        <v>3.5</v>
      </c>
      <c r="DF158">
        <v>-1.5</v>
      </c>
      <c r="DG158">
        <v>1.91</v>
      </c>
      <c r="DH158">
        <v>2.02</v>
      </c>
      <c r="DI158">
        <v>1.88</v>
      </c>
      <c r="DJ158">
        <v>2.04</v>
      </c>
      <c r="DK158">
        <v>1.99</v>
      </c>
      <c r="DL158">
        <v>2.04</v>
      </c>
      <c r="DM158">
        <v>1.93</v>
      </c>
      <c r="DN158">
        <v>1.94</v>
      </c>
      <c r="DO158">
        <v>2.0099999999999998</v>
      </c>
      <c r="DP158">
        <v>1.98</v>
      </c>
    </row>
    <row r="159" spans="1:120" x14ac:dyDescent="0.3">
      <c r="A159" t="s">
        <v>120</v>
      </c>
      <c r="B159" t="s">
        <v>192</v>
      </c>
      <c r="C159" s="1">
        <v>0.79166666666666663</v>
      </c>
      <c r="D159" t="s">
        <v>139</v>
      </c>
      <c r="E159" t="s">
        <v>156</v>
      </c>
      <c r="F159">
        <v>0</v>
      </c>
      <c r="G159">
        <v>5</v>
      </c>
      <c r="H159" t="s">
        <v>130</v>
      </c>
      <c r="I159">
        <v>0</v>
      </c>
      <c r="J159">
        <v>5</v>
      </c>
      <c r="K159" t="s">
        <v>130</v>
      </c>
      <c r="L159" t="s">
        <v>163</v>
      </c>
      <c r="M159">
        <v>9</v>
      </c>
      <c r="N159">
        <v>18</v>
      </c>
      <c r="O159">
        <v>3</v>
      </c>
      <c r="P159">
        <v>9</v>
      </c>
      <c r="Q159">
        <v>8</v>
      </c>
      <c r="R159">
        <v>15</v>
      </c>
      <c r="S159">
        <v>2</v>
      </c>
      <c r="T159">
        <v>5</v>
      </c>
      <c r="U159">
        <v>1</v>
      </c>
      <c r="V159">
        <v>3</v>
      </c>
      <c r="W159">
        <v>0</v>
      </c>
      <c r="X159">
        <v>0</v>
      </c>
      <c r="Y159">
        <v>4.33</v>
      </c>
      <c r="Z159">
        <v>4.5</v>
      </c>
      <c r="AA159">
        <v>1.67</v>
      </c>
      <c r="AB159">
        <v>4.2</v>
      </c>
      <c r="AC159">
        <v>4.33</v>
      </c>
      <c r="AD159">
        <v>1.72</v>
      </c>
      <c r="AE159">
        <v>4.33</v>
      </c>
      <c r="AF159">
        <v>4.5999999999999996</v>
      </c>
      <c r="AG159">
        <v>1.7</v>
      </c>
      <c r="AH159">
        <v>4.47</v>
      </c>
      <c r="AI159">
        <v>4.51</v>
      </c>
      <c r="AJ159">
        <v>1.69</v>
      </c>
      <c r="AK159">
        <v>4</v>
      </c>
      <c r="AL159">
        <v>4.4000000000000004</v>
      </c>
      <c r="AM159">
        <v>1.73</v>
      </c>
      <c r="AN159">
        <v>4.33</v>
      </c>
      <c r="AO159">
        <v>4.68</v>
      </c>
      <c r="AP159">
        <v>1.72</v>
      </c>
      <c r="AQ159">
        <v>4.47</v>
      </c>
      <c r="AR159">
        <v>4.68</v>
      </c>
      <c r="AS159">
        <v>1.73</v>
      </c>
      <c r="AT159">
        <v>4.29</v>
      </c>
      <c r="AU159">
        <v>4.47</v>
      </c>
      <c r="AV159">
        <v>1.69</v>
      </c>
      <c r="AW159">
        <v>4.5</v>
      </c>
      <c r="AX159">
        <v>4.7</v>
      </c>
      <c r="AY159">
        <v>1.74</v>
      </c>
      <c r="AZ159">
        <v>1.3</v>
      </c>
      <c r="BA159">
        <v>3.5</v>
      </c>
      <c r="BB159">
        <v>1.35</v>
      </c>
      <c r="BC159">
        <v>3.3</v>
      </c>
      <c r="BD159">
        <v>1.32</v>
      </c>
      <c r="BE159">
        <v>3.62</v>
      </c>
      <c r="BF159">
        <v>1.3</v>
      </c>
      <c r="BG159">
        <v>3.46</v>
      </c>
      <c r="BH159">
        <v>1.34</v>
      </c>
      <c r="BI159">
        <v>3.8</v>
      </c>
      <c r="BJ159">
        <v>0.75</v>
      </c>
      <c r="BK159">
        <v>2.0499999999999998</v>
      </c>
      <c r="BL159">
        <v>1.85</v>
      </c>
      <c r="BM159">
        <v>2.0499999999999998</v>
      </c>
      <c r="BN159">
        <v>1.86</v>
      </c>
      <c r="BO159">
        <v>2.08</v>
      </c>
      <c r="BP159">
        <v>1.9</v>
      </c>
      <c r="BQ159">
        <v>1.99</v>
      </c>
      <c r="BR159">
        <v>1.84</v>
      </c>
      <c r="BS159">
        <v>2.09</v>
      </c>
      <c r="BT159">
        <v>1.9</v>
      </c>
      <c r="BU159">
        <v>3.9</v>
      </c>
      <c r="BV159">
        <v>4.5</v>
      </c>
      <c r="BW159">
        <v>1.75</v>
      </c>
      <c r="BX159">
        <v>3.9</v>
      </c>
      <c r="BY159">
        <v>4.4000000000000004</v>
      </c>
      <c r="BZ159">
        <v>1.77</v>
      </c>
      <c r="CA159">
        <v>4</v>
      </c>
      <c r="CB159">
        <v>4.33</v>
      </c>
      <c r="CC159">
        <v>1.73</v>
      </c>
      <c r="CD159">
        <v>4.04</v>
      </c>
      <c r="CE159">
        <v>4.49</v>
      </c>
      <c r="CF159">
        <v>1.79</v>
      </c>
      <c r="CG159">
        <v>3.9</v>
      </c>
      <c r="CH159">
        <v>4.2</v>
      </c>
      <c r="CI159">
        <v>1.75</v>
      </c>
      <c r="CJ159">
        <v>4.16</v>
      </c>
      <c r="CK159">
        <v>4.58</v>
      </c>
      <c r="CL159">
        <v>1.75</v>
      </c>
      <c r="CM159">
        <v>4.5</v>
      </c>
      <c r="CN159">
        <v>4.5999999999999996</v>
      </c>
      <c r="CO159">
        <v>1.82</v>
      </c>
      <c r="CP159">
        <v>3.98</v>
      </c>
      <c r="CQ159">
        <v>4.42</v>
      </c>
      <c r="CR159">
        <v>1.77</v>
      </c>
      <c r="CS159">
        <v>4.2</v>
      </c>
      <c r="CT159">
        <v>4.5</v>
      </c>
      <c r="CU159">
        <v>1.82</v>
      </c>
      <c r="CV159">
        <v>1.25</v>
      </c>
      <c r="CW159">
        <v>4</v>
      </c>
      <c r="CX159">
        <v>1.35</v>
      </c>
      <c r="CY159">
        <v>3.3</v>
      </c>
      <c r="CZ159">
        <v>1.33</v>
      </c>
      <c r="DA159">
        <v>4.1399999999999997</v>
      </c>
      <c r="DB159">
        <v>1.27</v>
      </c>
      <c r="DC159">
        <v>3.8</v>
      </c>
      <c r="DD159">
        <v>1.32</v>
      </c>
      <c r="DE159">
        <v>4.0999999999999996</v>
      </c>
      <c r="DF159">
        <v>0.75</v>
      </c>
      <c r="DG159">
        <v>1.95</v>
      </c>
      <c r="DH159">
        <v>1.98</v>
      </c>
      <c r="DI159">
        <v>1.94</v>
      </c>
      <c r="DJ159">
        <v>1.98</v>
      </c>
      <c r="DK159">
        <v>2.04</v>
      </c>
      <c r="DL159">
        <v>2.02</v>
      </c>
      <c r="DM159">
        <v>1.92</v>
      </c>
      <c r="DN159">
        <v>1.94</v>
      </c>
      <c r="DO159">
        <v>1.99</v>
      </c>
      <c r="DP159">
        <v>1.99</v>
      </c>
    </row>
    <row r="160" spans="1:120" x14ac:dyDescent="0.3">
      <c r="A160" t="s">
        <v>120</v>
      </c>
      <c r="B160" t="s">
        <v>193</v>
      </c>
      <c r="C160" s="1">
        <v>0.83333333333333337</v>
      </c>
      <c r="D160" t="s">
        <v>142</v>
      </c>
      <c r="E160" t="s">
        <v>144</v>
      </c>
      <c r="F160">
        <v>1</v>
      </c>
      <c r="G160">
        <v>1</v>
      </c>
      <c r="H160" t="s">
        <v>125</v>
      </c>
      <c r="I160">
        <v>0</v>
      </c>
      <c r="J160">
        <v>0</v>
      </c>
      <c r="K160" t="s">
        <v>125</v>
      </c>
      <c r="L160" t="s">
        <v>157</v>
      </c>
      <c r="M160">
        <v>29</v>
      </c>
      <c r="N160">
        <v>16</v>
      </c>
      <c r="O160">
        <v>9</v>
      </c>
      <c r="P160">
        <v>3</v>
      </c>
      <c r="Q160">
        <v>6</v>
      </c>
      <c r="R160">
        <v>11</v>
      </c>
      <c r="S160">
        <v>12</v>
      </c>
      <c r="T160">
        <v>6</v>
      </c>
      <c r="U160">
        <v>0</v>
      </c>
      <c r="V160">
        <v>2</v>
      </c>
      <c r="W160">
        <v>0</v>
      </c>
      <c r="X160">
        <v>0</v>
      </c>
      <c r="Y160">
        <v>1.7</v>
      </c>
      <c r="Z160">
        <v>4</v>
      </c>
      <c r="AA160">
        <v>4.75</v>
      </c>
      <c r="AB160">
        <v>1.71</v>
      </c>
      <c r="AC160">
        <v>4.2</v>
      </c>
      <c r="AD160">
        <v>4.4000000000000004</v>
      </c>
      <c r="AE160">
        <v>1.67</v>
      </c>
      <c r="AF160">
        <v>4</v>
      </c>
      <c r="AG160">
        <v>4.5</v>
      </c>
      <c r="AH160">
        <v>1.72</v>
      </c>
      <c r="AI160">
        <v>4.2699999999999996</v>
      </c>
      <c r="AJ160">
        <v>4.49</v>
      </c>
      <c r="AK160">
        <v>1.73</v>
      </c>
      <c r="AL160">
        <v>4</v>
      </c>
      <c r="AM160">
        <v>4.2</v>
      </c>
      <c r="AN160">
        <v>1.75</v>
      </c>
      <c r="AO160">
        <v>4.38</v>
      </c>
      <c r="AP160">
        <v>4.41</v>
      </c>
      <c r="AQ160">
        <v>1.75</v>
      </c>
      <c r="AR160">
        <v>4.4000000000000004</v>
      </c>
      <c r="AS160">
        <v>4.75</v>
      </c>
      <c r="AT160">
        <v>1.71</v>
      </c>
      <c r="AU160">
        <v>4.1900000000000004</v>
      </c>
      <c r="AV160">
        <v>4.43</v>
      </c>
      <c r="AW160">
        <v>1.74</v>
      </c>
      <c r="AX160">
        <v>4.3</v>
      </c>
      <c r="AY160">
        <v>5</v>
      </c>
      <c r="AZ160">
        <v>1.53</v>
      </c>
      <c r="BA160">
        <v>2.5</v>
      </c>
      <c r="BB160">
        <v>1.53</v>
      </c>
      <c r="BC160">
        <v>2.61</v>
      </c>
      <c r="BD160">
        <v>1.53</v>
      </c>
      <c r="BE160">
        <v>2.62</v>
      </c>
      <c r="BF160">
        <v>1.51</v>
      </c>
      <c r="BG160">
        <v>2.54</v>
      </c>
      <c r="BH160">
        <v>1.56</v>
      </c>
      <c r="BI160">
        <v>2.5</v>
      </c>
      <c r="BJ160">
        <v>-0.75</v>
      </c>
      <c r="BK160">
        <v>1.92</v>
      </c>
      <c r="BL160">
        <v>1.98</v>
      </c>
      <c r="BM160">
        <v>1.92</v>
      </c>
      <c r="BN160">
        <v>1.98</v>
      </c>
      <c r="BO160">
        <v>1.93</v>
      </c>
      <c r="BP160">
        <v>1.98</v>
      </c>
      <c r="BQ160">
        <v>1.88</v>
      </c>
      <c r="BR160">
        <v>1.94</v>
      </c>
      <c r="BS160">
        <v>1.94</v>
      </c>
      <c r="BT160">
        <v>2.0499999999999998</v>
      </c>
      <c r="BU160">
        <v>1.73</v>
      </c>
      <c r="BV160">
        <v>4.0999999999999996</v>
      </c>
      <c r="BW160">
        <v>4.2</v>
      </c>
      <c r="BX160">
        <v>1.71</v>
      </c>
      <c r="BY160">
        <v>4.2</v>
      </c>
      <c r="BZ160">
        <v>4.5</v>
      </c>
      <c r="CA160">
        <v>1.67</v>
      </c>
      <c r="CB160">
        <v>4.0999999999999996</v>
      </c>
      <c r="CC160">
        <v>4.5</v>
      </c>
      <c r="CD160">
        <v>1.78</v>
      </c>
      <c r="CE160">
        <v>4.13</v>
      </c>
      <c r="CF160">
        <v>4.42</v>
      </c>
      <c r="CG160">
        <v>1.73</v>
      </c>
      <c r="CH160">
        <v>4</v>
      </c>
      <c r="CI160">
        <v>4.2</v>
      </c>
      <c r="CJ160">
        <v>1.78</v>
      </c>
      <c r="CK160">
        <v>4.3099999999999996</v>
      </c>
      <c r="CL160">
        <v>4.25</v>
      </c>
      <c r="CM160">
        <v>1.78</v>
      </c>
      <c r="CN160">
        <v>4.33</v>
      </c>
      <c r="CO160">
        <v>4.5999999999999996</v>
      </c>
      <c r="CP160">
        <v>1.74</v>
      </c>
      <c r="CQ160">
        <v>4.18</v>
      </c>
      <c r="CR160">
        <v>4.41</v>
      </c>
      <c r="CS160">
        <v>1.75</v>
      </c>
      <c r="CT160">
        <v>4.4000000000000004</v>
      </c>
      <c r="CU160">
        <v>4.8</v>
      </c>
      <c r="CV160">
        <v>1.53</v>
      </c>
      <c r="CW160">
        <v>2.5</v>
      </c>
      <c r="CX160">
        <v>1.56</v>
      </c>
      <c r="CY160">
        <v>2.56</v>
      </c>
      <c r="CZ160">
        <v>1.59</v>
      </c>
      <c r="DA160">
        <v>2.75</v>
      </c>
      <c r="DB160">
        <v>1.52</v>
      </c>
      <c r="DC160">
        <v>2.58</v>
      </c>
      <c r="DD160">
        <v>1.57</v>
      </c>
      <c r="DE160">
        <v>2.74</v>
      </c>
      <c r="DF160">
        <v>-0.75</v>
      </c>
      <c r="DG160">
        <v>1.99</v>
      </c>
      <c r="DH160">
        <v>1.91</v>
      </c>
      <c r="DI160">
        <v>2</v>
      </c>
      <c r="DJ160">
        <v>1.93</v>
      </c>
      <c r="DK160">
        <v>2.02</v>
      </c>
      <c r="DL160">
        <v>2.0299999999999998</v>
      </c>
      <c r="DM160">
        <v>1.92</v>
      </c>
      <c r="DN160">
        <v>1.94</v>
      </c>
      <c r="DO160">
        <v>1.93</v>
      </c>
      <c r="DP160">
        <v>2.04</v>
      </c>
    </row>
    <row r="161" spans="1:120" x14ac:dyDescent="0.3">
      <c r="A161" t="s">
        <v>120</v>
      </c>
      <c r="B161" t="s">
        <v>194</v>
      </c>
      <c r="C161" s="1">
        <v>0.52083333333333337</v>
      </c>
      <c r="D161" t="s">
        <v>145</v>
      </c>
      <c r="E161" t="s">
        <v>152</v>
      </c>
      <c r="F161">
        <v>2</v>
      </c>
      <c r="G161">
        <v>1</v>
      </c>
      <c r="H161" t="s">
        <v>124</v>
      </c>
      <c r="I161">
        <v>1</v>
      </c>
      <c r="J161">
        <v>0</v>
      </c>
      <c r="K161" t="s">
        <v>124</v>
      </c>
      <c r="L161" t="s">
        <v>171</v>
      </c>
      <c r="M161">
        <v>11</v>
      </c>
      <c r="N161">
        <v>12</v>
      </c>
      <c r="O161">
        <v>6</v>
      </c>
      <c r="P161">
        <v>6</v>
      </c>
      <c r="Q161">
        <v>14</v>
      </c>
      <c r="R161">
        <v>7</v>
      </c>
      <c r="S161">
        <v>5</v>
      </c>
      <c r="T161">
        <v>4</v>
      </c>
      <c r="U161">
        <v>3</v>
      </c>
      <c r="V161">
        <v>3</v>
      </c>
      <c r="W161">
        <v>0</v>
      </c>
      <c r="X161">
        <v>0</v>
      </c>
      <c r="Y161">
        <v>3.25</v>
      </c>
      <c r="Z161">
        <v>3.7</v>
      </c>
      <c r="AA161">
        <v>2.1</v>
      </c>
      <c r="AB161">
        <v>3.25</v>
      </c>
      <c r="AC161">
        <v>3.75</v>
      </c>
      <c r="AD161">
        <v>2.1</v>
      </c>
      <c r="AE161">
        <v>3.3</v>
      </c>
      <c r="AF161">
        <v>3.8</v>
      </c>
      <c r="AG161">
        <v>2.0499999999999998</v>
      </c>
      <c r="AH161">
        <v>3.3</v>
      </c>
      <c r="AI161">
        <v>3.79</v>
      </c>
      <c r="AJ161">
        <v>2.14</v>
      </c>
      <c r="AK161">
        <v>3.3</v>
      </c>
      <c r="AL161">
        <v>3.6</v>
      </c>
      <c r="AM161">
        <v>2.1</v>
      </c>
      <c r="AN161">
        <v>3.42</v>
      </c>
      <c r="AO161">
        <v>3.67</v>
      </c>
      <c r="AP161">
        <v>2.17</v>
      </c>
      <c r="AQ161">
        <v>3.42</v>
      </c>
      <c r="AR161">
        <v>3.8</v>
      </c>
      <c r="AS161">
        <v>2.1800000000000002</v>
      </c>
      <c r="AT161">
        <v>3.29</v>
      </c>
      <c r="AU161">
        <v>3.71</v>
      </c>
      <c r="AV161">
        <v>2.12</v>
      </c>
      <c r="AW161">
        <v>3.4</v>
      </c>
      <c r="AX161">
        <v>3.9</v>
      </c>
      <c r="AY161">
        <v>2.2000000000000002</v>
      </c>
      <c r="AZ161">
        <v>1.57</v>
      </c>
      <c r="BA161">
        <v>2.38</v>
      </c>
      <c r="BB161">
        <v>1.61</v>
      </c>
      <c r="BC161">
        <v>2.41</v>
      </c>
      <c r="BD161">
        <v>1.64</v>
      </c>
      <c r="BE161">
        <v>2.46</v>
      </c>
      <c r="BF161">
        <v>1.59</v>
      </c>
      <c r="BG161">
        <v>2.39</v>
      </c>
      <c r="BH161">
        <v>1.62</v>
      </c>
      <c r="BI161">
        <v>2.56</v>
      </c>
      <c r="BJ161">
        <v>0.25</v>
      </c>
      <c r="BK161">
        <v>2.04</v>
      </c>
      <c r="BL161">
        <v>1.86</v>
      </c>
      <c r="BM161">
        <v>2.0299999999999998</v>
      </c>
      <c r="BN161">
        <v>1.88</v>
      </c>
      <c r="BO161">
        <v>2.06</v>
      </c>
      <c r="BP161">
        <v>1.88</v>
      </c>
      <c r="BQ161">
        <v>2.0099999999999998</v>
      </c>
      <c r="BR161">
        <v>1.83</v>
      </c>
      <c r="BS161">
        <v>2.06</v>
      </c>
      <c r="BT161">
        <v>1.91</v>
      </c>
      <c r="BU161">
        <v>3.1</v>
      </c>
      <c r="BV161">
        <v>3.6</v>
      </c>
      <c r="BW161">
        <v>2.2000000000000002</v>
      </c>
      <c r="BX161">
        <v>3.2</v>
      </c>
      <c r="BY161">
        <v>3.6</v>
      </c>
      <c r="BZ161">
        <v>2.15</v>
      </c>
      <c r="CA161">
        <v>3.2</v>
      </c>
      <c r="CB161">
        <v>3.5</v>
      </c>
      <c r="CC161">
        <v>2.1</v>
      </c>
      <c r="CD161">
        <v>3.21</v>
      </c>
      <c r="CE161">
        <v>3.7</v>
      </c>
      <c r="CF161">
        <v>2.2400000000000002</v>
      </c>
      <c r="CG161">
        <v>3.1</v>
      </c>
      <c r="CH161">
        <v>3.5</v>
      </c>
      <c r="CI161">
        <v>2.2000000000000002</v>
      </c>
      <c r="CJ161">
        <v>3.38</v>
      </c>
      <c r="CK161">
        <v>3.68</v>
      </c>
      <c r="CL161">
        <v>2.16</v>
      </c>
      <c r="CM161">
        <v>3.38</v>
      </c>
      <c r="CN161">
        <v>3.76</v>
      </c>
      <c r="CO161">
        <v>2.25</v>
      </c>
      <c r="CP161">
        <v>3.2</v>
      </c>
      <c r="CQ161">
        <v>3.63</v>
      </c>
      <c r="CR161">
        <v>2.19</v>
      </c>
      <c r="CS161">
        <v>3.35</v>
      </c>
      <c r="CT161">
        <v>3.75</v>
      </c>
      <c r="CU161">
        <v>2.2599999999999998</v>
      </c>
      <c r="CV161">
        <v>1.62</v>
      </c>
      <c r="CW161">
        <v>2.2999999999999998</v>
      </c>
      <c r="CX161">
        <v>1.66</v>
      </c>
      <c r="CY161">
        <v>2.36</v>
      </c>
      <c r="CZ161">
        <v>1.66</v>
      </c>
      <c r="DA161">
        <v>2.44</v>
      </c>
      <c r="DB161">
        <v>1.61</v>
      </c>
      <c r="DC161">
        <v>2.35</v>
      </c>
      <c r="DD161">
        <v>1.67</v>
      </c>
      <c r="DE161">
        <v>2.46</v>
      </c>
      <c r="DF161">
        <v>0.25</v>
      </c>
      <c r="DG161">
        <v>1.98</v>
      </c>
      <c r="DH161">
        <v>1.95</v>
      </c>
      <c r="DI161">
        <v>1.96</v>
      </c>
      <c r="DJ161">
        <v>1.96</v>
      </c>
      <c r="DK161">
        <v>2.04</v>
      </c>
      <c r="DL161">
        <v>1.96</v>
      </c>
      <c r="DM161">
        <v>1.96</v>
      </c>
      <c r="DN161">
        <v>1.89</v>
      </c>
      <c r="DO161">
        <v>2.0299999999999998</v>
      </c>
      <c r="DP161">
        <v>1.96</v>
      </c>
    </row>
    <row r="162" spans="1:120" x14ac:dyDescent="0.3">
      <c r="A162" t="s">
        <v>120</v>
      </c>
      <c r="B162" t="s">
        <v>194</v>
      </c>
      <c r="C162" s="1">
        <v>0.625</v>
      </c>
      <c r="D162" t="s">
        <v>148</v>
      </c>
      <c r="E162" t="s">
        <v>141</v>
      </c>
      <c r="F162">
        <v>0</v>
      </c>
      <c r="G162">
        <v>2</v>
      </c>
      <c r="H162" t="s">
        <v>130</v>
      </c>
      <c r="I162">
        <v>0</v>
      </c>
      <c r="J162">
        <v>1</v>
      </c>
      <c r="K162" t="s">
        <v>130</v>
      </c>
      <c r="L162" t="s">
        <v>143</v>
      </c>
      <c r="M162">
        <v>7</v>
      </c>
      <c r="N162">
        <v>10</v>
      </c>
      <c r="O162">
        <v>3</v>
      </c>
      <c r="P162">
        <v>6</v>
      </c>
      <c r="Q162">
        <v>9</v>
      </c>
      <c r="R162">
        <v>14</v>
      </c>
      <c r="S162">
        <v>9</v>
      </c>
      <c r="T162">
        <v>5</v>
      </c>
      <c r="U162">
        <v>3</v>
      </c>
      <c r="V162">
        <v>4</v>
      </c>
      <c r="W162">
        <v>0</v>
      </c>
      <c r="X162">
        <v>0</v>
      </c>
      <c r="Y162">
        <v>2.2999999999999998</v>
      </c>
      <c r="Z162">
        <v>3.6</v>
      </c>
      <c r="AA162">
        <v>2.9</v>
      </c>
      <c r="AB162">
        <v>2.25</v>
      </c>
      <c r="AC162">
        <v>3.5</v>
      </c>
      <c r="AD162">
        <v>3</v>
      </c>
      <c r="AE162">
        <v>2.38</v>
      </c>
      <c r="AF162">
        <v>3.5</v>
      </c>
      <c r="AG162">
        <v>3</v>
      </c>
      <c r="AH162">
        <v>2.39</v>
      </c>
      <c r="AI162">
        <v>3.47</v>
      </c>
      <c r="AJ162">
        <v>3.07</v>
      </c>
      <c r="AK162">
        <v>2.2999999999999998</v>
      </c>
      <c r="AL162">
        <v>3.5</v>
      </c>
      <c r="AM162">
        <v>3</v>
      </c>
      <c r="AN162">
        <v>2.35</v>
      </c>
      <c r="AO162">
        <v>3.67</v>
      </c>
      <c r="AP162">
        <v>3.06</v>
      </c>
      <c r="AQ162">
        <v>2.4</v>
      </c>
      <c r="AR162">
        <v>3.67</v>
      </c>
      <c r="AS162">
        <v>3.1</v>
      </c>
      <c r="AT162">
        <v>2.35</v>
      </c>
      <c r="AU162">
        <v>3.52</v>
      </c>
      <c r="AV162">
        <v>2.99</v>
      </c>
      <c r="AW162">
        <v>2.44</v>
      </c>
      <c r="AX162">
        <v>3.65</v>
      </c>
      <c r="AY162">
        <v>3.1</v>
      </c>
      <c r="AZ162">
        <v>1.73</v>
      </c>
      <c r="BA162">
        <v>2.1</v>
      </c>
      <c r="BB162">
        <v>1.76</v>
      </c>
      <c r="BC162">
        <v>2.15</v>
      </c>
      <c r="BD162">
        <v>1.77</v>
      </c>
      <c r="BE162">
        <v>2.2200000000000002</v>
      </c>
      <c r="BF162">
        <v>1.72</v>
      </c>
      <c r="BG162">
        <v>2.13</v>
      </c>
      <c r="BH162">
        <v>1.75</v>
      </c>
      <c r="BI162">
        <v>2.2599999999999998</v>
      </c>
      <c r="BJ162">
        <v>-0.25</v>
      </c>
      <c r="BK162">
        <v>2.0499999999999998</v>
      </c>
      <c r="BL162">
        <v>1.85</v>
      </c>
      <c r="BM162">
        <v>2.0699999999999998</v>
      </c>
      <c r="BN162">
        <v>1.85</v>
      </c>
      <c r="BO162">
        <v>2.0699999999999998</v>
      </c>
      <c r="BP162">
        <v>1.88</v>
      </c>
      <c r="BQ162">
        <v>2.0099999999999998</v>
      </c>
      <c r="BR162">
        <v>1.83</v>
      </c>
      <c r="BS162">
        <v>2.11</v>
      </c>
      <c r="BT162">
        <v>1.89</v>
      </c>
      <c r="BU162">
        <v>2.5</v>
      </c>
      <c r="BV162">
        <v>3.6</v>
      </c>
      <c r="BW162">
        <v>2.7</v>
      </c>
      <c r="BX162">
        <v>2.4500000000000002</v>
      </c>
      <c r="BY162">
        <v>3.5</v>
      </c>
      <c r="BZ162">
        <v>2.8</v>
      </c>
      <c r="CA162">
        <v>2.4500000000000002</v>
      </c>
      <c r="CB162">
        <v>3.5</v>
      </c>
      <c r="CC162">
        <v>2.75</v>
      </c>
      <c r="CD162">
        <v>2.5299999999999998</v>
      </c>
      <c r="CE162">
        <v>3.66</v>
      </c>
      <c r="CF162">
        <v>2.78</v>
      </c>
      <c r="CG162">
        <v>2.4500000000000002</v>
      </c>
      <c r="CH162">
        <v>3.5</v>
      </c>
      <c r="CI162">
        <v>2.75</v>
      </c>
      <c r="CJ162">
        <v>2.54</v>
      </c>
      <c r="CK162">
        <v>3.66</v>
      </c>
      <c r="CL162">
        <v>2.74</v>
      </c>
      <c r="CM162">
        <v>2.56</v>
      </c>
      <c r="CN162">
        <v>3.76</v>
      </c>
      <c r="CO162">
        <v>2.8</v>
      </c>
      <c r="CP162">
        <v>2.4900000000000002</v>
      </c>
      <c r="CQ162">
        <v>3.58</v>
      </c>
      <c r="CR162">
        <v>2.75</v>
      </c>
      <c r="CS162">
        <v>2.56</v>
      </c>
      <c r="CT162">
        <v>3.75</v>
      </c>
      <c r="CU162">
        <v>2.9</v>
      </c>
      <c r="CV162">
        <v>1.57</v>
      </c>
      <c r="CW162">
        <v>2.38</v>
      </c>
      <c r="CX162">
        <v>1.61</v>
      </c>
      <c r="CY162">
        <v>2.4300000000000002</v>
      </c>
      <c r="CZ162">
        <v>1.64</v>
      </c>
      <c r="DA162">
        <v>2.46</v>
      </c>
      <c r="DB162">
        <v>1.59</v>
      </c>
      <c r="DC162">
        <v>2.39</v>
      </c>
      <c r="DD162">
        <v>1.64</v>
      </c>
      <c r="DE162">
        <v>2.54</v>
      </c>
      <c r="DF162">
        <v>0</v>
      </c>
      <c r="DG162">
        <v>1.87</v>
      </c>
      <c r="DH162">
        <v>2.06</v>
      </c>
      <c r="DI162">
        <v>1.87</v>
      </c>
      <c r="DJ162">
        <v>2.06</v>
      </c>
      <c r="DK162">
        <v>1.88</v>
      </c>
      <c r="DL162">
        <v>2.09</v>
      </c>
      <c r="DM162">
        <v>1.84</v>
      </c>
      <c r="DN162">
        <v>2.04</v>
      </c>
      <c r="DO162">
        <v>1.89</v>
      </c>
      <c r="DP162">
        <v>2.11</v>
      </c>
    </row>
    <row r="163" spans="1:120" x14ac:dyDescent="0.3">
      <c r="A163" t="s">
        <v>120</v>
      </c>
      <c r="B163" t="s">
        <v>194</v>
      </c>
      <c r="C163" s="1">
        <v>0.625</v>
      </c>
      <c r="D163" t="s">
        <v>128</v>
      </c>
      <c r="E163" t="s">
        <v>138</v>
      </c>
      <c r="F163">
        <v>0</v>
      </c>
      <c r="G163">
        <v>4</v>
      </c>
      <c r="H163" t="s">
        <v>130</v>
      </c>
      <c r="I163">
        <v>0</v>
      </c>
      <c r="J163">
        <v>3</v>
      </c>
      <c r="K163" t="s">
        <v>130</v>
      </c>
      <c r="L163" t="s">
        <v>164</v>
      </c>
      <c r="M163">
        <v>10</v>
      </c>
      <c r="N163">
        <v>15</v>
      </c>
      <c r="O163">
        <v>2</v>
      </c>
      <c r="P163">
        <v>7</v>
      </c>
      <c r="Q163">
        <v>9</v>
      </c>
      <c r="R163">
        <v>7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0</v>
      </c>
      <c r="Y163">
        <v>4.75</v>
      </c>
      <c r="Z163">
        <v>3.75</v>
      </c>
      <c r="AA163">
        <v>1.73</v>
      </c>
      <c r="AB163">
        <v>4.5</v>
      </c>
      <c r="AC163">
        <v>4</v>
      </c>
      <c r="AD163">
        <v>1.73</v>
      </c>
      <c r="AE163">
        <v>4.75</v>
      </c>
      <c r="AF163">
        <v>3.9</v>
      </c>
      <c r="AG163">
        <v>1.73</v>
      </c>
      <c r="AH163">
        <v>4.6900000000000004</v>
      </c>
      <c r="AI163">
        <v>4.0199999999999996</v>
      </c>
      <c r="AJ163">
        <v>1.74</v>
      </c>
      <c r="AK163">
        <v>4.5</v>
      </c>
      <c r="AL163">
        <v>3.8</v>
      </c>
      <c r="AM163">
        <v>1.75</v>
      </c>
      <c r="AN163">
        <v>4.74</v>
      </c>
      <c r="AO163">
        <v>4.0599999999999996</v>
      </c>
      <c r="AP163">
        <v>1.76</v>
      </c>
      <c r="AQ163">
        <v>4.75</v>
      </c>
      <c r="AR163">
        <v>4.0599999999999996</v>
      </c>
      <c r="AS163">
        <v>1.77</v>
      </c>
      <c r="AT163">
        <v>4.6100000000000003</v>
      </c>
      <c r="AU163">
        <v>3.95</v>
      </c>
      <c r="AV163">
        <v>1.74</v>
      </c>
      <c r="AW163">
        <v>5</v>
      </c>
      <c r="AX163">
        <v>4.0999999999999996</v>
      </c>
      <c r="AY163">
        <v>1.78</v>
      </c>
      <c r="AZ163">
        <v>1.62</v>
      </c>
      <c r="BA163">
        <v>2.2999999999999998</v>
      </c>
      <c r="BB163">
        <v>1.65</v>
      </c>
      <c r="BC163">
        <v>2.3199999999999998</v>
      </c>
      <c r="BD163">
        <v>1.67</v>
      </c>
      <c r="BE163">
        <v>2.37</v>
      </c>
      <c r="BF163">
        <v>1.63</v>
      </c>
      <c r="BG163">
        <v>2.2999999999999998</v>
      </c>
      <c r="BH163">
        <v>1.68</v>
      </c>
      <c r="BI163">
        <v>2.4</v>
      </c>
      <c r="BJ163">
        <v>0.75</v>
      </c>
      <c r="BK163">
        <v>1.95</v>
      </c>
      <c r="BL163">
        <v>1.95</v>
      </c>
      <c r="BM163">
        <v>1.95</v>
      </c>
      <c r="BN163">
        <v>1.95</v>
      </c>
      <c r="BO163">
        <v>1.97</v>
      </c>
      <c r="BP163">
        <v>1.95</v>
      </c>
      <c r="BQ163">
        <v>1.92</v>
      </c>
      <c r="BR163">
        <v>1.91</v>
      </c>
      <c r="BS163">
        <v>1.99</v>
      </c>
      <c r="BT163">
        <v>1.99</v>
      </c>
      <c r="BU163">
        <v>4.75</v>
      </c>
      <c r="BV163">
        <v>3.9</v>
      </c>
      <c r="BW163">
        <v>1.73</v>
      </c>
      <c r="BX163">
        <v>4.5999999999999996</v>
      </c>
      <c r="BY163">
        <v>4</v>
      </c>
      <c r="BZ163">
        <v>1.71</v>
      </c>
      <c r="CA163">
        <v>4.33</v>
      </c>
      <c r="CB163">
        <v>4</v>
      </c>
      <c r="CC163">
        <v>1.7</v>
      </c>
      <c r="CD163">
        <v>4.5999999999999996</v>
      </c>
      <c r="CE163">
        <v>4.24</v>
      </c>
      <c r="CF163">
        <v>1.73</v>
      </c>
      <c r="CG163">
        <v>4.75</v>
      </c>
      <c r="CH163">
        <v>4</v>
      </c>
      <c r="CI163">
        <v>1.7</v>
      </c>
      <c r="CJ163">
        <v>5.05</v>
      </c>
      <c r="CK163">
        <v>3.96</v>
      </c>
      <c r="CL163">
        <v>1.73</v>
      </c>
      <c r="CM163">
        <v>5.24</v>
      </c>
      <c r="CN163">
        <v>4.24</v>
      </c>
      <c r="CO163">
        <v>1.75</v>
      </c>
      <c r="CP163">
        <v>4.6900000000000004</v>
      </c>
      <c r="CQ163">
        <v>4.04</v>
      </c>
      <c r="CR163">
        <v>1.72</v>
      </c>
      <c r="CS163">
        <v>4.7</v>
      </c>
      <c r="CT163">
        <v>4.3</v>
      </c>
      <c r="CU163">
        <v>1.78</v>
      </c>
      <c r="CV163">
        <v>1.57</v>
      </c>
      <c r="CW163">
        <v>2.38</v>
      </c>
      <c r="CX163">
        <v>1.62</v>
      </c>
      <c r="CY163">
        <v>2.42</v>
      </c>
      <c r="CZ163">
        <v>1.66</v>
      </c>
      <c r="DA163">
        <v>2.4500000000000002</v>
      </c>
      <c r="DB163">
        <v>1.6</v>
      </c>
      <c r="DC163">
        <v>2.37</v>
      </c>
      <c r="DD163">
        <v>1.64</v>
      </c>
      <c r="DE163">
        <v>2.54</v>
      </c>
      <c r="DF163">
        <v>0.75</v>
      </c>
      <c r="DG163">
        <v>1.99</v>
      </c>
      <c r="DH163">
        <v>1.94</v>
      </c>
      <c r="DI163">
        <v>1.99</v>
      </c>
      <c r="DJ163">
        <v>1.93</v>
      </c>
      <c r="DK163">
        <v>2.0299999999999998</v>
      </c>
      <c r="DL163">
        <v>1.96</v>
      </c>
      <c r="DM163">
        <v>1.97</v>
      </c>
      <c r="DN163">
        <v>1.88</v>
      </c>
      <c r="DO163">
        <v>2.0099999999999998</v>
      </c>
      <c r="DP163">
        <v>1.98</v>
      </c>
    </row>
    <row r="164" spans="1:120" x14ac:dyDescent="0.3">
      <c r="A164" t="s">
        <v>120</v>
      </c>
      <c r="B164" t="s">
        <v>194</v>
      </c>
      <c r="C164" s="1">
        <v>0.625</v>
      </c>
      <c r="D164" t="s">
        <v>144</v>
      </c>
      <c r="E164" t="s">
        <v>136</v>
      </c>
      <c r="F164">
        <v>1</v>
      </c>
      <c r="G164">
        <v>1</v>
      </c>
      <c r="H164" t="s">
        <v>125</v>
      </c>
      <c r="I164">
        <v>0</v>
      </c>
      <c r="J164">
        <v>0</v>
      </c>
      <c r="K164" t="s">
        <v>125</v>
      </c>
      <c r="L164" t="s">
        <v>126</v>
      </c>
      <c r="M164">
        <v>11</v>
      </c>
      <c r="N164">
        <v>12</v>
      </c>
      <c r="O164">
        <v>4</v>
      </c>
      <c r="P164">
        <v>6</v>
      </c>
      <c r="Q164">
        <v>14</v>
      </c>
      <c r="R164">
        <v>20</v>
      </c>
      <c r="S164">
        <v>8</v>
      </c>
      <c r="T164">
        <v>4</v>
      </c>
      <c r="U164">
        <v>2</v>
      </c>
      <c r="V164">
        <v>2</v>
      </c>
      <c r="W164">
        <v>0</v>
      </c>
      <c r="X164">
        <v>0</v>
      </c>
      <c r="Y164">
        <v>2.88</v>
      </c>
      <c r="Z164">
        <v>3.7</v>
      </c>
      <c r="AA164">
        <v>2.35</v>
      </c>
      <c r="AB164">
        <v>2.85</v>
      </c>
      <c r="AC164">
        <v>3.7</v>
      </c>
      <c r="AD164">
        <v>2.35</v>
      </c>
      <c r="AE164">
        <v>2.8</v>
      </c>
      <c r="AF164">
        <v>3.75</v>
      </c>
      <c r="AG164">
        <v>2.2999999999999998</v>
      </c>
      <c r="AH164">
        <v>2.8</v>
      </c>
      <c r="AI164">
        <v>3.83</v>
      </c>
      <c r="AJ164">
        <v>2.41</v>
      </c>
      <c r="AK164">
        <v>2.8</v>
      </c>
      <c r="AL164">
        <v>3.6</v>
      </c>
      <c r="AM164">
        <v>2.38</v>
      </c>
      <c r="AN164">
        <v>2.84</v>
      </c>
      <c r="AO164">
        <v>3.87</v>
      </c>
      <c r="AP164">
        <v>2.41</v>
      </c>
      <c r="AQ164">
        <v>2.88</v>
      </c>
      <c r="AR164">
        <v>3.87</v>
      </c>
      <c r="AS164">
        <v>2.4300000000000002</v>
      </c>
      <c r="AT164">
        <v>2.8</v>
      </c>
      <c r="AU164">
        <v>3.75</v>
      </c>
      <c r="AV164">
        <v>2.38</v>
      </c>
      <c r="AW164">
        <v>2.94</v>
      </c>
      <c r="AX164">
        <v>3.85</v>
      </c>
      <c r="AY164">
        <v>2.48</v>
      </c>
      <c r="AZ164">
        <v>1.5</v>
      </c>
      <c r="BA164">
        <v>2.63</v>
      </c>
      <c r="BB164">
        <v>1.51</v>
      </c>
      <c r="BC164">
        <v>2.64</v>
      </c>
      <c r="BD164">
        <v>1.55</v>
      </c>
      <c r="BE164">
        <v>2.64</v>
      </c>
      <c r="BF164">
        <v>1.51</v>
      </c>
      <c r="BG164">
        <v>2.56</v>
      </c>
      <c r="BH164">
        <v>1.54</v>
      </c>
      <c r="BI164">
        <v>2.76</v>
      </c>
      <c r="BJ164">
        <v>0.25</v>
      </c>
      <c r="BK164">
        <v>1.83</v>
      </c>
      <c r="BL164">
        <v>2.0699999999999998</v>
      </c>
      <c r="BM164">
        <v>1.8</v>
      </c>
      <c r="BN164">
        <v>2.11</v>
      </c>
      <c r="BO164">
        <v>1.85</v>
      </c>
      <c r="BP164">
        <v>2.11</v>
      </c>
      <c r="BQ164">
        <v>1.8</v>
      </c>
      <c r="BR164">
        <v>2.0499999999999998</v>
      </c>
      <c r="BS164">
        <v>1.85</v>
      </c>
      <c r="BT164">
        <v>2.16</v>
      </c>
      <c r="BU164">
        <v>2.75</v>
      </c>
      <c r="BV164">
        <v>3.6</v>
      </c>
      <c r="BW164">
        <v>2.4500000000000002</v>
      </c>
      <c r="BX164">
        <v>2.75</v>
      </c>
      <c r="BY164">
        <v>3.6</v>
      </c>
      <c r="BZ164">
        <v>2.4</v>
      </c>
      <c r="CA164">
        <v>2.75</v>
      </c>
      <c r="CB164">
        <v>3.5</v>
      </c>
      <c r="CC164">
        <v>2.4</v>
      </c>
      <c r="CD164">
        <v>2.83</v>
      </c>
      <c r="CE164">
        <v>3.68</v>
      </c>
      <c r="CF164">
        <v>2.48</v>
      </c>
      <c r="CG164">
        <v>2.75</v>
      </c>
      <c r="CH164">
        <v>3.6</v>
      </c>
      <c r="CI164">
        <v>2.4500000000000002</v>
      </c>
      <c r="CJ164">
        <v>2.69</v>
      </c>
      <c r="CK164">
        <v>3.66</v>
      </c>
      <c r="CL164">
        <v>2.58</v>
      </c>
      <c r="CM164">
        <v>2.85</v>
      </c>
      <c r="CN164">
        <v>3.77</v>
      </c>
      <c r="CO164">
        <v>2.58</v>
      </c>
      <c r="CP164">
        <v>2.77</v>
      </c>
      <c r="CQ164">
        <v>3.63</v>
      </c>
      <c r="CR164">
        <v>2.46</v>
      </c>
      <c r="CS164">
        <v>2.9</v>
      </c>
      <c r="CT164">
        <v>3.7</v>
      </c>
      <c r="CU164">
        <v>2.58</v>
      </c>
      <c r="CV164">
        <v>1.5</v>
      </c>
      <c r="CW164">
        <v>2.63</v>
      </c>
      <c r="CX164">
        <v>1.52</v>
      </c>
      <c r="CY164">
        <v>2.62</v>
      </c>
      <c r="CZ164">
        <v>1.52</v>
      </c>
      <c r="DA164">
        <v>2.77</v>
      </c>
      <c r="DB164">
        <v>1.5</v>
      </c>
      <c r="DC164">
        <v>2.63</v>
      </c>
      <c r="DD164">
        <v>1.55</v>
      </c>
      <c r="DE164">
        <v>2.78</v>
      </c>
      <c r="DF164">
        <v>0</v>
      </c>
      <c r="DG164">
        <v>2.08</v>
      </c>
      <c r="DH164">
        <v>1.85</v>
      </c>
      <c r="DI164">
        <v>2.1</v>
      </c>
      <c r="DJ164">
        <v>1.84</v>
      </c>
      <c r="DK164">
        <v>2.12</v>
      </c>
      <c r="DL164">
        <v>1.87</v>
      </c>
      <c r="DM164">
        <v>2.0499999999999998</v>
      </c>
      <c r="DN164">
        <v>1.84</v>
      </c>
      <c r="DO164">
        <v>2.12</v>
      </c>
      <c r="DP164">
        <v>1.88</v>
      </c>
    </row>
    <row r="165" spans="1:120" x14ac:dyDescent="0.3">
      <c r="A165" t="s">
        <v>120</v>
      </c>
      <c r="B165" t="s">
        <v>194</v>
      </c>
      <c r="C165" s="1">
        <v>0.72916666666666663</v>
      </c>
      <c r="D165" t="s">
        <v>149</v>
      </c>
      <c r="E165" t="s">
        <v>132</v>
      </c>
      <c r="F165">
        <v>1</v>
      </c>
      <c r="G165">
        <v>5</v>
      </c>
      <c r="H165" t="s">
        <v>130</v>
      </c>
      <c r="I165">
        <v>1</v>
      </c>
      <c r="J165">
        <v>3</v>
      </c>
      <c r="K165" t="s">
        <v>130</v>
      </c>
      <c r="L165" t="s">
        <v>137</v>
      </c>
      <c r="M165">
        <v>15</v>
      </c>
      <c r="N165">
        <v>14</v>
      </c>
      <c r="O165">
        <v>6</v>
      </c>
      <c r="P165">
        <v>6</v>
      </c>
      <c r="Q165">
        <v>9</v>
      </c>
      <c r="R165">
        <v>8</v>
      </c>
      <c r="S165">
        <v>3</v>
      </c>
      <c r="T165">
        <v>3</v>
      </c>
      <c r="U165">
        <v>2</v>
      </c>
      <c r="V165">
        <v>2</v>
      </c>
      <c r="W165">
        <v>0</v>
      </c>
      <c r="X165">
        <v>0</v>
      </c>
      <c r="Y165">
        <v>6.25</v>
      </c>
      <c r="Z165">
        <v>4.2</v>
      </c>
      <c r="AA165">
        <v>1.55</v>
      </c>
      <c r="AB165">
        <v>5.75</v>
      </c>
      <c r="AC165">
        <v>4.0999999999999996</v>
      </c>
      <c r="AD165">
        <v>1.58</v>
      </c>
      <c r="AE165">
        <v>6</v>
      </c>
      <c r="AF165">
        <v>4.0999999999999996</v>
      </c>
      <c r="AG165">
        <v>1.55</v>
      </c>
      <c r="AH165">
        <v>6.75</v>
      </c>
      <c r="AI165">
        <v>4.17</v>
      </c>
      <c r="AJ165">
        <v>1.54</v>
      </c>
      <c r="AK165">
        <v>6</v>
      </c>
      <c r="AL165">
        <v>4</v>
      </c>
      <c r="AM165">
        <v>1.57</v>
      </c>
      <c r="AN165">
        <v>6.01</v>
      </c>
      <c r="AO165">
        <v>4.33</v>
      </c>
      <c r="AP165">
        <v>1.59</v>
      </c>
      <c r="AQ165">
        <v>6.8</v>
      </c>
      <c r="AR165">
        <v>4.33</v>
      </c>
      <c r="AS165">
        <v>1.61</v>
      </c>
      <c r="AT165">
        <v>6.08</v>
      </c>
      <c r="AU165">
        <v>4.1100000000000003</v>
      </c>
      <c r="AV165">
        <v>1.57</v>
      </c>
      <c r="AW165">
        <v>6.6</v>
      </c>
      <c r="AX165">
        <v>4.3</v>
      </c>
      <c r="AY165">
        <v>1.59</v>
      </c>
      <c r="AZ165">
        <v>1.87</v>
      </c>
      <c r="BA165">
        <v>2.0299999999999998</v>
      </c>
      <c r="BB165">
        <v>1.83</v>
      </c>
      <c r="BC165">
        <v>2.0499999999999998</v>
      </c>
      <c r="BD165">
        <v>1.88</v>
      </c>
      <c r="BE165">
        <v>2.0499999999999998</v>
      </c>
      <c r="BF165">
        <v>1.83</v>
      </c>
      <c r="BG165">
        <v>2.0099999999999998</v>
      </c>
      <c r="BH165">
        <v>1.89</v>
      </c>
      <c r="BI165">
        <v>2.08</v>
      </c>
      <c r="BJ165">
        <v>1</v>
      </c>
      <c r="BK165">
        <v>1.95</v>
      </c>
      <c r="BL165">
        <v>1.95</v>
      </c>
      <c r="BM165">
        <v>1.97</v>
      </c>
      <c r="BN165">
        <v>1.93</v>
      </c>
      <c r="BO165">
        <v>1.97</v>
      </c>
      <c r="BP165">
        <v>2</v>
      </c>
      <c r="BQ165">
        <v>1.89</v>
      </c>
      <c r="BR165">
        <v>1.96</v>
      </c>
      <c r="BS165">
        <v>1.98</v>
      </c>
      <c r="BT165">
        <v>2.0099999999999998</v>
      </c>
      <c r="BU165">
        <v>7</v>
      </c>
      <c r="BV165">
        <v>4.33</v>
      </c>
      <c r="BW165">
        <v>1.48</v>
      </c>
      <c r="BX165">
        <v>6.75</v>
      </c>
      <c r="BY165">
        <v>4.5</v>
      </c>
      <c r="BZ165">
        <v>1.49</v>
      </c>
      <c r="CA165">
        <v>7.5</v>
      </c>
      <c r="CB165">
        <v>4.33</v>
      </c>
      <c r="CC165">
        <v>1.44</v>
      </c>
      <c r="CD165">
        <v>7.6</v>
      </c>
      <c r="CE165">
        <v>4.5999999999999996</v>
      </c>
      <c r="CF165">
        <v>1.47</v>
      </c>
      <c r="CG165">
        <v>6.5</v>
      </c>
      <c r="CH165">
        <v>4.33</v>
      </c>
      <c r="CI165">
        <v>1.44</v>
      </c>
      <c r="CJ165">
        <v>7.46</v>
      </c>
      <c r="CK165">
        <v>4.41</v>
      </c>
      <c r="CL165">
        <v>1.49</v>
      </c>
      <c r="CM165">
        <v>7.68</v>
      </c>
      <c r="CN165">
        <v>4.5999999999999996</v>
      </c>
      <c r="CO165">
        <v>1.5</v>
      </c>
      <c r="CP165">
        <v>7.14</v>
      </c>
      <c r="CQ165">
        <v>4.42</v>
      </c>
      <c r="CR165">
        <v>1.48</v>
      </c>
      <c r="CS165">
        <v>8</v>
      </c>
      <c r="CT165">
        <v>4.7</v>
      </c>
      <c r="CU165">
        <v>1.49</v>
      </c>
      <c r="CV165">
        <v>1.85</v>
      </c>
      <c r="CW165">
        <v>2.0499999999999998</v>
      </c>
      <c r="CX165">
        <v>1.85</v>
      </c>
      <c r="CY165">
        <v>2.06</v>
      </c>
      <c r="CZ165">
        <v>1.9</v>
      </c>
      <c r="DA165">
        <v>2.1</v>
      </c>
      <c r="DB165">
        <v>1.84</v>
      </c>
      <c r="DC165">
        <v>2</v>
      </c>
      <c r="DD165">
        <v>1.93</v>
      </c>
      <c r="DE165">
        <v>2.06</v>
      </c>
      <c r="DF165">
        <v>1</v>
      </c>
      <c r="DG165">
        <v>2.0499999999999998</v>
      </c>
      <c r="DH165">
        <v>1.75</v>
      </c>
      <c r="DI165">
        <v>2.15</v>
      </c>
      <c r="DJ165">
        <v>1.78</v>
      </c>
      <c r="DK165">
        <v>2.15</v>
      </c>
      <c r="DL165">
        <v>1.83</v>
      </c>
      <c r="DM165">
        <v>2.09</v>
      </c>
      <c r="DN165">
        <v>1.78</v>
      </c>
      <c r="DO165">
        <v>2.21</v>
      </c>
      <c r="DP165">
        <v>1.81</v>
      </c>
    </row>
    <row r="166" spans="1:120" x14ac:dyDescent="0.3">
      <c r="A166" t="s">
        <v>120</v>
      </c>
      <c r="B166" t="s">
        <v>195</v>
      </c>
      <c r="C166" s="1">
        <v>0.58333333333333337</v>
      </c>
      <c r="D166" t="s">
        <v>135</v>
      </c>
      <c r="E166" t="s">
        <v>151</v>
      </c>
      <c r="F166">
        <v>0</v>
      </c>
      <c r="G166">
        <v>0</v>
      </c>
      <c r="H166" t="s">
        <v>125</v>
      </c>
      <c r="I166">
        <v>0</v>
      </c>
      <c r="J166">
        <v>0</v>
      </c>
      <c r="K166" t="s">
        <v>125</v>
      </c>
      <c r="L166" t="s">
        <v>157</v>
      </c>
      <c r="M166">
        <v>5</v>
      </c>
      <c r="N166">
        <v>12</v>
      </c>
      <c r="O166">
        <v>4</v>
      </c>
      <c r="P166">
        <v>5</v>
      </c>
      <c r="Q166">
        <v>20</v>
      </c>
      <c r="R166">
        <v>12</v>
      </c>
      <c r="S166">
        <v>2</v>
      </c>
      <c r="T166">
        <v>5</v>
      </c>
      <c r="U166">
        <v>4</v>
      </c>
      <c r="V166">
        <v>1</v>
      </c>
      <c r="W166">
        <v>0</v>
      </c>
      <c r="X166">
        <v>0</v>
      </c>
      <c r="Y166">
        <v>5</v>
      </c>
      <c r="Z166">
        <v>4.2</v>
      </c>
      <c r="AA166">
        <v>1.62</v>
      </c>
      <c r="AB166">
        <v>5.25</v>
      </c>
      <c r="AC166">
        <v>4.0999999999999996</v>
      </c>
      <c r="AD166">
        <v>1.63</v>
      </c>
      <c r="AE166">
        <v>5</v>
      </c>
      <c r="AF166">
        <v>4.2</v>
      </c>
      <c r="AG166">
        <v>1.62</v>
      </c>
      <c r="AH166">
        <v>5.48</v>
      </c>
      <c r="AI166">
        <v>4.09</v>
      </c>
      <c r="AJ166">
        <v>1.64</v>
      </c>
      <c r="AK166">
        <v>5</v>
      </c>
      <c r="AL166">
        <v>4</v>
      </c>
      <c r="AM166">
        <v>1.62</v>
      </c>
      <c r="AN166">
        <v>5.09</v>
      </c>
      <c r="AO166">
        <v>4.33</v>
      </c>
      <c r="AP166">
        <v>1.67</v>
      </c>
      <c r="AQ166">
        <v>5.52</v>
      </c>
      <c r="AR166">
        <v>4.33</v>
      </c>
      <c r="AS166">
        <v>1.67</v>
      </c>
      <c r="AT166">
        <v>5.18</v>
      </c>
      <c r="AU166">
        <v>4.13</v>
      </c>
      <c r="AV166">
        <v>1.63</v>
      </c>
      <c r="AW166">
        <v>5.6</v>
      </c>
      <c r="AX166">
        <v>4.4000000000000004</v>
      </c>
      <c r="AY166">
        <v>1.66</v>
      </c>
      <c r="AZ166">
        <v>1.67</v>
      </c>
      <c r="BA166">
        <v>2.2000000000000002</v>
      </c>
      <c r="BB166">
        <v>1.67</v>
      </c>
      <c r="BC166">
        <v>2.2999999999999998</v>
      </c>
      <c r="BD166">
        <v>1.73</v>
      </c>
      <c r="BE166">
        <v>2.35</v>
      </c>
      <c r="BF166">
        <v>1.66</v>
      </c>
      <c r="BG166">
        <v>2.25</v>
      </c>
      <c r="BH166">
        <v>1.7</v>
      </c>
      <c r="BI166">
        <v>2.38</v>
      </c>
      <c r="BJ166">
        <v>0.75</v>
      </c>
      <c r="BK166">
        <v>2.0299999999999998</v>
      </c>
      <c r="BL166">
        <v>1.78</v>
      </c>
      <c r="BM166">
        <v>2.11</v>
      </c>
      <c r="BN166">
        <v>1.82</v>
      </c>
      <c r="BO166">
        <v>2.11</v>
      </c>
      <c r="BP166">
        <v>1.82</v>
      </c>
      <c r="BQ166">
        <v>2.0499999999999998</v>
      </c>
      <c r="BR166">
        <v>1.78</v>
      </c>
      <c r="BS166">
        <v>2.14</v>
      </c>
      <c r="BT166">
        <v>1.85</v>
      </c>
      <c r="BU166">
        <v>4.5</v>
      </c>
      <c r="BV166">
        <v>4.0999999999999996</v>
      </c>
      <c r="BW166">
        <v>1.67</v>
      </c>
      <c r="BX166">
        <v>4.8</v>
      </c>
      <c r="BY166">
        <v>4.0999999999999996</v>
      </c>
      <c r="BZ166">
        <v>1.68</v>
      </c>
      <c r="CA166">
        <v>4.75</v>
      </c>
      <c r="CB166">
        <v>4</v>
      </c>
      <c r="CC166">
        <v>1.62</v>
      </c>
      <c r="CD166">
        <v>5.01</v>
      </c>
      <c r="CE166">
        <v>4.1100000000000003</v>
      </c>
      <c r="CF166">
        <v>1.69</v>
      </c>
      <c r="CG166">
        <v>4.5999999999999996</v>
      </c>
      <c r="CH166">
        <v>4</v>
      </c>
      <c r="CI166">
        <v>1.7</v>
      </c>
      <c r="CJ166">
        <v>4.9000000000000004</v>
      </c>
      <c r="CK166">
        <v>4.24</v>
      </c>
      <c r="CL166">
        <v>1.7</v>
      </c>
      <c r="CM166">
        <v>5.18</v>
      </c>
      <c r="CN166">
        <v>4.3</v>
      </c>
      <c r="CO166">
        <v>1.7</v>
      </c>
      <c r="CP166">
        <v>4.84</v>
      </c>
      <c r="CQ166">
        <v>4.12</v>
      </c>
      <c r="CR166">
        <v>1.68</v>
      </c>
      <c r="CS166">
        <v>5.3</v>
      </c>
      <c r="CT166">
        <v>4.3</v>
      </c>
      <c r="CU166">
        <v>1.71</v>
      </c>
      <c r="CV166">
        <v>1.62</v>
      </c>
      <c r="CW166">
        <v>2.2999999999999998</v>
      </c>
      <c r="CX166">
        <v>1.65</v>
      </c>
      <c r="CY166">
        <v>2.35</v>
      </c>
      <c r="CZ166">
        <v>1.65</v>
      </c>
      <c r="DA166">
        <v>2.42</v>
      </c>
      <c r="DB166">
        <v>1.61</v>
      </c>
      <c r="DC166">
        <v>2.34</v>
      </c>
      <c r="DD166">
        <v>1.68</v>
      </c>
      <c r="DE166">
        <v>2.46</v>
      </c>
      <c r="DF166">
        <v>0.75</v>
      </c>
      <c r="DG166">
        <v>2.04</v>
      </c>
      <c r="DH166">
        <v>1.89</v>
      </c>
      <c r="DI166">
        <v>2.04</v>
      </c>
      <c r="DJ166">
        <v>1.89</v>
      </c>
      <c r="DK166">
        <v>2.09</v>
      </c>
      <c r="DL166">
        <v>1.89</v>
      </c>
      <c r="DM166">
        <v>2.02</v>
      </c>
      <c r="DN166">
        <v>1.84</v>
      </c>
      <c r="DO166">
        <v>2.09</v>
      </c>
      <c r="DP166">
        <v>1.9</v>
      </c>
    </row>
    <row r="167" spans="1:120" x14ac:dyDescent="0.3">
      <c r="A167" t="s">
        <v>120</v>
      </c>
      <c r="B167" t="s">
        <v>195</v>
      </c>
      <c r="C167" s="1">
        <v>0.58333333333333337</v>
      </c>
      <c r="D167" t="s">
        <v>123</v>
      </c>
      <c r="E167" t="s">
        <v>139</v>
      </c>
      <c r="F167">
        <v>0</v>
      </c>
      <c r="G167">
        <v>0</v>
      </c>
      <c r="H167" t="s">
        <v>125</v>
      </c>
      <c r="I167">
        <v>0</v>
      </c>
      <c r="J167">
        <v>0</v>
      </c>
      <c r="K167" t="s">
        <v>125</v>
      </c>
      <c r="L167" t="s">
        <v>131</v>
      </c>
      <c r="M167">
        <v>16</v>
      </c>
      <c r="N167">
        <v>5</v>
      </c>
      <c r="O167">
        <v>5</v>
      </c>
      <c r="P167">
        <v>1</v>
      </c>
      <c r="Q167">
        <v>8</v>
      </c>
      <c r="R167">
        <v>15</v>
      </c>
      <c r="S167">
        <v>6</v>
      </c>
      <c r="T167">
        <v>5</v>
      </c>
      <c r="U167">
        <v>1</v>
      </c>
      <c r="V167">
        <v>3</v>
      </c>
      <c r="W167">
        <v>0</v>
      </c>
      <c r="X167">
        <v>0</v>
      </c>
      <c r="Y167">
        <v>1.42</v>
      </c>
      <c r="Z167">
        <v>4.75</v>
      </c>
      <c r="AA167">
        <v>7</v>
      </c>
      <c r="AB167">
        <v>1.43</v>
      </c>
      <c r="AC167">
        <v>5</v>
      </c>
      <c r="AD167">
        <v>6.75</v>
      </c>
      <c r="AE167">
        <v>1.4</v>
      </c>
      <c r="AF167">
        <v>5</v>
      </c>
      <c r="AG167">
        <v>7.5</v>
      </c>
      <c r="AH167">
        <v>1.42</v>
      </c>
      <c r="AI167">
        <v>5.0599999999999996</v>
      </c>
      <c r="AJ167">
        <v>7.35</v>
      </c>
      <c r="AK167">
        <v>1.4</v>
      </c>
      <c r="AL167">
        <v>4.8</v>
      </c>
      <c r="AM167">
        <v>7</v>
      </c>
      <c r="AN167">
        <v>1.44</v>
      </c>
      <c r="AO167">
        <v>5.04</v>
      </c>
      <c r="AP167">
        <v>7.6</v>
      </c>
      <c r="AQ167">
        <v>1.45</v>
      </c>
      <c r="AR167">
        <v>5.0999999999999996</v>
      </c>
      <c r="AS167">
        <v>7.6</v>
      </c>
      <c r="AT167">
        <v>1.42</v>
      </c>
      <c r="AU167">
        <v>4.96</v>
      </c>
      <c r="AV167">
        <v>7.21</v>
      </c>
      <c r="AW167">
        <v>1.43</v>
      </c>
      <c r="AX167">
        <v>5.3</v>
      </c>
      <c r="AY167">
        <v>8.1999999999999993</v>
      </c>
      <c r="AZ167">
        <v>1.57</v>
      </c>
      <c r="BA167">
        <v>2.38</v>
      </c>
      <c r="BB167">
        <v>1.57</v>
      </c>
      <c r="BC167">
        <v>2.4900000000000002</v>
      </c>
      <c r="BD167">
        <v>1.57</v>
      </c>
      <c r="BE167">
        <v>2.5499999999999998</v>
      </c>
      <c r="BF167">
        <v>1.54</v>
      </c>
      <c r="BG167">
        <v>2.46</v>
      </c>
      <c r="BH167">
        <v>1.6</v>
      </c>
      <c r="BI167">
        <v>2.6</v>
      </c>
      <c r="BJ167">
        <v>-1.25</v>
      </c>
      <c r="BK167">
        <v>1.92</v>
      </c>
      <c r="BL167">
        <v>1.98</v>
      </c>
      <c r="BM167">
        <v>1.92</v>
      </c>
      <c r="BN167">
        <v>1.98</v>
      </c>
      <c r="BO167">
        <v>1.93</v>
      </c>
      <c r="BP167">
        <v>1.99</v>
      </c>
      <c r="BQ167">
        <v>1.89</v>
      </c>
      <c r="BR167">
        <v>1.94</v>
      </c>
      <c r="BS167">
        <v>1.92</v>
      </c>
      <c r="BT167">
        <v>2.0099999999999998</v>
      </c>
      <c r="BU167">
        <v>1.57</v>
      </c>
      <c r="BV167">
        <v>4.2</v>
      </c>
      <c r="BW167">
        <v>5.75</v>
      </c>
      <c r="BX167">
        <v>1.61</v>
      </c>
      <c r="BY167">
        <v>4.2</v>
      </c>
      <c r="BZ167">
        <v>5.25</v>
      </c>
      <c r="CA167">
        <v>1.62</v>
      </c>
      <c r="CB167">
        <v>3.9</v>
      </c>
      <c r="CC167">
        <v>5</v>
      </c>
      <c r="CD167">
        <v>1.68</v>
      </c>
      <c r="CE167">
        <v>4.1500000000000004</v>
      </c>
      <c r="CF167">
        <v>5.88</v>
      </c>
      <c r="CG167">
        <v>1.62</v>
      </c>
      <c r="CH167">
        <v>4</v>
      </c>
      <c r="CI167">
        <v>5</v>
      </c>
      <c r="CJ167">
        <v>1.61</v>
      </c>
      <c r="CK167">
        <v>4.26</v>
      </c>
      <c r="CL167">
        <v>5.81</v>
      </c>
      <c r="CM167">
        <v>1.68</v>
      </c>
      <c r="CN167">
        <v>4.58</v>
      </c>
      <c r="CO167">
        <v>6.15</v>
      </c>
      <c r="CP167">
        <v>1.62</v>
      </c>
      <c r="CQ167">
        <v>4.18</v>
      </c>
      <c r="CR167">
        <v>5.45</v>
      </c>
      <c r="CS167">
        <v>1.64</v>
      </c>
      <c r="CT167">
        <v>4.4000000000000004</v>
      </c>
      <c r="CU167">
        <v>5.8</v>
      </c>
      <c r="CV167">
        <v>1.73</v>
      </c>
      <c r="CW167">
        <v>2.1</v>
      </c>
      <c r="CX167">
        <v>1.75</v>
      </c>
      <c r="CY167">
        <v>2.16</v>
      </c>
      <c r="CZ167">
        <v>1.82</v>
      </c>
      <c r="DA167">
        <v>2.39</v>
      </c>
      <c r="DB167">
        <v>1.7</v>
      </c>
      <c r="DC167">
        <v>2.19</v>
      </c>
      <c r="DD167">
        <v>1.74</v>
      </c>
      <c r="DE167">
        <v>2.3199999999999998</v>
      </c>
      <c r="DF167">
        <v>-1</v>
      </c>
      <c r="DG167">
        <v>2.0499999999999998</v>
      </c>
      <c r="DH167">
        <v>1.88</v>
      </c>
      <c r="DI167">
        <v>2.17</v>
      </c>
      <c r="DJ167">
        <v>1.77</v>
      </c>
      <c r="DK167">
        <v>2.17</v>
      </c>
      <c r="DL167">
        <v>2.0299999999999998</v>
      </c>
      <c r="DM167">
        <v>2.0299999999999998</v>
      </c>
      <c r="DN167">
        <v>1.85</v>
      </c>
      <c r="DO167">
        <v>2.08</v>
      </c>
      <c r="DP167">
        <v>1.91</v>
      </c>
    </row>
    <row r="168" spans="1:120" x14ac:dyDescent="0.3">
      <c r="A168" t="s">
        <v>120</v>
      </c>
      <c r="B168" t="s">
        <v>195</v>
      </c>
      <c r="C168" s="1">
        <v>0.58333333333333337</v>
      </c>
      <c r="D168" t="s">
        <v>155</v>
      </c>
      <c r="E168" t="s">
        <v>133</v>
      </c>
      <c r="F168">
        <v>0</v>
      </c>
      <c r="G168">
        <v>3</v>
      </c>
      <c r="H168" t="s">
        <v>130</v>
      </c>
      <c r="I168">
        <v>0</v>
      </c>
      <c r="J168">
        <v>3</v>
      </c>
      <c r="K168" t="s">
        <v>130</v>
      </c>
      <c r="L168" t="s">
        <v>153</v>
      </c>
      <c r="M168">
        <v>9</v>
      </c>
      <c r="N168">
        <v>8</v>
      </c>
      <c r="O168">
        <v>5</v>
      </c>
      <c r="P168">
        <v>4</v>
      </c>
      <c r="Q168">
        <v>15</v>
      </c>
      <c r="R168">
        <v>16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2.5499999999999998</v>
      </c>
      <c r="Z168">
        <v>3.4</v>
      </c>
      <c r="AA168">
        <v>2.7</v>
      </c>
      <c r="AB168">
        <v>2.4500000000000002</v>
      </c>
      <c r="AC168">
        <v>3.6</v>
      </c>
      <c r="AD168">
        <v>2.7</v>
      </c>
      <c r="AE168">
        <v>2.5499999999999998</v>
      </c>
      <c r="AF168">
        <v>3.5</v>
      </c>
      <c r="AG168">
        <v>2.7</v>
      </c>
      <c r="AH168">
        <v>2.63</v>
      </c>
      <c r="AI168">
        <v>3.58</v>
      </c>
      <c r="AJ168">
        <v>2.68</v>
      </c>
      <c r="AK168">
        <v>2.5</v>
      </c>
      <c r="AL168">
        <v>3.5</v>
      </c>
      <c r="AM168">
        <v>2.62</v>
      </c>
      <c r="AN168">
        <v>2.62</v>
      </c>
      <c r="AO168">
        <v>3.71</v>
      </c>
      <c r="AP168">
        <v>2.67</v>
      </c>
      <c r="AQ168">
        <v>2.63</v>
      </c>
      <c r="AR168">
        <v>3.71</v>
      </c>
      <c r="AS168">
        <v>2.75</v>
      </c>
      <c r="AT168">
        <v>2.5499999999999998</v>
      </c>
      <c r="AU168">
        <v>3.56</v>
      </c>
      <c r="AV168">
        <v>2.69</v>
      </c>
      <c r="AW168">
        <v>2.62</v>
      </c>
      <c r="AX168">
        <v>3.7</v>
      </c>
      <c r="AY168">
        <v>2.84</v>
      </c>
      <c r="AZ168">
        <v>1.67</v>
      </c>
      <c r="BA168">
        <v>2.2000000000000002</v>
      </c>
      <c r="BB168">
        <v>1.69</v>
      </c>
      <c r="BC168">
        <v>2.2599999999999998</v>
      </c>
      <c r="BD168">
        <v>1.72</v>
      </c>
      <c r="BE168">
        <v>2.31</v>
      </c>
      <c r="BF168">
        <v>1.66</v>
      </c>
      <c r="BG168">
        <v>2.2400000000000002</v>
      </c>
      <c r="BH168">
        <v>1.7</v>
      </c>
      <c r="BI168">
        <v>2.36</v>
      </c>
      <c r="BJ168">
        <v>0</v>
      </c>
      <c r="BK168">
        <v>1.9</v>
      </c>
      <c r="BL168">
        <v>2</v>
      </c>
      <c r="BM168">
        <v>1.93</v>
      </c>
      <c r="BN168">
        <v>1.97</v>
      </c>
      <c r="BO168">
        <v>1.94</v>
      </c>
      <c r="BP168">
        <v>2.02</v>
      </c>
      <c r="BQ168">
        <v>1.89</v>
      </c>
      <c r="BR168">
        <v>1.97</v>
      </c>
      <c r="BS168">
        <v>1.91</v>
      </c>
      <c r="BT168">
        <v>2.0699999999999998</v>
      </c>
      <c r="BU168">
        <v>2.9</v>
      </c>
      <c r="BV168">
        <v>3.4</v>
      </c>
      <c r="BW168">
        <v>2.38</v>
      </c>
      <c r="BX168">
        <v>2.95</v>
      </c>
      <c r="BY168">
        <v>3.4</v>
      </c>
      <c r="BZ168">
        <v>2.4</v>
      </c>
      <c r="CA168">
        <v>2.9</v>
      </c>
      <c r="CB168">
        <v>3.3</v>
      </c>
      <c r="CC168">
        <v>2.38</v>
      </c>
      <c r="CD168">
        <v>3.05</v>
      </c>
      <c r="CE168">
        <v>3.51</v>
      </c>
      <c r="CF168">
        <v>2.41</v>
      </c>
      <c r="CG168">
        <v>2.9</v>
      </c>
      <c r="CH168">
        <v>3.3</v>
      </c>
      <c r="CI168">
        <v>2.4500000000000002</v>
      </c>
      <c r="CJ168">
        <v>2.87</v>
      </c>
      <c r="CK168">
        <v>3.5</v>
      </c>
      <c r="CL168">
        <v>2.5299999999999998</v>
      </c>
      <c r="CM168">
        <v>3.05</v>
      </c>
      <c r="CN168">
        <v>3.51</v>
      </c>
      <c r="CO168">
        <v>2.5299999999999998</v>
      </c>
      <c r="CP168">
        <v>2.92</v>
      </c>
      <c r="CQ168">
        <v>3.43</v>
      </c>
      <c r="CR168">
        <v>2.44</v>
      </c>
      <c r="CS168">
        <v>3.1</v>
      </c>
      <c r="CT168">
        <v>3.55</v>
      </c>
      <c r="CU168">
        <v>2.5</v>
      </c>
      <c r="CV168">
        <v>1.67</v>
      </c>
      <c r="CW168">
        <v>2.2000000000000002</v>
      </c>
      <c r="CX168">
        <v>1.68</v>
      </c>
      <c r="CY168">
        <v>2.23</v>
      </c>
      <c r="CZ168">
        <v>1.8</v>
      </c>
      <c r="DA168">
        <v>2.33</v>
      </c>
      <c r="DB168">
        <v>1.68</v>
      </c>
      <c r="DC168">
        <v>2.21</v>
      </c>
      <c r="DD168">
        <v>1.74</v>
      </c>
      <c r="DE168">
        <v>2.3199999999999998</v>
      </c>
      <c r="DF168">
        <v>0.25</v>
      </c>
      <c r="DG168">
        <v>1.85</v>
      </c>
      <c r="DH168">
        <v>2.08</v>
      </c>
      <c r="DI168">
        <v>1.85</v>
      </c>
      <c r="DJ168">
        <v>2.09</v>
      </c>
      <c r="DK168">
        <v>1.85</v>
      </c>
      <c r="DL168">
        <v>2.12</v>
      </c>
      <c r="DM168">
        <v>1.8</v>
      </c>
      <c r="DN168">
        <v>2.0699999999999998</v>
      </c>
      <c r="DO168">
        <v>1.85</v>
      </c>
      <c r="DP168">
        <v>2.15</v>
      </c>
    </row>
    <row r="169" spans="1:120" x14ac:dyDescent="0.3">
      <c r="A169" t="s">
        <v>120</v>
      </c>
      <c r="B169" t="s">
        <v>195</v>
      </c>
      <c r="C169" s="1">
        <v>0.58333333333333337</v>
      </c>
      <c r="D169" t="s">
        <v>122</v>
      </c>
      <c r="E169" t="s">
        <v>142</v>
      </c>
      <c r="F169">
        <v>0</v>
      </c>
      <c r="G169">
        <v>3</v>
      </c>
      <c r="H169" t="s">
        <v>130</v>
      </c>
      <c r="I169">
        <v>0</v>
      </c>
      <c r="J169">
        <v>1</v>
      </c>
      <c r="K169" t="s">
        <v>130</v>
      </c>
      <c r="L169" t="s">
        <v>140</v>
      </c>
      <c r="M169">
        <v>23</v>
      </c>
      <c r="N169">
        <v>10</v>
      </c>
      <c r="O169">
        <v>7</v>
      </c>
      <c r="P169">
        <v>5</v>
      </c>
      <c r="Q169">
        <v>11</v>
      </c>
      <c r="R169">
        <v>11</v>
      </c>
      <c r="S169">
        <v>13</v>
      </c>
      <c r="T169">
        <v>1</v>
      </c>
      <c r="U169">
        <v>1</v>
      </c>
      <c r="V169">
        <v>3</v>
      </c>
      <c r="W169">
        <v>0</v>
      </c>
      <c r="X169">
        <v>0</v>
      </c>
      <c r="Y169">
        <v>1.8</v>
      </c>
      <c r="Z169">
        <v>3.8</v>
      </c>
      <c r="AA169">
        <v>4.2</v>
      </c>
      <c r="AB169">
        <v>1.83</v>
      </c>
      <c r="AC169">
        <v>3.9</v>
      </c>
      <c r="AD169">
        <v>4</v>
      </c>
      <c r="AE169">
        <v>1.83</v>
      </c>
      <c r="AF169">
        <v>3.9</v>
      </c>
      <c r="AG169">
        <v>4.2</v>
      </c>
      <c r="AH169">
        <v>1.86</v>
      </c>
      <c r="AI169">
        <v>3.87</v>
      </c>
      <c r="AJ169">
        <v>4.16</v>
      </c>
      <c r="AK169">
        <v>1.85</v>
      </c>
      <c r="AL169">
        <v>3.8</v>
      </c>
      <c r="AM169">
        <v>3.9</v>
      </c>
      <c r="AN169">
        <v>1.89</v>
      </c>
      <c r="AO169">
        <v>4.0599999999999996</v>
      </c>
      <c r="AP169">
        <v>4.0199999999999996</v>
      </c>
      <c r="AQ169">
        <v>1.89</v>
      </c>
      <c r="AR169">
        <v>4.0599999999999996</v>
      </c>
      <c r="AS169">
        <v>4.25</v>
      </c>
      <c r="AT169">
        <v>1.85</v>
      </c>
      <c r="AU169">
        <v>3.88</v>
      </c>
      <c r="AV169">
        <v>4.07</v>
      </c>
      <c r="AW169">
        <v>1.87</v>
      </c>
      <c r="AX169">
        <v>4.0999999999999996</v>
      </c>
      <c r="AY169">
        <v>4.4000000000000004</v>
      </c>
      <c r="AZ169">
        <v>1.57</v>
      </c>
      <c r="BA169">
        <v>2.38</v>
      </c>
      <c r="BB169">
        <v>1.63</v>
      </c>
      <c r="BC169">
        <v>2.36</v>
      </c>
      <c r="BD169">
        <v>1.65</v>
      </c>
      <c r="BE169">
        <v>2.41</v>
      </c>
      <c r="BF169">
        <v>1.6</v>
      </c>
      <c r="BG169">
        <v>2.36</v>
      </c>
      <c r="BH169">
        <v>1.64</v>
      </c>
      <c r="BI169">
        <v>2.5</v>
      </c>
      <c r="BJ169">
        <v>-0.5</v>
      </c>
      <c r="BK169">
        <v>1.85</v>
      </c>
      <c r="BL169">
        <v>2.0499999999999998</v>
      </c>
      <c r="BM169">
        <v>1.87</v>
      </c>
      <c r="BN169">
        <v>2.04</v>
      </c>
      <c r="BO169">
        <v>1.87</v>
      </c>
      <c r="BP169">
        <v>2.0499999999999998</v>
      </c>
      <c r="BQ169">
        <v>1.84</v>
      </c>
      <c r="BR169">
        <v>2.0099999999999998</v>
      </c>
      <c r="BS169">
        <v>1.87</v>
      </c>
      <c r="BT169">
        <v>2.13</v>
      </c>
      <c r="BU169">
        <v>1.8</v>
      </c>
      <c r="BV169">
        <v>3.7</v>
      </c>
      <c r="BW169">
        <v>4.33</v>
      </c>
      <c r="BX169">
        <v>1.85</v>
      </c>
      <c r="BY169">
        <v>3.75</v>
      </c>
      <c r="BZ169">
        <v>4.0999999999999996</v>
      </c>
      <c r="CA169">
        <v>1.8</v>
      </c>
      <c r="CB169">
        <v>3.75</v>
      </c>
      <c r="CC169">
        <v>4.0999999999999996</v>
      </c>
      <c r="CD169">
        <v>1.88</v>
      </c>
      <c r="CE169">
        <v>3.8</v>
      </c>
      <c r="CF169">
        <v>4.25</v>
      </c>
      <c r="CG169">
        <v>1.85</v>
      </c>
      <c r="CH169">
        <v>3.7</v>
      </c>
      <c r="CI169">
        <v>4.2</v>
      </c>
      <c r="CJ169">
        <v>1.86</v>
      </c>
      <c r="CK169">
        <v>3.78</v>
      </c>
      <c r="CL169">
        <v>4.3899999999999997</v>
      </c>
      <c r="CM169">
        <v>1.91</v>
      </c>
      <c r="CN169">
        <v>3.85</v>
      </c>
      <c r="CO169">
        <v>4.3899999999999997</v>
      </c>
      <c r="CP169">
        <v>1.86</v>
      </c>
      <c r="CQ169">
        <v>3.75</v>
      </c>
      <c r="CR169">
        <v>4.2</v>
      </c>
      <c r="CS169">
        <v>1.92</v>
      </c>
      <c r="CT169">
        <v>3.95</v>
      </c>
      <c r="CU169">
        <v>4.3</v>
      </c>
      <c r="CV169">
        <v>1.73</v>
      </c>
      <c r="CW169">
        <v>2.1</v>
      </c>
      <c r="CX169">
        <v>1.74</v>
      </c>
      <c r="CY169">
        <v>2.1800000000000002</v>
      </c>
      <c r="CZ169">
        <v>1.75</v>
      </c>
      <c r="DA169">
        <v>2.2999999999999998</v>
      </c>
      <c r="DB169">
        <v>1.7</v>
      </c>
      <c r="DC169">
        <v>2.19</v>
      </c>
      <c r="DD169">
        <v>1.75</v>
      </c>
      <c r="DE169">
        <v>2.2999999999999998</v>
      </c>
      <c r="DF169">
        <v>-0.5</v>
      </c>
      <c r="DG169">
        <v>1.86</v>
      </c>
      <c r="DH169">
        <v>2.0699999999999998</v>
      </c>
      <c r="DI169">
        <v>1.87</v>
      </c>
      <c r="DJ169">
        <v>2.0699999999999998</v>
      </c>
      <c r="DK169">
        <v>1.87</v>
      </c>
      <c r="DL169">
        <v>2.11</v>
      </c>
      <c r="DM169">
        <v>1.85</v>
      </c>
      <c r="DN169">
        <v>2.02</v>
      </c>
      <c r="DO169">
        <v>1.92</v>
      </c>
      <c r="DP169">
        <v>2.0699999999999998</v>
      </c>
    </row>
    <row r="170" spans="1:120" x14ac:dyDescent="0.3">
      <c r="A170" t="s">
        <v>120</v>
      </c>
      <c r="B170" t="s">
        <v>195</v>
      </c>
      <c r="C170" s="1">
        <v>0.6875</v>
      </c>
      <c r="D170" t="s">
        <v>156</v>
      </c>
      <c r="E170" t="s">
        <v>129</v>
      </c>
      <c r="F170">
        <v>3</v>
      </c>
      <c r="G170">
        <v>6</v>
      </c>
      <c r="H170" t="s">
        <v>130</v>
      </c>
      <c r="I170">
        <v>1</v>
      </c>
      <c r="J170">
        <v>3</v>
      </c>
      <c r="K170" t="s">
        <v>130</v>
      </c>
      <c r="L170" t="s">
        <v>150</v>
      </c>
      <c r="M170">
        <v>9</v>
      </c>
      <c r="N170">
        <v>24</v>
      </c>
      <c r="O170">
        <v>5</v>
      </c>
      <c r="P170">
        <v>12</v>
      </c>
      <c r="Q170">
        <v>7</v>
      </c>
      <c r="R170">
        <v>9</v>
      </c>
      <c r="S170">
        <v>7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4.5</v>
      </c>
      <c r="Z170">
        <v>4</v>
      </c>
      <c r="AA170">
        <v>1.73</v>
      </c>
      <c r="AB170">
        <v>4.0999999999999996</v>
      </c>
      <c r="AC170">
        <v>4.33</v>
      </c>
      <c r="AD170">
        <v>1.75</v>
      </c>
      <c r="AE170">
        <v>4.5</v>
      </c>
      <c r="AF170">
        <v>4.33</v>
      </c>
      <c r="AG170">
        <v>1.7</v>
      </c>
      <c r="AH170">
        <v>4.47</v>
      </c>
      <c r="AI170">
        <v>4.37</v>
      </c>
      <c r="AJ170">
        <v>1.71</v>
      </c>
      <c r="AK170">
        <v>4.2</v>
      </c>
      <c r="AL170">
        <v>4.33</v>
      </c>
      <c r="AM170">
        <v>1.73</v>
      </c>
      <c r="AN170">
        <v>4.42</v>
      </c>
      <c r="AO170">
        <v>4.6399999999999997</v>
      </c>
      <c r="AP170">
        <v>1.71</v>
      </c>
      <c r="AQ170">
        <v>4.5</v>
      </c>
      <c r="AR170">
        <v>4.6399999999999997</v>
      </c>
      <c r="AS170">
        <v>1.76</v>
      </c>
      <c r="AT170">
        <v>4.29</v>
      </c>
      <c r="AU170">
        <v>4.33</v>
      </c>
      <c r="AV170">
        <v>1.72</v>
      </c>
      <c r="AW170">
        <v>4.5999999999999996</v>
      </c>
      <c r="AX170">
        <v>4.5</v>
      </c>
      <c r="AY170">
        <v>1.77</v>
      </c>
      <c r="AZ170">
        <v>1.3</v>
      </c>
      <c r="BA170">
        <v>3.5</v>
      </c>
      <c r="BB170">
        <v>1.33</v>
      </c>
      <c r="BC170">
        <v>3.28</v>
      </c>
      <c r="BD170">
        <v>1.3</v>
      </c>
      <c r="BE170">
        <v>3.7</v>
      </c>
      <c r="BF170">
        <v>1.29</v>
      </c>
      <c r="BG170">
        <v>3.52</v>
      </c>
      <c r="BH170">
        <v>1.34</v>
      </c>
      <c r="BI170">
        <v>3.85</v>
      </c>
      <c r="BJ170">
        <v>0.75</v>
      </c>
      <c r="BK170">
        <v>2.0099999999999998</v>
      </c>
      <c r="BL170">
        <v>1.89</v>
      </c>
      <c r="BM170">
        <v>2.02</v>
      </c>
      <c r="BN170">
        <v>1.88</v>
      </c>
      <c r="BO170">
        <v>2.02</v>
      </c>
      <c r="BP170">
        <v>1.92</v>
      </c>
      <c r="BQ170">
        <v>1.97</v>
      </c>
      <c r="BR170">
        <v>1.86</v>
      </c>
      <c r="BS170">
        <v>2.0299999999999998</v>
      </c>
      <c r="BT170">
        <v>1.92</v>
      </c>
      <c r="BU170">
        <v>4.75</v>
      </c>
      <c r="BV170">
        <v>4.5</v>
      </c>
      <c r="BW170">
        <v>1.6</v>
      </c>
      <c r="BX170">
        <v>4.5</v>
      </c>
      <c r="BY170">
        <v>4.5999999999999996</v>
      </c>
      <c r="BZ170">
        <v>1.63</v>
      </c>
      <c r="CA170">
        <v>4.75</v>
      </c>
      <c r="CB170">
        <v>4.5</v>
      </c>
      <c r="CC170">
        <v>1.6</v>
      </c>
      <c r="CD170">
        <v>4.9000000000000004</v>
      </c>
      <c r="CE170">
        <v>4.55</v>
      </c>
      <c r="CF170">
        <v>1.65</v>
      </c>
      <c r="CG170">
        <v>4.5999999999999996</v>
      </c>
      <c r="CH170">
        <v>4.5</v>
      </c>
      <c r="CI170">
        <v>1.65</v>
      </c>
      <c r="CJ170">
        <v>4.87</v>
      </c>
      <c r="CK170">
        <v>4.62</v>
      </c>
      <c r="CL170">
        <v>1.64</v>
      </c>
      <c r="CM170">
        <v>5.0999999999999996</v>
      </c>
      <c r="CN170">
        <v>4.8</v>
      </c>
      <c r="CO170">
        <v>1.7</v>
      </c>
      <c r="CP170">
        <v>4.6900000000000004</v>
      </c>
      <c r="CQ170">
        <v>4.57</v>
      </c>
      <c r="CR170">
        <v>1.64</v>
      </c>
      <c r="CS170">
        <v>5.0999999999999996</v>
      </c>
      <c r="CT170">
        <v>4.8</v>
      </c>
      <c r="CU170">
        <v>1.66</v>
      </c>
      <c r="CV170">
        <v>1.29</v>
      </c>
      <c r="CW170">
        <v>3.75</v>
      </c>
      <c r="CX170">
        <v>1.33</v>
      </c>
      <c r="CY170">
        <v>3.28</v>
      </c>
      <c r="CZ170">
        <v>1.29</v>
      </c>
      <c r="DA170">
        <v>3.99</v>
      </c>
      <c r="DB170">
        <v>1.27</v>
      </c>
      <c r="DC170">
        <v>3.74</v>
      </c>
      <c r="DD170">
        <v>1.32</v>
      </c>
      <c r="DE170">
        <v>4</v>
      </c>
      <c r="DF170">
        <v>1</v>
      </c>
      <c r="DG170">
        <v>1.91</v>
      </c>
      <c r="DH170">
        <v>2.02</v>
      </c>
      <c r="DI170">
        <v>1.89</v>
      </c>
      <c r="DJ170">
        <v>2.04</v>
      </c>
      <c r="DK170">
        <v>1.92</v>
      </c>
      <c r="DL170">
        <v>2.0499999999999998</v>
      </c>
      <c r="DM170">
        <v>1.87</v>
      </c>
      <c r="DN170">
        <v>1.99</v>
      </c>
      <c r="DO170">
        <v>1.94</v>
      </c>
      <c r="DP170">
        <v>2.0499999999999998</v>
      </c>
    </row>
    <row r="171" spans="1:120" x14ac:dyDescent="0.3">
      <c r="A171" t="s">
        <v>120</v>
      </c>
      <c r="B171" t="s">
        <v>196</v>
      </c>
      <c r="C171" s="1">
        <v>0.52083333333333337</v>
      </c>
      <c r="D171" t="s">
        <v>152</v>
      </c>
      <c r="E171" t="s">
        <v>135</v>
      </c>
      <c r="F171">
        <v>1</v>
      </c>
      <c r="G171">
        <v>1</v>
      </c>
      <c r="H171" t="s">
        <v>125</v>
      </c>
      <c r="I171">
        <v>1</v>
      </c>
      <c r="J171">
        <v>1</v>
      </c>
      <c r="K171" t="s">
        <v>125</v>
      </c>
      <c r="L171" t="s">
        <v>137</v>
      </c>
      <c r="M171">
        <v>24</v>
      </c>
      <c r="N171">
        <v>8</v>
      </c>
      <c r="O171">
        <v>5</v>
      </c>
      <c r="P171">
        <v>3</v>
      </c>
      <c r="Q171">
        <v>5</v>
      </c>
      <c r="R171">
        <v>10</v>
      </c>
      <c r="S171">
        <v>8</v>
      </c>
      <c r="T171">
        <v>5</v>
      </c>
      <c r="U171">
        <v>1</v>
      </c>
      <c r="V171">
        <v>4</v>
      </c>
      <c r="W171">
        <v>0</v>
      </c>
      <c r="X171">
        <v>0</v>
      </c>
      <c r="Y171">
        <v>1.33</v>
      </c>
      <c r="Z171">
        <v>5.5</v>
      </c>
      <c r="AA171">
        <v>7.5</v>
      </c>
      <c r="AB171">
        <v>1.35</v>
      </c>
      <c r="AC171">
        <v>5.5</v>
      </c>
      <c r="AD171">
        <v>8.25</v>
      </c>
      <c r="AE171">
        <v>1.33</v>
      </c>
      <c r="AF171">
        <v>5.5</v>
      </c>
      <c r="AG171">
        <v>9</v>
      </c>
      <c r="AH171">
        <v>1.34</v>
      </c>
      <c r="AI171">
        <v>5.73</v>
      </c>
      <c r="AJ171">
        <v>8.52</v>
      </c>
      <c r="AK171">
        <v>1.35</v>
      </c>
      <c r="AL171">
        <v>5</v>
      </c>
      <c r="AM171">
        <v>8.5</v>
      </c>
      <c r="AN171">
        <v>1.37</v>
      </c>
      <c r="AO171">
        <v>5.5</v>
      </c>
      <c r="AP171">
        <v>8.9499999999999993</v>
      </c>
      <c r="AQ171">
        <v>1.37</v>
      </c>
      <c r="AR171">
        <v>5.73</v>
      </c>
      <c r="AS171">
        <v>9.4</v>
      </c>
      <c r="AT171">
        <v>1.34</v>
      </c>
      <c r="AU171">
        <v>5.46</v>
      </c>
      <c r="AV171">
        <v>8.59</v>
      </c>
      <c r="AW171">
        <v>1.36</v>
      </c>
      <c r="AX171">
        <v>6</v>
      </c>
      <c r="AY171">
        <v>9.6</v>
      </c>
      <c r="AZ171">
        <v>1.53</v>
      </c>
      <c r="BA171">
        <v>2.5</v>
      </c>
      <c r="BB171">
        <v>1.57</v>
      </c>
      <c r="BC171">
        <v>2.5</v>
      </c>
      <c r="BD171">
        <v>1.58</v>
      </c>
      <c r="BE171">
        <v>2.5</v>
      </c>
      <c r="BF171">
        <v>1.55</v>
      </c>
      <c r="BG171">
        <v>2.44</v>
      </c>
      <c r="BH171">
        <v>1.64</v>
      </c>
      <c r="BI171">
        <v>2.54</v>
      </c>
      <c r="BJ171">
        <v>-1.5</v>
      </c>
      <c r="BK171">
        <v>1.98</v>
      </c>
      <c r="BL171">
        <v>1.92</v>
      </c>
      <c r="BM171">
        <v>1.98</v>
      </c>
      <c r="BN171">
        <v>1.93</v>
      </c>
      <c r="BO171">
        <v>2</v>
      </c>
      <c r="BP171">
        <v>1.93</v>
      </c>
      <c r="BQ171">
        <v>1.95</v>
      </c>
      <c r="BR171">
        <v>1.89</v>
      </c>
      <c r="BS171">
        <v>2.0099999999999998</v>
      </c>
      <c r="BT171">
        <v>1.95</v>
      </c>
      <c r="BU171">
        <v>1.33</v>
      </c>
      <c r="BV171">
        <v>5.5</v>
      </c>
      <c r="BW171">
        <v>8.5</v>
      </c>
      <c r="BX171">
        <v>1.35</v>
      </c>
      <c r="BY171">
        <v>5.25</v>
      </c>
      <c r="BZ171">
        <v>8.25</v>
      </c>
      <c r="CA171">
        <v>1.3</v>
      </c>
      <c r="CB171">
        <v>5</v>
      </c>
      <c r="CC171">
        <v>9</v>
      </c>
      <c r="CD171">
        <v>1.36</v>
      </c>
      <c r="CE171">
        <v>5.5</v>
      </c>
      <c r="CF171">
        <v>9</v>
      </c>
      <c r="CG171">
        <v>1.35</v>
      </c>
      <c r="CH171">
        <v>5</v>
      </c>
      <c r="CI171">
        <v>8</v>
      </c>
      <c r="CJ171">
        <v>1.35</v>
      </c>
      <c r="CK171">
        <v>5.6</v>
      </c>
      <c r="CL171">
        <v>9.01</v>
      </c>
      <c r="CM171">
        <v>1.37</v>
      </c>
      <c r="CN171">
        <v>5.6</v>
      </c>
      <c r="CO171">
        <v>9.5</v>
      </c>
      <c r="CP171">
        <v>1.34</v>
      </c>
      <c r="CQ171">
        <v>5.41</v>
      </c>
      <c r="CR171">
        <v>8.7200000000000006</v>
      </c>
      <c r="CS171">
        <v>1.37</v>
      </c>
      <c r="CT171">
        <v>5.8</v>
      </c>
      <c r="CU171">
        <v>10</v>
      </c>
      <c r="CV171">
        <v>1.5</v>
      </c>
      <c r="CW171">
        <v>2.63</v>
      </c>
      <c r="CX171">
        <v>1.53</v>
      </c>
      <c r="CY171">
        <v>2.63</v>
      </c>
      <c r="CZ171">
        <v>1.58</v>
      </c>
      <c r="DA171">
        <v>2.63</v>
      </c>
      <c r="DB171">
        <v>1.53</v>
      </c>
      <c r="DC171">
        <v>2.5499999999999998</v>
      </c>
      <c r="DD171">
        <v>1.57</v>
      </c>
      <c r="DE171">
        <v>2.74</v>
      </c>
      <c r="DF171">
        <v>-1.5</v>
      </c>
      <c r="DG171">
        <v>2.0099999999999998</v>
      </c>
      <c r="DH171">
        <v>1.92</v>
      </c>
      <c r="DI171">
        <v>2.0099999999999998</v>
      </c>
      <c r="DJ171">
        <v>1.91</v>
      </c>
      <c r="DK171">
        <v>2.0099999999999998</v>
      </c>
      <c r="DL171">
        <v>1.97</v>
      </c>
      <c r="DM171">
        <v>1.96</v>
      </c>
      <c r="DN171">
        <v>1.9</v>
      </c>
      <c r="DO171">
        <v>1.99</v>
      </c>
      <c r="DP171">
        <v>2</v>
      </c>
    </row>
    <row r="172" spans="1:120" x14ac:dyDescent="0.3">
      <c r="A172" t="s">
        <v>120</v>
      </c>
      <c r="B172" t="s">
        <v>196</v>
      </c>
      <c r="C172" s="1">
        <v>0.625</v>
      </c>
      <c r="D172" t="s">
        <v>142</v>
      </c>
      <c r="E172" t="s">
        <v>149</v>
      </c>
      <c r="F172">
        <v>0</v>
      </c>
      <c r="G172">
        <v>0</v>
      </c>
      <c r="H172" t="s">
        <v>125</v>
      </c>
      <c r="I172">
        <v>0</v>
      </c>
      <c r="J172">
        <v>0</v>
      </c>
      <c r="K172" t="s">
        <v>125</v>
      </c>
      <c r="L172" t="s">
        <v>185</v>
      </c>
      <c r="M172">
        <v>18</v>
      </c>
      <c r="N172">
        <v>10</v>
      </c>
      <c r="O172">
        <v>4</v>
      </c>
      <c r="P172">
        <v>4</v>
      </c>
      <c r="Q172">
        <v>13</v>
      </c>
      <c r="R172">
        <v>12</v>
      </c>
      <c r="S172">
        <v>5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1.9</v>
      </c>
      <c r="Z172">
        <v>3.8</v>
      </c>
      <c r="AA172">
        <v>3.8</v>
      </c>
      <c r="AB172">
        <v>1.9</v>
      </c>
      <c r="AC172">
        <v>3.7</v>
      </c>
      <c r="AD172">
        <v>3.9</v>
      </c>
      <c r="AE172">
        <v>1.9</v>
      </c>
      <c r="AF172">
        <v>3.75</v>
      </c>
      <c r="AG172">
        <v>4</v>
      </c>
      <c r="AH172">
        <v>1.92</v>
      </c>
      <c r="AI172">
        <v>3.85</v>
      </c>
      <c r="AJ172">
        <v>3.94</v>
      </c>
      <c r="AK172">
        <v>1.91</v>
      </c>
      <c r="AL172">
        <v>3.6</v>
      </c>
      <c r="AM172">
        <v>3.7</v>
      </c>
      <c r="AN172">
        <v>1.94</v>
      </c>
      <c r="AO172">
        <v>3.92</v>
      </c>
      <c r="AP172">
        <v>3.91</v>
      </c>
      <c r="AQ172">
        <v>1.95</v>
      </c>
      <c r="AR172">
        <v>3.92</v>
      </c>
      <c r="AS172">
        <v>4.2</v>
      </c>
      <c r="AT172">
        <v>1.9</v>
      </c>
      <c r="AU172">
        <v>3.77</v>
      </c>
      <c r="AV172">
        <v>3.87</v>
      </c>
      <c r="AW172">
        <v>1.96</v>
      </c>
      <c r="AX172">
        <v>3.9</v>
      </c>
      <c r="AY172">
        <v>4.0999999999999996</v>
      </c>
      <c r="AZ172">
        <v>1.73</v>
      </c>
      <c r="BA172">
        <v>2.1</v>
      </c>
      <c r="BB172">
        <v>1.74</v>
      </c>
      <c r="BC172">
        <v>2.19</v>
      </c>
      <c r="BD172">
        <v>1.76</v>
      </c>
      <c r="BE172">
        <v>2.19</v>
      </c>
      <c r="BF172">
        <v>1.72</v>
      </c>
      <c r="BG172">
        <v>2.13</v>
      </c>
      <c r="BH172">
        <v>1.75</v>
      </c>
      <c r="BI172">
        <v>2.2799999999999998</v>
      </c>
      <c r="BJ172">
        <v>-0.5</v>
      </c>
      <c r="BK172">
        <v>1.93</v>
      </c>
      <c r="BL172">
        <v>1.97</v>
      </c>
      <c r="BM172">
        <v>1.93</v>
      </c>
      <c r="BN172">
        <v>1.98</v>
      </c>
      <c r="BO172">
        <v>1.94</v>
      </c>
      <c r="BP172">
        <v>1.98</v>
      </c>
      <c r="BQ172">
        <v>1.9</v>
      </c>
      <c r="BR172">
        <v>1.94</v>
      </c>
      <c r="BS172">
        <v>1.96</v>
      </c>
      <c r="BT172">
        <v>2.0299999999999998</v>
      </c>
      <c r="BU172">
        <v>2.1</v>
      </c>
      <c r="BV172">
        <v>3.6</v>
      </c>
      <c r="BW172">
        <v>3.4</v>
      </c>
      <c r="BX172">
        <v>2.1</v>
      </c>
      <c r="BY172">
        <v>3.6</v>
      </c>
      <c r="BZ172">
        <v>3.3</v>
      </c>
      <c r="CA172">
        <v>2</v>
      </c>
      <c r="CB172">
        <v>3.5</v>
      </c>
      <c r="CC172">
        <v>3.5</v>
      </c>
      <c r="CD172">
        <v>2.13</v>
      </c>
      <c r="CE172">
        <v>3.66</v>
      </c>
      <c r="CF172">
        <v>3.5</v>
      </c>
      <c r="CG172">
        <v>2.1</v>
      </c>
      <c r="CH172">
        <v>3.5</v>
      </c>
      <c r="CI172">
        <v>3.4</v>
      </c>
      <c r="CJ172">
        <v>2.0299999999999998</v>
      </c>
      <c r="CK172">
        <v>3.75</v>
      </c>
      <c r="CL172">
        <v>3.67</v>
      </c>
      <c r="CM172">
        <v>2.1800000000000002</v>
      </c>
      <c r="CN172">
        <v>3.85</v>
      </c>
      <c r="CO172">
        <v>3.79</v>
      </c>
      <c r="CP172">
        <v>2.08</v>
      </c>
      <c r="CQ172">
        <v>3.64</v>
      </c>
      <c r="CR172">
        <v>3.47</v>
      </c>
      <c r="CS172">
        <v>2.14</v>
      </c>
      <c r="CT172">
        <v>3.7</v>
      </c>
      <c r="CU172">
        <v>3.7</v>
      </c>
      <c r="CV172">
        <v>1.67</v>
      </c>
      <c r="CW172">
        <v>2.2000000000000002</v>
      </c>
      <c r="CX172">
        <v>1.71</v>
      </c>
      <c r="CY172">
        <v>2.2400000000000002</v>
      </c>
      <c r="CZ172">
        <v>1.72</v>
      </c>
      <c r="DA172">
        <v>2.2999999999999998</v>
      </c>
      <c r="DB172">
        <v>1.67</v>
      </c>
      <c r="DC172">
        <v>2.23</v>
      </c>
      <c r="DD172">
        <v>1.75</v>
      </c>
      <c r="DE172">
        <v>2.3199999999999998</v>
      </c>
      <c r="DF172">
        <v>-0.25</v>
      </c>
      <c r="DG172">
        <v>1.85</v>
      </c>
      <c r="DH172">
        <v>2.08</v>
      </c>
      <c r="DI172">
        <v>1.85</v>
      </c>
      <c r="DJ172">
        <v>2.08</v>
      </c>
      <c r="DK172">
        <v>1.85</v>
      </c>
      <c r="DL172">
        <v>2.1800000000000002</v>
      </c>
      <c r="DM172">
        <v>1.8</v>
      </c>
      <c r="DN172">
        <v>2.06</v>
      </c>
      <c r="DO172">
        <v>1.86</v>
      </c>
      <c r="DP172">
        <v>2.15</v>
      </c>
    </row>
    <row r="173" spans="1:120" x14ac:dyDescent="0.3">
      <c r="A173" t="s">
        <v>120</v>
      </c>
      <c r="B173" t="s">
        <v>196</v>
      </c>
      <c r="C173" s="1">
        <v>0.625</v>
      </c>
      <c r="D173" t="s">
        <v>151</v>
      </c>
      <c r="E173" t="s">
        <v>123</v>
      </c>
      <c r="F173">
        <v>1</v>
      </c>
      <c r="G173">
        <v>2</v>
      </c>
      <c r="H173" t="s">
        <v>130</v>
      </c>
      <c r="I173">
        <v>1</v>
      </c>
      <c r="J173">
        <v>0</v>
      </c>
      <c r="K173" t="s">
        <v>124</v>
      </c>
      <c r="L173" t="s">
        <v>150</v>
      </c>
      <c r="M173">
        <v>12</v>
      </c>
      <c r="N173">
        <v>14</v>
      </c>
      <c r="O173">
        <v>8</v>
      </c>
      <c r="P173">
        <v>7</v>
      </c>
      <c r="Q173">
        <v>13</v>
      </c>
      <c r="R173">
        <v>13</v>
      </c>
      <c r="S173">
        <v>3</v>
      </c>
      <c r="T173">
        <v>1</v>
      </c>
      <c r="U173">
        <v>1</v>
      </c>
      <c r="V173">
        <v>3</v>
      </c>
      <c r="W173">
        <v>0</v>
      </c>
      <c r="X173">
        <v>0</v>
      </c>
      <c r="Y173">
        <v>1.48</v>
      </c>
      <c r="Z173">
        <v>4.75</v>
      </c>
      <c r="AA173">
        <v>6</v>
      </c>
      <c r="AB173">
        <v>1.49</v>
      </c>
      <c r="AC173">
        <v>4.8</v>
      </c>
      <c r="AD173">
        <v>6</v>
      </c>
      <c r="AE173">
        <v>1.44</v>
      </c>
      <c r="AF173">
        <v>5</v>
      </c>
      <c r="AG173">
        <v>6.5</v>
      </c>
      <c r="AH173">
        <v>1.47</v>
      </c>
      <c r="AI173">
        <v>4.9800000000000004</v>
      </c>
      <c r="AJ173">
        <v>6.32</v>
      </c>
      <c r="AK173">
        <v>1.5</v>
      </c>
      <c r="AL173">
        <v>4.75</v>
      </c>
      <c r="AM173">
        <v>5.8</v>
      </c>
      <c r="AN173">
        <v>1.52</v>
      </c>
      <c r="AO173">
        <v>4.9400000000000004</v>
      </c>
      <c r="AP173">
        <v>6.06</v>
      </c>
      <c r="AQ173">
        <v>1.52</v>
      </c>
      <c r="AR173">
        <v>5.0999999999999996</v>
      </c>
      <c r="AS173">
        <v>6.75</v>
      </c>
      <c r="AT173">
        <v>1.47</v>
      </c>
      <c r="AU173">
        <v>4.88</v>
      </c>
      <c r="AV173">
        <v>6.15</v>
      </c>
      <c r="AW173">
        <v>1.49</v>
      </c>
      <c r="AX173">
        <v>5.3</v>
      </c>
      <c r="AY173">
        <v>7</v>
      </c>
      <c r="AZ173">
        <v>1.44</v>
      </c>
      <c r="BA173">
        <v>2.75</v>
      </c>
      <c r="BB173">
        <v>1.47</v>
      </c>
      <c r="BC173">
        <v>2.76</v>
      </c>
      <c r="BD173">
        <v>1.48</v>
      </c>
      <c r="BE173">
        <v>2.8</v>
      </c>
      <c r="BF173">
        <v>1.45</v>
      </c>
      <c r="BG173">
        <v>2.72</v>
      </c>
      <c r="BH173">
        <v>1.5</v>
      </c>
      <c r="BI173">
        <v>2.96</v>
      </c>
      <c r="BJ173">
        <v>-1.25</v>
      </c>
      <c r="BK173">
        <v>2.02</v>
      </c>
      <c r="BL173">
        <v>1.88</v>
      </c>
      <c r="BM173">
        <v>2.04</v>
      </c>
      <c r="BN173">
        <v>1.88</v>
      </c>
      <c r="BO173">
        <v>2.04</v>
      </c>
      <c r="BP173">
        <v>1.9</v>
      </c>
      <c r="BQ173">
        <v>1.96</v>
      </c>
      <c r="BR173">
        <v>1.86</v>
      </c>
      <c r="BS173">
        <v>2.06</v>
      </c>
      <c r="BT173">
        <v>1.92</v>
      </c>
      <c r="BU173">
        <v>1.45</v>
      </c>
      <c r="BV173">
        <v>5.25</v>
      </c>
      <c r="BW173">
        <v>5.75</v>
      </c>
      <c r="BX173">
        <v>1.47</v>
      </c>
      <c r="BY173">
        <v>4.8</v>
      </c>
      <c r="BZ173">
        <v>6</v>
      </c>
      <c r="CA173">
        <v>1.44</v>
      </c>
      <c r="CB173">
        <v>4.75</v>
      </c>
      <c r="CC173">
        <v>6</v>
      </c>
      <c r="CD173">
        <v>1.46</v>
      </c>
      <c r="CE173">
        <v>4.9400000000000004</v>
      </c>
      <c r="CF173">
        <v>6.86</v>
      </c>
      <c r="CG173">
        <v>1.44</v>
      </c>
      <c r="CH173">
        <v>4.8</v>
      </c>
      <c r="CI173">
        <v>6</v>
      </c>
      <c r="CJ173">
        <v>1.46</v>
      </c>
      <c r="CK173">
        <v>5.37</v>
      </c>
      <c r="CL173">
        <v>6.16</v>
      </c>
      <c r="CM173">
        <v>1.5</v>
      </c>
      <c r="CN173">
        <v>5.37</v>
      </c>
      <c r="CO173">
        <v>6.86</v>
      </c>
      <c r="CP173">
        <v>1.46</v>
      </c>
      <c r="CQ173">
        <v>4.92</v>
      </c>
      <c r="CR173">
        <v>6.28</v>
      </c>
      <c r="CS173">
        <v>1.51</v>
      </c>
      <c r="CT173">
        <v>5</v>
      </c>
      <c r="CU173">
        <v>7</v>
      </c>
      <c r="CV173">
        <v>1.5</v>
      </c>
      <c r="CW173">
        <v>2.63</v>
      </c>
      <c r="CX173">
        <v>1.5</v>
      </c>
      <c r="CY173">
        <v>2.7</v>
      </c>
      <c r="CZ173">
        <v>1.55</v>
      </c>
      <c r="DA173">
        <v>2.85</v>
      </c>
      <c r="DB173">
        <v>1.49</v>
      </c>
      <c r="DC173">
        <v>2.68</v>
      </c>
      <c r="DD173">
        <v>1.54</v>
      </c>
      <c r="DE173">
        <v>2.8</v>
      </c>
      <c r="DF173">
        <v>-1.25</v>
      </c>
      <c r="DG173">
        <v>2.02</v>
      </c>
      <c r="DH173">
        <v>1.91</v>
      </c>
      <c r="DI173">
        <v>2.02</v>
      </c>
      <c r="DJ173">
        <v>1.91</v>
      </c>
      <c r="DK173">
        <v>2.04</v>
      </c>
      <c r="DL173">
        <v>1.94</v>
      </c>
      <c r="DM173">
        <v>1.99</v>
      </c>
      <c r="DN173">
        <v>1.87</v>
      </c>
      <c r="DO173">
        <v>2.1</v>
      </c>
      <c r="DP173">
        <v>1.9</v>
      </c>
    </row>
    <row r="174" spans="1:120" x14ac:dyDescent="0.3">
      <c r="A174" t="s">
        <v>120</v>
      </c>
      <c r="B174" t="s">
        <v>196</v>
      </c>
      <c r="C174" s="1">
        <v>0.625</v>
      </c>
      <c r="D174" t="s">
        <v>138</v>
      </c>
      <c r="E174" t="s">
        <v>145</v>
      </c>
      <c r="F174">
        <v>3</v>
      </c>
      <c r="G174">
        <v>0</v>
      </c>
      <c r="H174" t="s">
        <v>124</v>
      </c>
      <c r="I174">
        <v>1</v>
      </c>
      <c r="J174">
        <v>0</v>
      </c>
      <c r="K174" t="s">
        <v>124</v>
      </c>
      <c r="L174" t="s">
        <v>153</v>
      </c>
      <c r="M174">
        <v>22</v>
      </c>
      <c r="N174">
        <v>4</v>
      </c>
      <c r="O174">
        <v>8</v>
      </c>
      <c r="P174">
        <v>1</v>
      </c>
      <c r="Q174">
        <v>15</v>
      </c>
      <c r="R174">
        <v>10</v>
      </c>
      <c r="S174">
        <v>9</v>
      </c>
      <c r="T174">
        <v>6</v>
      </c>
      <c r="U174">
        <v>2</v>
      </c>
      <c r="V174">
        <v>1</v>
      </c>
      <c r="W174">
        <v>0</v>
      </c>
      <c r="X174">
        <v>1</v>
      </c>
      <c r="Y174">
        <v>1.91</v>
      </c>
      <c r="Z174">
        <v>3.8</v>
      </c>
      <c r="AA174">
        <v>3.75</v>
      </c>
      <c r="AB174">
        <v>1.9</v>
      </c>
      <c r="AC174">
        <v>3.9</v>
      </c>
      <c r="AD174">
        <v>3.75</v>
      </c>
      <c r="AE174">
        <v>1.91</v>
      </c>
      <c r="AF174">
        <v>3.9</v>
      </c>
      <c r="AG174">
        <v>3.8</v>
      </c>
      <c r="AH174">
        <v>1.94</v>
      </c>
      <c r="AI174">
        <v>4.0199999999999996</v>
      </c>
      <c r="AJ174">
        <v>3.69</v>
      </c>
      <c r="AK174">
        <v>1.91</v>
      </c>
      <c r="AL174">
        <v>3.8</v>
      </c>
      <c r="AM174">
        <v>3.6</v>
      </c>
      <c r="AN174">
        <v>1.97</v>
      </c>
      <c r="AO174">
        <v>3.99</v>
      </c>
      <c r="AP174">
        <v>3.75</v>
      </c>
      <c r="AQ174">
        <v>1.97</v>
      </c>
      <c r="AR174">
        <v>4.0199999999999996</v>
      </c>
      <c r="AS174">
        <v>3.8</v>
      </c>
      <c r="AT174">
        <v>1.93</v>
      </c>
      <c r="AU174">
        <v>3.91</v>
      </c>
      <c r="AV174">
        <v>3.66</v>
      </c>
      <c r="AW174">
        <v>1.97</v>
      </c>
      <c r="AX174">
        <v>4</v>
      </c>
      <c r="AY174">
        <v>3.95</v>
      </c>
      <c r="AZ174">
        <v>1.62</v>
      </c>
      <c r="BA174">
        <v>2.2999999999999998</v>
      </c>
      <c r="BB174">
        <v>1.63</v>
      </c>
      <c r="BC174">
        <v>2.37</v>
      </c>
      <c r="BD174">
        <v>1.65</v>
      </c>
      <c r="BE174">
        <v>2.38</v>
      </c>
      <c r="BF174">
        <v>1.61</v>
      </c>
      <c r="BG174">
        <v>2.34</v>
      </c>
      <c r="BH174">
        <v>1.64</v>
      </c>
      <c r="BI174">
        <v>2.5</v>
      </c>
      <c r="BJ174">
        <v>-0.5</v>
      </c>
      <c r="BK174">
        <v>1.95</v>
      </c>
      <c r="BL174">
        <v>1.95</v>
      </c>
      <c r="BM174">
        <v>1.95</v>
      </c>
      <c r="BN174">
        <v>1.95</v>
      </c>
      <c r="BO174">
        <v>1.97</v>
      </c>
      <c r="BP174">
        <v>1.96</v>
      </c>
      <c r="BQ174">
        <v>1.92</v>
      </c>
      <c r="BR174">
        <v>1.92</v>
      </c>
      <c r="BS174">
        <v>1.97</v>
      </c>
      <c r="BT174">
        <v>2.0099999999999998</v>
      </c>
      <c r="BU174">
        <v>1.9</v>
      </c>
      <c r="BV174">
        <v>3.8</v>
      </c>
      <c r="BW174">
        <v>3.8</v>
      </c>
      <c r="BX174">
        <v>1.93</v>
      </c>
      <c r="BY174">
        <v>3.75</v>
      </c>
      <c r="BZ174">
        <v>3.7</v>
      </c>
      <c r="CA174">
        <v>1.91</v>
      </c>
      <c r="CB174">
        <v>3.75</v>
      </c>
      <c r="CC174">
        <v>3.7</v>
      </c>
      <c r="CD174">
        <v>1.94</v>
      </c>
      <c r="CE174">
        <v>3.87</v>
      </c>
      <c r="CF174">
        <v>3.89</v>
      </c>
      <c r="CG174">
        <v>1.95</v>
      </c>
      <c r="CH174">
        <v>3.75</v>
      </c>
      <c r="CI174">
        <v>3.6</v>
      </c>
      <c r="CJ174">
        <v>1.9</v>
      </c>
      <c r="CK174">
        <v>3.88</v>
      </c>
      <c r="CL174">
        <v>4.04</v>
      </c>
      <c r="CM174">
        <v>1.98</v>
      </c>
      <c r="CN174">
        <v>3.88</v>
      </c>
      <c r="CO174">
        <v>4.04</v>
      </c>
      <c r="CP174">
        <v>1.94</v>
      </c>
      <c r="CQ174">
        <v>3.79</v>
      </c>
      <c r="CR174">
        <v>3.8</v>
      </c>
      <c r="CS174">
        <v>2</v>
      </c>
      <c r="CT174">
        <v>3.9</v>
      </c>
      <c r="CU174">
        <v>4</v>
      </c>
      <c r="CV174">
        <v>1.62</v>
      </c>
      <c r="CW174">
        <v>2.2999999999999998</v>
      </c>
      <c r="CX174">
        <v>1.64</v>
      </c>
      <c r="CY174">
        <v>2.37</v>
      </c>
      <c r="CZ174">
        <v>1.72</v>
      </c>
      <c r="DA174">
        <v>2.48</v>
      </c>
      <c r="DB174">
        <v>1.63</v>
      </c>
      <c r="DC174">
        <v>2.3199999999999998</v>
      </c>
      <c r="DD174">
        <v>1.67</v>
      </c>
      <c r="DE174">
        <v>2.46</v>
      </c>
      <c r="DF174">
        <v>-0.5</v>
      </c>
      <c r="DG174">
        <v>1.95</v>
      </c>
      <c r="DH174">
        <v>1.98</v>
      </c>
      <c r="DI174">
        <v>1.95</v>
      </c>
      <c r="DJ174">
        <v>1.97</v>
      </c>
      <c r="DK174">
        <v>1.98</v>
      </c>
      <c r="DL174">
        <v>1.98</v>
      </c>
      <c r="DM174">
        <v>1.94</v>
      </c>
      <c r="DN174">
        <v>1.92</v>
      </c>
      <c r="DO174">
        <v>2</v>
      </c>
      <c r="DP174">
        <v>1.98</v>
      </c>
    </row>
    <row r="175" spans="1:120" x14ac:dyDescent="0.3">
      <c r="A175" t="s">
        <v>120</v>
      </c>
      <c r="B175" t="s">
        <v>196</v>
      </c>
      <c r="C175" s="1">
        <v>0.625</v>
      </c>
      <c r="D175" t="s">
        <v>141</v>
      </c>
      <c r="E175" t="s">
        <v>156</v>
      </c>
      <c r="F175">
        <v>1</v>
      </c>
      <c r="G175">
        <v>0</v>
      </c>
      <c r="H175" t="s">
        <v>124</v>
      </c>
      <c r="I175">
        <v>1</v>
      </c>
      <c r="J175">
        <v>0</v>
      </c>
      <c r="K175" t="s">
        <v>124</v>
      </c>
      <c r="L175" t="s">
        <v>140</v>
      </c>
      <c r="M175">
        <v>10</v>
      </c>
      <c r="N175">
        <v>13</v>
      </c>
      <c r="O175">
        <v>3</v>
      </c>
      <c r="P175">
        <v>4</v>
      </c>
      <c r="Q175">
        <v>12</v>
      </c>
      <c r="R175">
        <v>13</v>
      </c>
      <c r="S175">
        <v>2</v>
      </c>
      <c r="T175">
        <v>7</v>
      </c>
      <c r="U175">
        <v>3</v>
      </c>
      <c r="V175">
        <v>2</v>
      </c>
      <c r="W175">
        <v>0</v>
      </c>
      <c r="X175">
        <v>1</v>
      </c>
      <c r="Y175">
        <v>2.2999999999999998</v>
      </c>
      <c r="Z175">
        <v>3.75</v>
      </c>
      <c r="AA175">
        <v>2.88</v>
      </c>
      <c r="AB175">
        <v>2.35</v>
      </c>
      <c r="AC175">
        <v>3.8</v>
      </c>
      <c r="AD175">
        <v>2.75</v>
      </c>
      <c r="AE175">
        <v>2.38</v>
      </c>
      <c r="AF175">
        <v>3.6</v>
      </c>
      <c r="AG175">
        <v>2.88</v>
      </c>
      <c r="AH175">
        <v>2.37</v>
      </c>
      <c r="AI175">
        <v>3.81</v>
      </c>
      <c r="AJ175">
        <v>2.87</v>
      </c>
      <c r="AK175">
        <v>2.38</v>
      </c>
      <c r="AL175">
        <v>3.6</v>
      </c>
      <c r="AM175">
        <v>2.8</v>
      </c>
      <c r="AN175">
        <v>2.42</v>
      </c>
      <c r="AO175">
        <v>3.81</v>
      </c>
      <c r="AP175">
        <v>2.85</v>
      </c>
      <c r="AQ175">
        <v>2.42</v>
      </c>
      <c r="AR175">
        <v>3.85</v>
      </c>
      <c r="AS175">
        <v>2.9</v>
      </c>
      <c r="AT175">
        <v>2.35</v>
      </c>
      <c r="AU175">
        <v>3.74</v>
      </c>
      <c r="AV175">
        <v>2.82</v>
      </c>
      <c r="AW175">
        <v>2.42</v>
      </c>
      <c r="AX175">
        <v>3.9</v>
      </c>
      <c r="AY175">
        <v>2.98</v>
      </c>
      <c r="AZ175">
        <v>1.5</v>
      </c>
      <c r="BA175">
        <v>2.63</v>
      </c>
      <c r="BB175">
        <v>1.49</v>
      </c>
      <c r="BC175">
        <v>2.72</v>
      </c>
      <c r="BD175">
        <v>1.5</v>
      </c>
      <c r="BE175">
        <v>2.72</v>
      </c>
      <c r="BF175">
        <v>1.48</v>
      </c>
      <c r="BG175">
        <v>2.64</v>
      </c>
      <c r="BH175">
        <v>1.51</v>
      </c>
      <c r="BI175">
        <v>2.86</v>
      </c>
      <c r="BJ175">
        <v>-0.25</v>
      </c>
      <c r="BK175">
        <v>2.06</v>
      </c>
      <c r="BL175">
        <v>1.84</v>
      </c>
      <c r="BM175">
        <v>2.08</v>
      </c>
      <c r="BN175">
        <v>1.84</v>
      </c>
      <c r="BO175">
        <v>2.09</v>
      </c>
      <c r="BP175">
        <v>1.85</v>
      </c>
      <c r="BQ175">
        <v>2.02</v>
      </c>
      <c r="BR175">
        <v>1.8</v>
      </c>
      <c r="BS175">
        <v>2.12</v>
      </c>
      <c r="BT175">
        <v>1.87</v>
      </c>
      <c r="BU175">
        <v>2.1</v>
      </c>
      <c r="BV175">
        <v>3.9</v>
      </c>
      <c r="BW175">
        <v>3</v>
      </c>
      <c r="BX175">
        <v>2.15</v>
      </c>
      <c r="BY175">
        <v>3.8</v>
      </c>
      <c r="BZ175">
        <v>3.1</v>
      </c>
      <c r="CA175">
        <v>2.1</v>
      </c>
      <c r="CB175">
        <v>3.75</v>
      </c>
      <c r="CC175">
        <v>3</v>
      </c>
      <c r="CD175">
        <v>2.16</v>
      </c>
      <c r="CE175">
        <v>3.92</v>
      </c>
      <c r="CF175">
        <v>3.22</v>
      </c>
      <c r="CG175">
        <v>2.15</v>
      </c>
      <c r="CH175">
        <v>3.9</v>
      </c>
      <c r="CI175">
        <v>3</v>
      </c>
      <c r="CJ175">
        <v>2.2599999999999998</v>
      </c>
      <c r="CK175">
        <v>4.1100000000000003</v>
      </c>
      <c r="CL175">
        <v>2.91</v>
      </c>
      <c r="CM175">
        <v>2.29</v>
      </c>
      <c r="CN175">
        <v>4.1100000000000003</v>
      </c>
      <c r="CO175">
        <v>3.25</v>
      </c>
      <c r="CP175">
        <v>2.16</v>
      </c>
      <c r="CQ175">
        <v>3.91</v>
      </c>
      <c r="CR175">
        <v>3.07</v>
      </c>
      <c r="CS175">
        <v>2.2400000000000002</v>
      </c>
      <c r="CT175">
        <v>4</v>
      </c>
      <c r="CU175">
        <v>3.2</v>
      </c>
      <c r="CV175">
        <v>1.4</v>
      </c>
      <c r="CW175">
        <v>3</v>
      </c>
      <c r="CX175">
        <v>1.44</v>
      </c>
      <c r="CY175">
        <v>2.91</v>
      </c>
      <c r="CZ175">
        <v>1.44</v>
      </c>
      <c r="DA175">
        <v>3.14</v>
      </c>
      <c r="DB175">
        <v>1.41</v>
      </c>
      <c r="DC175">
        <v>2.96</v>
      </c>
      <c r="DD175">
        <v>1.46</v>
      </c>
      <c r="DE175">
        <v>3.15</v>
      </c>
      <c r="DF175">
        <v>-0.25</v>
      </c>
      <c r="DG175">
        <v>1.91</v>
      </c>
      <c r="DH175">
        <v>2.02</v>
      </c>
      <c r="DI175">
        <v>1.9</v>
      </c>
      <c r="DJ175">
        <v>2.02</v>
      </c>
      <c r="DK175">
        <v>1.96</v>
      </c>
      <c r="DL175">
        <v>2.02</v>
      </c>
      <c r="DM175">
        <v>1.9</v>
      </c>
      <c r="DN175">
        <v>1.96</v>
      </c>
      <c r="DO175">
        <v>1.96</v>
      </c>
      <c r="DP175">
        <v>2.02</v>
      </c>
    </row>
    <row r="176" spans="1:120" x14ac:dyDescent="0.3">
      <c r="A176" t="s">
        <v>120</v>
      </c>
      <c r="B176" t="s">
        <v>196</v>
      </c>
      <c r="C176" s="1">
        <v>0.625</v>
      </c>
      <c r="D176" t="s">
        <v>139</v>
      </c>
      <c r="E176" t="s">
        <v>144</v>
      </c>
      <c r="F176">
        <v>0</v>
      </c>
      <c r="G176">
        <v>1</v>
      </c>
      <c r="H176" t="s">
        <v>130</v>
      </c>
      <c r="I176">
        <v>0</v>
      </c>
      <c r="J176">
        <v>0</v>
      </c>
      <c r="K176" t="s">
        <v>125</v>
      </c>
      <c r="L176" t="s">
        <v>167</v>
      </c>
      <c r="M176">
        <v>18</v>
      </c>
      <c r="N176">
        <v>16</v>
      </c>
      <c r="O176">
        <v>5</v>
      </c>
      <c r="P176">
        <v>2</v>
      </c>
      <c r="Q176">
        <v>15</v>
      </c>
      <c r="R176">
        <v>8</v>
      </c>
      <c r="S176">
        <v>2</v>
      </c>
      <c r="T176">
        <v>2</v>
      </c>
      <c r="U176">
        <v>1</v>
      </c>
      <c r="V176">
        <v>2</v>
      </c>
      <c r="W176">
        <v>0</v>
      </c>
      <c r="X176">
        <v>0</v>
      </c>
      <c r="Y176">
        <v>3.25</v>
      </c>
      <c r="Z176">
        <v>3.5</v>
      </c>
      <c r="AA176">
        <v>2.2000000000000002</v>
      </c>
      <c r="AB176">
        <v>3.25</v>
      </c>
      <c r="AC176">
        <v>3.7</v>
      </c>
      <c r="AD176">
        <v>2.15</v>
      </c>
      <c r="AE176">
        <v>3.3</v>
      </c>
      <c r="AF176">
        <v>3.5</v>
      </c>
      <c r="AG176">
        <v>2.2000000000000002</v>
      </c>
      <c r="AH176">
        <v>3.28</v>
      </c>
      <c r="AI176">
        <v>3.62</v>
      </c>
      <c r="AJ176">
        <v>2.21</v>
      </c>
      <c r="AK176">
        <v>3.3</v>
      </c>
      <c r="AL176">
        <v>3.4</v>
      </c>
      <c r="AM176">
        <v>2.15</v>
      </c>
      <c r="AN176">
        <v>3.37</v>
      </c>
      <c r="AO176">
        <v>3.59</v>
      </c>
      <c r="AP176">
        <v>2.2200000000000002</v>
      </c>
      <c r="AQ176">
        <v>3.37</v>
      </c>
      <c r="AR176">
        <v>3.7</v>
      </c>
      <c r="AS176">
        <v>2.2200000000000002</v>
      </c>
      <c r="AT176">
        <v>3.24</v>
      </c>
      <c r="AU176">
        <v>3.56</v>
      </c>
      <c r="AV176">
        <v>2.1800000000000002</v>
      </c>
      <c r="AW176">
        <v>3.4</v>
      </c>
      <c r="AX176">
        <v>3.7</v>
      </c>
      <c r="AY176">
        <v>2.2799999999999998</v>
      </c>
      <c r="AZ176">
        <v>1.67</v>
      </c>
      <c r="BA176">
        <v>2.2000000000000002</v>
      </c>
      <c r="BB176">
        <v>1.68</v>
      </c>
      <c r="BC176">
        <v>2.27</v>
      </c>
      <c r="BD176">
        <v>1.7</v>
      </c>
      <c r="BE176">
        <v>2.2799999999999998</v>
      </c>
      <c r="BF176">
        <v>1.66</v>
      </c>
      <c r="BG176">
        <v>2.23</v>
      </c>
      <c r="BH176">
        <v>1.73</v>
      </c>
      <c r="BI176">
        <v>2.3199999999999998</v>
      </c>
      <c r="BJ176">
        <v>0.25</v>
      </c>
      <c r="BK176">
        <v>1.98</v>
      </c>
      <c r="BL176">
        <v>1.92</v>
      </c>
      <c r="BM176">
        <v>1.98</v>
      </c>
      <c r="BN176">
        <v>1.93</v>
      </c>
      <c r="BO176">
        <v>2</v>
      </c>
      <c r="BP176">
        <v>1.93</v>
      </c>
      <c r="BQ176">
        <v>1.95</v>
      </c>
      <c r="BR176">
        <v>1.87</v>
      </c>
      <c r="BS176">
        <v>2.0099999999999998</v>
      </c>
      <c r="BT176">
        <v>1.97</v>
      </c>
      <c r="BU176">
        <v>3.1</v>
      </c>
      <c r="BV176">
        <v>3.5</v>
      </c>
      <c r="BW176">
        <v>2.25</v>
      </c>
      <c r="BX176">
        <v>3.1</v>
      </c>
      <c r="BY176">
        <v>3.5</v>
      </c>
      <c r="BZ176">
        <v>2.2999999999999998</v>
      </c>
      <c r="CA176">
        <v>3</v>
      </c>
      <c r="CB176">
        <v>3.4</v>
      </c>
      <c r="CC176">
        <v>2.2999999999999998</v>
      </c>
      <c r="CD176">
        <v>3.12</v>
      </c>
      <c r="CE176">
        <v>3.63</v>
      </c>
      <c r="CF176">
        <v>2.31</v>
      </c>
      <c r="CG176">
        <v>3</v>
      </c>
      <c r="CH176">
        <v>3.4</v>
      </c>
      <c r="CI176">
        <v>2.2999999999999998</v>
      </c>
      <c r="CJ176">
        <v>3.28</v>
      </c>
      <c r="CK176">
        <v>3.57</v>
      </c>
      <c r="CL176">
        <v>2.2400000000000002</v>
      </c>
      <c r="CM176">
        <v>3.28</v>
      </c>
      <c r="CN176">
        <v>3.7</v>
      </c>
      <c r="CO176">
        <v>2.36</v>
      </c>
      <c r="CP176">
        <v>3.08</v>
      </c>
      <c r="CQ176">
        <v>3.52</v>
      </c>
      <c r="CR176">
        <v>2.29</v>
      </c>
      <c r="CS176">
        <v>3.2</v>
      </c>
      <c r="CT176">
        <v>3.7</v>
      </c>
      <c r="CU176">
        <v>2.36</v>
      </c>
      <c r="CV176">
        <v>1.73</v>
      </c>
      <c r="CW176">
        <v>2.1</v>
      </c>
      <c r="CX176">
        <v>1.75</v>
      </c>
      <c r="CY176">
        <v>2.19</v>
      </c>
      <c r="CZ176">
        <v>1.77</v>
      </c>
      <c r="DA176">
        <v>2.2999999999999998</v>
      </c>
      <c r="DB176">
        <v>1.71</v>
      </c>
      <c r="DC176">
        <v>2.16</v>
      </c>
      <c r="DD176">
        <v>1.78</v>
      </c>
      <c r="DE176">
        <v>2.2599999999999998</v>
      </c>
      <c r="DF176">
        <v>0.25</v>
      </c>
      <c r="DG176">
        <v>1.91</v>
      </c>
      <c r="DH176">
        <v>2.02</v>
      </c>
      <c r="DI176">
        <v>1.91</v>
      </c>
      <c r="DJ176">
        <v>2.02</v>
      </c>
      <c r="DK176">
        <v>1.95</v>
      </c>
      <c r="DL176">
        <v>2.02</v>
      </c>
      <c r="DM176">
        <v>1.88</v>
      </c>
      <c r="DN176">
        <v>1.98</v>
      </c>
      <c r="DO176">
        <v>1.95</v>
      </c>
      <c r="DP176">
        <v>2.04</v>
      </c>
    </row>
    <row r="177" spans="1:120" x14ac:dyDescent="0.3">
      <c r="A177" t="s">
        <v>120</v>
      </c>
      <c r="B177" t="s">
        <v>196</v>
      </c>
      <c r="C177" s="1">
        <v>0.72916666666666663</v>
      </c>
      <c r="D177" t="s">
        <v>133</v>
      </c>
      <c r="E177" t="s">
        <v>122</v>
      </c>
      <c r="F177">
        <v>2</v>
      </c>
      <c r="G177">
        <v>0</v>
      </c>
      <c r="H177" t="s">
        <v>124</v>
      </c>
      <c r="I177">
        <v>0</v>
      </c>
      <c r="J177">
        <v>0</v>
      </c>
      <c r="K177" t="s">
        <v>125</v>
      </c>
      <c r="L177" t="s">
        <v>146</v>
      </c>
      <c r="M177">
        <v>7</v>
      </c>
      <c r="N177">
        <v>11</v>
      </c>
      <c r="O177">
        <v>4</v>
      </c>
      <c r="P177">
        <v>4</v>
      </c>
      <c r="Q177">
        <v>12</v>
      </c>
      <c r="R177">
        <v>12</v>
      </c>
      <c r="S177">
        <v>4</v>
      </c>
      <c r="T177">
        <v>4</v>
      </c>
      <c r="U177">
        <v>2</v>
      </c>
      <c r="V177">
        <v>2</v>
      </c>
      <c r="W177">
        <v>0</v>
      </c>
      <c r="X177">
        <v>1</v>
      </c>
      <c r="Y177">
        <v>3.9</v>
      </c>
      <c r="Z177">
        <v>3.7</v>
      </c>
      <c r="AA177">
        <v>1.91</v>
      </c>
      <c r="AB177">
        <v>3.7</v>
      </c>
      <c r="AC177">
        <v>3.7</v>
      </c>
      <c r="AD177">
        <v>1.95</v>
      </c>
      <c r="AE177">
        <v>3.8</v>
      </c>
      <c r="AF177">
        <v>3.6</v>
      </c>
      <c r="AG177">
        <v>2</v>
      </c>
      <c r="AH177">
        <v>3.95</v>
      </c>
      <c r="AI177">
        <v>3.74</v>
      </c>
      <c r="AJ177">
        <v>1.94</v>
      </c>
      <c r="AK177">
        <v>3.6</v>
      </c>
      <c r="AL177">
        <v>3.6</v>
      </c>
      <c r="AM177">
        <v>1.95</v>
      </c>
      <c r="AN177">
        <v>3.99</v>
      </c>
      <c r="AO177">
        <v>3.79</v>
      </c>
      <c r="AP177">
        <v>1.96</v>
      </c>
      <c r="AQ177">
        <v>3.99</v>
      </c>
      <c r="AR177">
        <v>3.8</v>
      </c>
      <c r="AS177">
        <v>2</v>
      </c>
      <c r="AT177">
        <v>3.8</v>
      </c>
      <c r="AU177">
        <v>3.7</v>
      </c>
      <c r="AV177">
        <v>1.94</v>
      </c>
      <c r="AW177">
        <v>4</v>
      </c>
      <c r="AX177">
        <v>3.8</v>
      </c>
      <c r="AY177">
        <v>2.02</v>
      </c>
      <c r="AZ177">
        <v>1.67</v>
      </c>
      <c r="BA177">
        <v>2.2000000000000002</v>
      </c>
      <c r="BB177">
        <v>1.71</v>
      </c>
      <c r="BC177">
        <v>2.23</v>
      </c>
      <c r="BD177">
        <v>1.73</v>
      </c>
      <c r="BE177">
        <v>2.29</v>
      </c>
      <c r="BF177">
        <v>1.67</v>
      </c>
      <c r="BG177">
        <v>2.2200000000000002</v>
      </c>
      <c r="BH177">
        <v>1.75</v>
      </c>
      <c r="BI177">
        <v>2.2999999999999998</v>
      </c>
      <c r="BJ177">
        <v>0.5</v>
      </c>
      <c r="BK177">
        <v>1.95</v>
      </c>
      <c r="BL177">
        <v>1.95</v>
      </c>
      <c r="BM177">
        <v>1.95</v>
      </c>
      <c r="BN177">
        <v>1.95</v>
      </c>
      <c r="BO177">
        <v>1.96</v>
      </c>
      <c r="BP177">
        <v>2</v>
      </c>
      <c r="BQ177">
        <v>1.91</v>
      </c>
      <c r="BR177">
        <v>1.94</v>
      </c>
      <c r="BS177">
        <v>1.95</v>
      </c>
      <c r="BT177">
        <v>2.02</v>
      </c>
      <c r="BU177">
        <v>4.33</v>
      </c>
      <c r="BV177">
        <v>3.8</v>
      </c>
      <c r="BW177">
        <v>1.8</v>
      </c>
      <c r="BX177">
        <v>4.33</v>
      </c>
      <c r="BY177">
        <v>3.75</v>
      </c>
      <c r="BZ177">
        <v>1.82</v>
      </c>
      <c r="CA177">
        <v>4.0999999999999996</v>
      </c>
      <c r="CB177">
        <v>3.6</v>
      </c>
      <c r="CC177">
        <v>1.83</v>
      </c>
      <c r="CD177">
        <v>4.4400000000000004</v>
      </c>
      <c r="CE177">
        <v>4.01</v>
      </c>
      <c r="CF177">
        <v>1.8</v>
      </c>
      <c r="CG177">
        <v>4.2</v>
      </c>
      <c r="CH177">
        <v>3.6</v>
      </c>
      <c r="CI177">
        <v>1.85</v>
      </c>
      <c r="CJ177">
        <v>4.6900000000000004</v>
      </c>
      <c r="CK177">
        <v>3.87</v>
      </c>
      <c r="CL177">
        <v>1.79</v>
      </c>
      <c r="CM177">
        <v>4.6900000000000004</v>
      </c>
      <c r="CN177">
        <v>4.01</v>
      </c>
      <c r="CO177">
        <v>1.85</v>
      </c>
      <c r="CP177">
        <v>4.3499999999999996</v>
      </c>
      <c r="CQ177">
        <v>3.81</v>
      </c>
      <c r="CR177">
        <v>1.82</v>
      </c>
      <c r="CS177">
        <v>4.4000000000000004</v>
      </c>
      <c r="CT177">
        <v>4.0999999999999996</v>
      </c>
      <c r="CU177">
        <v>1.86</v>
      </c>
      <c r="CV177">
        <v>1.73</v>
      </c>
      <c r="CW177">
        <v>2.1</v>
      </c>
      <c r="CX177">
        <v>1.74</v>
      </c>
      <c r="CY177">
        <v>2.19</v>
      </c>
      <c r="CZ177">
        <v>1.77</v>
      </c>
      <c r="DA177">
        <v>2.23</v>
      </c>
      <c r="DB177">
        <v>1.72</v>
      </c>
      <c r="DC177">
        <v>2.14</v>
      </c>
      <c r="DD177">
        <v>1.8</v>
      </c>
      <c r="DE177">
        <v>2.2400000000000002</v>
      </c>
      <c r="DF177">
        <v>0.75</v>
      </c>
      <c r="DG177">
        <v>1.87</v>
      </c>
      <c r="DH177">
        <v>2.06</v>
      </c>
      <c r="DI177">
        <v>1.88</v>
      </c>
      <c r="DJ177">
        <v>2.04</v>
      </c>
      <c r="DK177">
        <v>1.91</v>
      </c>
      <c r="DL177">
        <v>2.12</v>
      </c>
      <c r="DM177">
        <v>1.84</v>
      </c>
      <c r="DN177">
        <v>2.0299999999999998</v>
      </c>
      <c r="DO177">
        <v>1.88</v>
      </c>
      <c r="DP177">
        <v>2.12</v>
      </c>
    </row>
    <row r="178" spans="1:120" x14ac:dyDescent="0.3">
      <c r="A178" t="s">
        <v>120</v>
      </c>
      <c r="B178" t="s">
        <v>196</v>
      </c>
      <c r="C178" s="1">
        <v>0.83333333333333337</v>
      </c>
      <c r="D178" t="s">
        <v>129</v>
      </c>
      <c r="E178" t="s">
        <v>155</v>
      </c>
      <c r="F178">
        <v>3</v>
      </c>
      <c r="G178">
        <v>1</v>
      </c>
      <c r="H178" t="s">
        <v>124</v>
      </c>
      <c r="I178">
        <v>1</v>
      </c>
      <c r="J178">
        <v>1</v>
      </c>
      <c r="K178" t="s">
        <v>125</v>
      </c>
      <c r="L178" t="s">
        <v>159</v>
      </c>
      <c r="M178">
        <v>19</v>
      </c>
      <c r="N178">
        <v>4</v>
      </c>
      <c r="O178">
        <v>7</v>
      </c>
      <c r="P178">
        <v>1</v>
      </c>
      <c r="Q178">
        <v>17</v>
      </c>
      <c r="R178">
        <v>5</v>
      </c>
      <c r="S178">
        <v>14</v>
      </c>
      <c r="T178">
        <v>1</v>
      </c>
      <c r="U178">
        <v>3</v>
      </c>
      <c r="V178">
        <v>2</v>
      </c>
      <c r="W178">
        <v>0</v>
      </c>
      <c r="X178">
        <v>0</v>
      </c>
      <c r="Y178">
        <v>1.08</v>
      </c>
      <c r="Z178">
        <v>12</v>
      </c>
      <c r="AA178">
        <v>23</v>
      </c>
      <c r="AB178">
        <v>1.0900000000000001</v>
      </c>
      <c r="AC178">
        <v>13</v>
      </c>
      <c r="AD178">
        <v>23</v>
      </c>
      <c r="AE178">
        <v>1.08</v>
      </c>
      <c r="AF178">
        <v>13</v>
      </c>
      <c r="AG178">
        <v>23</v>
      </c>
      <c r="AH178">
        <v>1.08</v>
      </c>
      <c r="AI178">
        <v>13.84</v>
      </c>
      <c r="AJ178">
        <v>24.96</v>
      </c>
      <c r="AK178">
        <v>1.08</v>
      </c>
      <c r="AL178">
        <v>12</v>
      </c>
      <c r="AM178">
        <v>26</v>
      </c>
      <c r="AN178">
        <v>1.0900000000000001</v>
      </c>
      <c r="AO178">
        <v>13.6</v>
      </c>
      <c r="AP178">
        <v>30</v>
      </c>
      <c r="AQ178">
        <v>1.1000000000000001</v>
      </c>
      <c r="AR178">
        <v>13.84</v>
      </c>
      <c r="AS178">
        <v>34</v>
      </c>
      <c r="AT178">
        <v>1.08</v>
      </c>
      <c r="AU178">
        <v>12.4</v>
      </c>
      <c r="AV178">
        <v>25.35</v>
      </c>
      <c r="AW178">
        <v>1.1000000000000001</v>
      </c>
      <c r="AX178">
        <v>14.5</v>
      </c>
      <c r="AY178">
        <v>30</v>
      </c>
      <c r="AZ178">
        <v>1.2</v>
      </c>
      <c r="BA178">
        <v>4.5</v>
      </c>
      <c r="BD178">
        <v>1.21</v>
      </c>
      <c r="BE178">
        <v>5</v>
      </c>
      <c r="BF178">
        <v>1.19</v>
      </c>
      <c r="BG178">
        <v>4.41</v>
      </c>
      <c r="BH178">
        <v>1.24</v>
      </c>
      <c r="BI178">
        <v>4.8</v>
      </c>
      <c r="BJ178">
        <v>-2.75</v>
      </c>
      <c r="BK178">
        <v>1.86</v>
      </c>
      <c r="BL178">
        <v>2.04</v>
      </c>
      <c r="BM178">
        <v>1.84</v>
      </c>
      <c r="BN178">
        <v>2.04</v>
      </c>
      <c r="BO178">
        <v>1.89</v>
      </c>
      <c r="BP178">
        <v>2.04</v>
      </c>
      <c r="BQ178">
        <v>1.83</v>
      </c>
      <c r="BR178">
        <v>1.99</v>
      </c>
      <c r="BS178">
        <v>1.89</v>
      </c>
      <c r="BT178">
        <v>2.06</v>
      </c>
      <c r="BU178">
        <v>1.07</v>
      </c>
      <c r="BV178">
        <v>12</v>
      </c>
      <c r="BW178">
        <v>23</v>
      </c>
      <c r="BX178">
        <v>1.08</v>
      </c>
      <c r="BY178">
        <v>13.5</v>
      </c>
      <c r="BZ178">
        <v>29</v>
      </c>
      <c r="CA178">
        <v>1.06</v>
      </c>
      <c r="CB178">
        <v>13</v>
      </c>
      <c r="CC178">
        <v>26</v>
      </c>
      <c r="CD178">
        <v>1.0900000000000001</v>
      </c>
      <c r="CE178">
        <v>12.25</v>
      </c>
      <c r="CF178">
        <v>27</v>
      </c>
      <c r="CG178">
        <v>1.08</v>
      </c>
      <c r="CH178">
        <v>13</v>
      </c>
      <c r="CI178">
        <v>26</v>
      </c>
      <c r="CJ178">
        <v>1.08</v>
      </c>
      <c r="CK178">
        <v>14.7</v>
      </c>
      <c r="CL178">
        <v>28</v>
      </c>
      <c r="CM178">
        <v>1.1000000000000001</v>
      </c>
      <c r="CN178">
        <v>14.7</v>
      </c>
      <c r="CO178">
        <v>38</v>
      </c>
      <c r="CP178">
        <v>1.08</v>
      </c>
      <c r="CQ178">
        <v>12.79</v>
      </c>
      <c r="CR178">
        <v>27.21</v>
      </c>
      <c r="CS178">
        <v>1.1000000000000001</v>
      </c>
      <c r="CT178">
        <v>15</v>
      </c>
      <c r="CU178">
        <v>29</v>
      </c>
      <c r="CV178">
        <v>1.17</v>
      </c>
      <c r="CW178">
        <v>5</v>
      </c>
      <c r="CZ178">
        <v>1.24</v>
      </c>
      <c r="DA178">
        <v>5.4</v>
      </c>
      <c r="DB178">
        <v>1.18</v>
      </c>
      <c r="DC178">
        <v>4.82</v>
      </c>
      <c r="DD178">
        <v>1.21</v>
      </c>
      <c r="DE178">
        <v>5.5</v>
      </c>
      <c r="DF178">
        <v>-3</v>
      </c>
      <c r="DG178">
        <v>1.99</v>
      </c>
      <c r="DH178">
        <v>1.94</v>
      </c>
      <c r="DI178">
        <v>1.99</v>
      </c>
      <c r="DJ178">
        <v>1.89</v>
      </c>
      <c r="DK178">
        <v>2.0299999999999998</v>
      </c>
      <c r="DL178">
        <v>1.97</v>
      </c>
      <c r="DM178">
        <v>1.97</v>
      </c>
      <c r="DN178">
        <v>1.89</v>
      </c>
      <c r="DO178">
        <v>2</v>
      </c>
      <c r="DP178">
        <v>1.98</v>
      </c>
    </row>
    <row r="179" spans="1:120" x14ac:dyDescent="0.3">
      <c r="A179" t="s">
        <v>120</v>
      </c>
      <c r="B179" t="s">
        <v>197</v>
      </c>
      <c r="C179" s="1">
        <v>0.8125</v>
      </c>
      <c r="D179" t="s">
        <v>136</v>
      </c>
      <c r="E179" t="s">
        <v>148</v>
      </c>
      <c r="F179">
        <v>0</v>
      </c>
      <c r="G179">
        <v>0</v>
      </c>
      <c r="H179" t="s">
        <v>125</v>
      </c>
      <c r="I179">
        <v>0</v>
      </c>
      <c r="J179">
        <v>0</v>
      </c>
      <c r="K179" t="s">
        <v>125</v>
      </c>
      <c r="L179" t="s">
        <v>176</v>
      </c>
      <c r="M179">
        <v>24</v>
      </c>
      <c r="N179">
        <v>8</v>
      </c>
      <c r="O179">
        <v>7</v>
      </c>
      <c r="P179">
        <v>3</v>
      </c>
      <c r="Q179">
        <v>6</v>
      </c>
      <c r="R179">
        <v>12</v>
      </c>
      <c r="S179">
        <v>5</v>
      </c>
      <c r="T179">
        <v>3</v>
      </c>
      <c r="U179">
        <v>0</v>
      </c>
      <c r="V179">
        <v>2</v>
      </c>
      <c r="W179">
        <v>0</v>
      </c>
      <c r="X179">
        <v>0</v>
      </c>
      <c r="Y179">
        <v>1.62</v>
      </c>
      <c r="Z179">
        <v>4.33</v>
      </c>
      <c r="AA179">
        <v>4.75</v>
      </c>
      <c r="AB179">
        <v>1.63</v>
      </c>
      <c r="AC179">
        <v>4.4000000000000004</v>
      </c>
      <c r="AD179">
        <v>4.75</v>
      </c>
      <c r="AE179">
        <v>1.62</v>
      </c>
      <c r="AF179">
        <v>4.4000000000000004</v>
      </c>
      <c r="AG179">
        <v>5</v>
      </c>
      <c r="AH179">
        <v>1.64</v>
      </c>
      <c r="AI179">
        <v>4.54</v>
      </c>
      <c r="AJ179">
        <v>4.96</v>
      </c>
      <c r="AK179">
        <v>1.65</v>
      </c>
      <c r="AL179">
        <v>4.2</v>
      </c>
      <c r="AM179">
        <v>4.8</v>
      </c>
      <c r="AN179">
        <v>1.65</v>
      </c>
      <c r="AO179">
        <v>4.6399999999999997</v>
      </c>
      <c r="AP179">
        <v>4.9400000000000004</v>
      </c>
      <c r="AQ179">
        <v>1.66</v>
      </c>
      <c r="AR179">
        <v>4.6399999999999997</v>
      </c>
      <c r="AS179">
        <v>5.0999999999999996</v>
      </c>
      <c r="AT179">
        <v>1.64</v>
      </c>
      <c r="AU179">
        <v>4.4400000000000004</v>
      </c>
      <c r="AV179">
        <v>4.8899999999999997</v>
      </c>
      <c r="AW179">
        <v>1.68</v>
      </c>
      <c r="AX179">
        <v>4.5999999999999996</v>
      </c>
      <c r="AY179">
        <v>5.2</v>
      </c>
      <c r="AZ179">
        <v>1.44</v>
      </c>
      <c r="BA179">
        <v>2.75</v>
      </c>
      <c r="BB179">
        <v>1.46</v>
      </c>
      <c r="BC179">
        <v>2.84</v>
      </c>
      <c r="BD179">
        <v>1.46</v>
      </c>
      <c r="BE179">
        <v>2.86</v>
      </c>
      <c r="BF179">
        <v>1.44</v>
      </c>
      <c r="BG179">
        <v>2.78</v>
      </c>
      <c r="BH179">
        <v>1.48</v>
      </c>
      <c r="BI179">
        <v>3</v>
      </c>
      <c r="BJ179">
        <v>-1</v>
      </c>
      <c r="BK179">
        <v>2.04</v>
      </c>
      <c r="BL179">
        <v>1.86</v>
      </c>
      <c r="BM179">
        <v>2.0499999999999998</v>
      </c>
      <c r="BN179">
        <v>1.88</v>
      </c>
      <c r="BO179">
        <v>2.08</v>
      </c>
      <c r="BP179">
        <v>1.88</v>
      </c>
      <c r="BQ179">
        <v>2.02</v>
      </c>
      <c r="BR179">
        <v>1.84</v>
      </c>
      <c r="BS179">
        <v>2.11</v>
      </c>
      <c r="BT179">
        <v>1.87</v>
      </c>
      <c r="BU179">
        <v>1.6</v>
      </c>
      <c r="BV179">
        <v>4.5</v>
      </c>
      <c r="BW179">
        <v>4.75</v>
      </c>
      <c r="BX179">
        <v>1.62</v>
      </c>
      <c r="BY179">
        <v>4.4000000000000004</v>
      </c>
      <c r="BZ179">
        <v>4.8</v>
      </c>
      <c r="CA179">
        <v>1.57</v>
      </c>
      <c r="CB179">
        <v>4.5</v>
      </c>
      <c r="CC179">
        <v>4.75</v>
      </c>
      <c r="CD179">
        <v>1.63</v>
      </c>
      <c r="CE179">
        <v>4.5999999999999996</v>
      </c>
      <c r="CF179">
        <v>5.05</v>
      </c>
      <c r="CG179">
        <v>1.62</v>
      </c>
      <c r="CH179">
        <v>4.4000000000000004</v>
      </c>
      <c r="CI179">
        <v>4.8</v>
      </c>
      <c r="CJ179">
        <v>1.67</v>
      </c>
      <c r="CK179">
        <v>4.62</v>
      </c>
      <c r="CL179">
        <v>4.66</v>
      </c>
      <c r="CM179">
        <v>1.67</v>
      </c>
      <c r="CN179">
        <v>4.6500000000000004</v>
      </c>
      <c r="CO179">
        <v>5.19</v>
      </c>
      <c r="CP179">
        <v>1.62</v>
      </c>
      <c r="CQ179">
        <v>4.5</v>
      </c>
      <c r="CR179">
        <v>4.8899999999999997</v>
      </c>
      <c r="CS179">
        <v>1.65</v>
      </c>
      <c r="CT179">
        <v>4.8</v>
      </c>
      <c r="CU179">
        <v>5.2</v>
      </c>
      <c r="CV179">
        <v>1.44</v>
      </c>
      <c r="CW179">
        <v>2.75</v>
      </c>
      <c r="CX179">
        <v>1.43</v>
      </c>
      <c r="CY179">
        <v>2.94</v>
      </c>
      <c r="CZ179">
        <v>1.51</v>
      </c>
      <c r="DA179">
        <v>2.94</v>
      </c>
      <c r="DB179">
        <v>1.44</v>
      </c>
      <c r="DC179">
        <v>2.81</v>
      </c>
      <c r="DD179">
        <v>1.49</v>
      </c>
      <c r="DE179">
        <v>3</v>
      </c>
      <c r="DF179">
        <v>-1</v>
      </c>
      <c r="DG179">
        <v>2.0299999999999998</v>
      </c>
      <c r="DH179">
        <v>1.87</v>
      </c>
      <c r="DI179">
        <v>2.04</v>
      </c>
      <c r="DJ179">
        <v>1.89</v>
      </c>
      <c r="DK179">
        <v>2.08</v>
      </c>
      <c r="DL179">
        <v>1.91</v>
      </c>
      <c r="DM179">
        <v>2</v>
      </c>
      <c r="DN179">
        <v>1.86</v>
      </c>
      <c r="DO179">
        <v>2.1</v>
      </c>
      <c r="DP179">
        <v>1.9</v>
      </c>
    </row>
    <row r="180" spans="1:120" x14ac:dyDescent="0.3">
      <c r="A180" t="s">
        <v>120</v>
      </c>
      <c r="B180" t="s">
        <v>197</v>
      </c>
      <c r="C180" s="1">
        <v>0.84375</v>
      </c>
      <c r="D180" t="s">
        <v>132</v>
      </c>
      <c r="E180" t="s">
        <v>128</v>
      </c>
      <c r="F180">
        <v>1</v>
      </c>
      <c r="G180">
        <v>0</v>
      </c>
      <c r="H180" t="s">
        <v>124</v>
      </c>
      <c r="I180">
        <v>1</v>
      </c>
      <c r="J180">
        <v>0</v>
      </c>
      <c r="K180" t="s">
        <v>124</v>
      </c>
      <c r="L180" t="s">
        <v>163</v>
      </c>
      <c r="M180">
        <v>13</v>
      </c>
      <c r="N180">
        <v>3</v>
      </c>
      <c r="O180">
        <v>5</v>
      </c>
      <c r="P180">
        <v>0</v>
      </c>
      <c r="Q180">
        <v>7</v>
      </c>
      <c r="R180">
        <v>12</v>
      </c>
      <c r="S180">
        <v>5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1.1399999999999999</v>
      </c>
      <c r="Z180">
        <v>9</v>
      </c>
      <c r="AA180">
        <v>15</v>
      </c>
      <c r="AB180">
        <v>1.1599999999999999</v>
      </c>
      <c r="AC180">
        <v>8.5</v>
      </c>
      <c r="AD180">
        <v>16.5</v>
      </c>
      <c r="AE180">
        <v>1.1399999999999999</v>
      </c>
      <c r="AF180">
        <v>9</v>
      </c>
      <c r="AG180">
        <v>17</v>
      </c>
      <c r="AH180">
        <v>1.1499999999999999</v>
      </c>
      <c r="AI180">
        <v>8.67</v>
      </c>
      <c r="AJ180">
        <v>20.05</v>
      </c>
      <c r="AK180">
        <v>1.17</v>
      </c>
      <c r="AL180">
        <v>7.5</v>
      </c>
      <c r="AM180">
        <v>15</v>
      </c>
      <c r="AN180">
        <v>1.18</v>
      </c>
      <c r="AO180">
        <v>8.35</v>
      </c>
      <c r="AP180">
        <v>16.5</v>
      </c>
      <c r="AQ180">
        <v>1.18</v>
      </c>
      <c r="AR180">
        <v>9</v>
      </c>
      <c r="AS180">
        <v>20.05</v>
      </c>
      <c r="AT180">
        <v>1.1599999999999999</v>
      </c>
      <c r="AU180">
        <v>8.3699999999999992</v>
      </c>
      <c r="AV180">
        <v>17.309999999999999</v>
      </c>
      <c r="AW180">
        <v>1.17</v>
      </c>
      <c r="AX180">
        <v>10</v>
      </c>
      <c r="AY180">
        <v>21</v>
      </c>
      <c r="AZ180">
        <v>1.4</v>
      </c>
      <c r="BA180">
        <v>3</v>
      </c>
      <c r="BB180">
        <v>1.41</v>
      </c>
      <c r="BC180">
        <v>3</v>
      </c>
      <c r="BD180">
        <v>1.42</v>
      </c>
      <c r="BE180">
        <v>3.1</v>
      </c>
      <c r="BF180">
        <v>1.39</v>
      </c>
      <c r="BG180">
        <v>2.99</v>
      </c>
      <c r="BH180">
        <v>1.43</v>
      </c>
      <c r="BI180">
        <v>3.25</v>
      </c>
      <c r="BJ180">
        <v>-2.25</v>
      </c>
      <c r="BK180">
        <v>2.04</v>
      </c>
      <c r="BL180">
        <v>1.89</v>
      </c>
      <c r="BM180">
        <v>2.0299999999999998</v>
      </c>
      <c r="BN180">
        <v>1.88</v>
      </c>
      <c r="BO180">
        <v>2.04</v>
      </c>
      <c r="BP180">
        <v>1.91</v>
      </c>
      <c r="BQ180">
        <v>1.98</v>
      </c>
      <c r="BR180">
        <v>1.86</v>
      </c>
      <c r="BS180">
        <v>2.04</v>
      </c>
      <c r="BT180">
        <v>1.93</v>
      </c>
      <c r="BU180">
        <v>1.1399999999999999</v>
      </c>
      <c r="BV180">
        <v>8.5</v>
      </c>
      <c r="BW180">
        <v>17</v>
      </c>
      <c r="BX180">
        <v>1.1599999999999999</v>
      </c>
      <c r="BY180">
        <v>8.5</v>
      </c>
      <c r="BZ180">
        <v>16</v>
      </c>
      <c r="CA180">
        <v>1.1100000000000001</v>
      </c>
      <c r="CB180">
        <v>8.5</v>
      </c>
      <c r="CC180">
        <v>19</v>
      </c>
      <c r="CD180">
        <v>1.1299999999999999</v>
      </c>
      <c r="CE180">
        <v>9.25</v>
      </c>
      <c r="CF180">
        <v>23.5</v>
      </c>
      <c r="CG180">
        <v>1.1499999999999999</v>
      </c>
      <c r="CH180">
        <v>8.5</v>
      </c>
      <c r="CI180">
        <v>15</v>
      </c>
      <c r="CJ180">
        <v>1.1599999999999999</v>
      </c>
      <c r="CK180">
        <v>8.99</v>
      </c>
      <c r="CL180">
        <v>17.2</v>
      </c>
      <c r="CM180">
        <v>1.1599999999999999</v>
      </c>
      <c r="CN180">
        <v>9.3000000000000007</v>
      </c>
      <c r="CO180">
        <v>23.5</v>
      </c>
      <c r="CP180">
        <v>1.1399999999999999</v>
      </c>
      <c r="CQ180">
        <v>8.7799999999999994</v>
      </c>
      <c r="CR180">
        <v>18.59</v>
      </c>
      <c r="CS180">
        <v>1.1599999999999999</v>
      </c>
      <c r="CT180">
        <v>9.6</v>
      </c>
      <c r="CU180">
        <v>26</v>
      </c>
      <c r="CV180">
        <v>1.36</v>
      </c>
      <c r="CW180">
        <v>3.2</v>
      </c>
      <c r="CX180">
        <v>1.39</v>
      </c>
      <c r="CY180">
        <v>3.04</v>
      </c>
      <c r="CZ180">
        <v>1.4</v>
      </c>
      <c r="DA180">
        <v>3.25</v>
      </c>
      <c r="DB180">
        <v>1.38</v>
      </c>
      <c r="DC180">
        <v>3.08</v>
      </c>
      <c r="DD180">
        <v>1.43</v>
      </c>
      <c r="DE180">
        <v>3.25</v>
      </c>
      <c r="DF180">
        <v>-2.25</v>
      </c>
      <c r="DG180">
        <v>2.02</v>
      </c>
      <c r="DH180">
        <v>1.91</v>
      </c>
      <c r="DI180">
        <v>2.0099999999999998</v>
      </c>
      <c r="DJ180">
        <v>1.9</v>
      </c>
      <c r="DK180">
        <v>2.0499999999999998</v>
      </c>
      <c r="DL180">
        <v>1.94</v>
      </c>
      <c r="DM180">
        <v>1.97</v>
      </c>
      <c r="DN180">
        <v>1.87</v>
      </c>
      <c r="DO180">
        <v>2.0499999999999998</v>
      </c>
      <c r="DP180">
        <v>1.94</v>
      </c>
    </row>
    <row r="181" spans="1:120" x14ac:dyDescent="0.3">
      <c r="A181" t="s">
        <v>120</v>
      </c>
      <c r="B181" t="s">
        <v>198</v>
      </c>
      <c r="C181" s="1">
        <v>0.60416666666666663</v>
      </c>
      <c r="D181" t="s">
        <v>155</v>
      </c>
      <c r="E181" t="s">
        <v>152</v>
      </c>
      <c r="F181">
        <v>0</v>
      </c>
      <c r="G181">
        <v>2</v>
      </c>
      <c r="H181" t="s">
        <v>130</v>
      </c>
      <c r="I181">
        <v>0</v>
      </c>
      <c r="J181">
        <v>1</v>
      </c>
      <c r="K181" t="s">
        <v>130</v>
      </c>
      <c r="L181" t="s">
        <v>143</v>
      </c>
      <c r="M181">
        <v>11</v>
      </c>
      <c r="N181">
        <v>14</v>
      </c>
      <c r="O181">
        <v>4</v>
      </c>
      <c r="P181">
        <v>5</v>
      </c>
      <c r="Q181">
        <v>11</v>
      </c>
      <c r="R181">
        <v>6</v>
      </c>
      <c r="S181">
        <v>4</v>
      </c>
      <c r="T181">
        <v>4</v>
      </c>
      <c r="U181">
        <v>2</v>
      </c>
      <c r="V181">
        <v>1</v>
      </c>
      <c r="W181">
        <v>0</v>
      </c>
      <c r="X181">
        <v>0</v>
      </c>
      <c r="Y181">
        <v>7.5</v>
      </c>
      <c r="Z181">
        <v>5.5</v>
      </c>
      <c r="AA181">
        <v>1.36</v>
      </c>
      <c r="AB181">
        <v>8</v>
      </c>
      <c r="AC181">
        <v>5.75</v>
      </c>
      <c r="AD181">
        <v>1.34</v>
      </c>
      <c r="AE181">
        <v>8</v>
      </c>
      <c r="AF181">
        <v>5.5</v>
      </c>
      <c r="AG181">
        <v>1.33</v>
      </c>
      <c r="AH181">
        <v>8.42</v>
      </c>
      <c r="AI181">
        <v>5.9</v>
      </c>
      <c r="AJ181">
        <v>1.33</v>
      </c>
      <c r="AK181">
        <v>7.5</v>
      </c>
      <c r="AL181">
        <v>5</v>
      </c>
      <c r="AM181">
        <v>1.36</v>
      </c>
      <c r="AN181">
        <v>8.4499999999999993</v>
      </c>
      <c r="AO181">
        <v>5.9</v>
      </c>
      <c r="AP181">
        <v>1.36</v>
      </c>
      <c r="AQ181">
        <v>8.8000000000000007</v>
      </c>
      <c r="AR181">
        <v>5.9</v>
      </c>
      <c r="AS181">
        <v>1.37</v>
      </c>
      <c r="AT181">
        <v>7.92</v>
      </c>
      <c r="AU181">
        <v>5.62</v>
      </c>
      <c r="AV181">
        <v>1.34</v>
      </c>
      <c r="AW181">
        <v>9</v>
      </c>
      <c r="AX181">
        <v>6</v>
      </c>
      <c r="AY181">
        <v>1.37</v>
      </c>
      <c r="AZ181">
        <v>1.36</v>
      </c>
      <c r="BA181">
        <v>3.2</v>
      </c>
      <c r="BB181">
        <v>1.39</v>
      </c>
      <c r="BC181">
        <v>3.13</v>
      </c>
      <c r="BD181">
        <v>1.39</v>
      </c>
      <c r="BE181">
        <v>3.2</v>
      </c>
      <c r="BF181">
        <v>1.36</v>
      </c>
      <c r="BG181">
        <v>3.07</v>
      </c>
      <c r="BH181">
        <v>1.41</v>
      </c>
      <c r="BI181">
        <v>3.25</v>
      </c>
      <c r="BJ181">
        <v>1.5</v>
      </c>
      <c r="BK181">
        <v>2</v>
      </c>
      <c r="BL181">
        <v>1.9</v>
      </c>
      <c r="BM181">
        <v>2.0299999999999998</v>
      </c>
      <c r="BN181">
        <v>1.88</v>
      </c>
      <c r="BO181">
        <v>2.0299999999999998</v>
      </c>
      <c r="BP181">
        <v>1.96</v>
      </c>
      <c r="BQ181">
        <v>1.95</v>
      </c>
      <c r="BR181">
        <v>1.89</v>
      </c>
      <c r="BS181">
        <v>2.04</v>
      </c>
      <c r="BT181">
        <v>1.93</v>
      </c>
      <c r="BU181">
        <v>9.5</v>
      </c>
      <c r="BV181">
        <v>6.25</v>
      </c>
      <c r="BW181">
        <v>1.27</v>
      </c>
      <c r="BX181">
        <v>9.5</v>
      </c>
      <c r="BY181">
        <v>6.5</v>
      </c>
      <c r="BZ181">
        <v>1.28</v>
      </c>
      <c r="CA181">
        <v>9.5</v>
      </c>
      <c r="CB181">
        <v>6</v>
      </c>
      <c r="CC181">
        <v>1.25</v>
      </c>
      <c r="CD181">
        <v>10.25</v>
      </c>
      <c r="CE181">
        <v>6.42</v>
      </c>
      <c r="CF181">
        <v>1.27</v>
      </c>
      <c r="CG181">
        <v>9.5</v>
      </c>
      <c r="CH181">
        <v>6</v>
      </c>
      <c r="CI181">
        <v>1.25</v>
      </c>
      <c r="CJ181">
        <v>9.6999999999999993</v>
      </c>
      <c r="CK181">
        <v>6.38</v>
      </c>
      <c r="CL181">
        <v>1.3</v>
      </c>
      <c r="CM181">
        <v>11</v>
      </c>
      <c r="CN181">
        <v>6.8</v>
      </c>
      <c r="CO181">
        <v>1.31</v>
      </c>
      <c r="CP181">
        <v>9.6199999999999992</v>
      </c>
      <c r="CQ181">
        <v>6.36</v>
      </c>
      <c r="CR181">
        <v>1.27</v>
      </c>
      <c r="CS181">
        <v>11.5</v>
      </c>
      <c r="CT181">
        <v>7</v>
      </c>
      <c r="CU181">
        <v>1.29</v>
      </c>
      <c r="CV181">
        <v>1.33</v>
      </c>
      <c r="CW181">
        <v>3.4</v>
      </c>
      <c r="CX181">
        <v>1.37</v>
      </c>
      <c r="CY181">
        <v>3.22</v>
      </c>
      <c r="CZ181">
        <v>1.37</v>
      </c>
      <c r="DA181">
        <v>3.56</v>
      </c>
      <c r="DB181">
        <v>1.34</v>
      </c>
      <c r="DC181">
        <v>3.3</v>
      </c>
      <c r="DD181">
        <v>1.39</v>
      </c>
      <c r="DE181">
        <v>3.5</v>
      </c>
      <c r="DF181">
        <v>1.75</v>
      </c>
      <c r="DG181">
        <v>2.0099999999999998</v>
      </c>
      <c r="DH181">
        <v>1.92</v>
      </c>
      <c r="DI181">
        <v>1.98</v>
      </c>
      <c r="DJ181">
        <v>1.93</v>
      </c>
      <c r="DK181">
        <v>2.0299999999999998</v>
      </c>
      <c r="DL181">
        <v>1.94</v>
      </c>
      <c r="DM181">
        <v>1.95</v>
      </c>
      <c r="DN181">
        <v>1.9</v>
      </c>
      <c r="DO181">
        <v>2.02</v>
      </c>
      <c r="DP181">
        <v>1.97</v>
      </c>
    </row>
    <row r="182" spans="1:120" x14ac:dyDescent="0.3">
      <c r="A182" t="s">
        <v>120</v>
      </c>
      <c r="B182" t="s">
        <v>198</v>
      </c>
      <c r="C182" s="1">
        <v>0.625</v>
      </c>
      <c r="D182" t="s">
        <v>149</v>
      </c>
      <c r="E182" t="s">
        <v>139</v>
      </c>
      <c r="F182">
        <v>2</v>
      </c>
      <c r="G182">
        <v>1</v>
      </c>
      <c r="H182" t="s">
        <v>124</v>
      </c>
      <c r="I182">
        <v>1</v>
      </c>
      <c r="J182">
        <v>1</v>
      </c>
      <c r="K182" t="s">
        <v>125</v>
      </c>
      <c r="L182" t="s">
        <v>160</v>
      </c>
      <c r="M182">
        <v>19</v>
      </c>
      <c r="N182">
        <v>7</v>
      </c>
      <c r="O182">
        <v>10</v>
      </c>
      <c r="P182">
        <v>3</v>
      </c>
      <c r="Q182">
        <v>18</v>
      </c>
      <c r="R182">
        <v>19</v>
      </c>
      <c r="S182">
        <v>8</v>
      </c>
      <c r="T182">
        <v>7</v>
      </c>
      <c r="U182">
        <v>2</v>
      </c>
      <c r="V182">
        <v>3</v>
      </c>
      <c r="W182">
        <v>0</v>
      </c>
      <c r="X182">
        <v>0</v>
      </c>
      <c r="Y182">
        <v>1.57</v>
      </c>
      <c r="Z182">
        <v>3.9</v>
      </c>
      <c r="AA182">
        <v>5.5</v>
      </c>
      <c r="AB182">
        <v>1.6</v>
      </c>
      <c r="AC182">
        <v>4.2</v>
      </c>
      <c r="AD182">
        <v>5.5</v>
      </c>
      <c r="AE182">
        <v>1.6</v>
      </c>
      <c r="AF182">
        <v>4.2</v>
      </c>
      <c r="AG182">
        <v>5.5</v>
      </c>
      <c r="AH182">
        <v>1.64</v>
      </c>
      <c r="AI182">
        <v>4.13</v>
      </c>
      <c r="AJ182">
        <v>5.4</v>
      </c>
      <c r="AK182">
        <v>1.6</v>
      </c>
      <c r="AL182">
        <v>4</v>
      </c>
      <c r="AM182">
        <v>5</v>
      </c>
      <c r="AN182">
        <v>1.66</v>
      </c>
      <c r="AO182">
        <v>4.2300000000000004</v>
      </c>
      <c r="AP182">
        <v>5.34</v>
      </c>
      <c r="AQ182">
        <v>1.66</v>
      </c>
      <c r="AR182">
        <v>4.25</v>
      </c>
      <c r="AS182">
        <v>5.8</v>
      </c>
      <c r="AT182">
        <v>1.61</v>
      </c>
      <c r="AU182">
        <v>4.1100000000000003</v>
      </c>
      <c r="AV182">
        <v>5.42</v>
      </c>
      <c r="AW182">
        <v>1.64</v>
      </c>
      <c r="AX182">
        <v>4.3</v>
      </c>
      <c r="AY182">
        <v>6</v>
      </c>
      <c r="AZ182">
        <v>1.73</v>
      </c>
      <c r="BA182">
        <v>2.1</v>
      </c>
      <c r="BB182">
        <v>1.78</v>
      </c>
      <c r="BC182">
        <v>2.1</v>
      </c>
      <c r="BD182">
        <v>1.8</v>
      </c>
      <c r="BE182">
        <v>2.1800000000000002</v>
      </c>
      <c r="BF182">
        <v>1.75</v>
      </c>
      <c r="BG182">
        <v>2.09</v>
      </c>
      <c r="BH182">
        <v>1.8</v>
      </c>
      <c r="BI182">
        <v>2.2000000000000002</v>
      </c>
      <c r="BJ182">
        <v>-1</v>
      </c>
      <c r="BK182">
        <v>2.0699999999999998</v>
      </c>
      <c r="BL182">
        <v>1.83</v>
      </c>
      <c r="BM182">
        <v>2.11</v>
      </c>
      <c r="BN182">
        <v>1.79</v>
      </c>
      <c r="BO182">
        <v>2.11</v>
      </c>
      <c r="BP182">
        <v>1.85</v>
      </c>
      <c r="BQ182">
        <v>2.0299999999999998</v>
      </c>
      <c r="BR182">
        <v>1.81</v>
      </c>
      <c r="BS182">
        <v>2.09</v>
      </c>
      <c r="BT182">
        <v>1.88</v>
      </c>
      <c r="BU182">
        <v>1.5</v>
      </c>
      <c r="BV182">
        <v>4.33</v>
      </c>
      <c r="BW182">
        <v>6.25</v>
      </c>
      <c r="BX182">
        <v>1.52</v>
      </c>
      <c r="BY182">
        <v>4.33</v>
      </c>
      <c r="BZ182">
        <v>6.25</v>
      </c>
      <c r="CA182">
        <v>1.5</v>
      </c>
      <c r="CB182">
        <v>4.33</v>
      </c>
      <c r="CC182">
        <v>6.5</v>
      </c>
      <c r="CD182">
        <v>1.53</v>
      </c>
      <c r="CE182">
        <v>4.45</v>
      </c>
      <c r="CF182">
        <v>6.43</v>
      </c>
      <c r="CG182">
        <v>1.5</v>
      </c>
      <c r="CH182">
        <v>4.2</v>
      </c>
      <c r="CI182">
        <v>6</v>
      </c>
      <c r="CJ182">
        <v>1.55</v>
      </c>
      <c r="CK182">
        <v>4.4400000000000004</v>
      </c>
      <c r="CL182">
        <v>6.16</v>
      </c>
      <c r="CM182">
        <v>1.62</v>
      </c>
      <c r="CN182">
        <v>4.5</v>
      </c>
      <c r="CO182">
        <v>6.5</v>
      </c>
      <c r="CP182">
        <v>1.53</v>
      </c>
      <c r="CQ182">
        <v>4.34</v>
      </c>
      <c r="CR182">
        <v>6.2</v>
      </c>
      <c r="CS182">
        <v>1.58</v>
      </c>
      <c r="CT182">
        <v>4.5</v>
      </c>
      <c r="CU182">
        <v>6.6</v>
      </c>
      <c r="CV182">
        <v>1.67</v>
      </c>
      <c r="CW182">
        <v>2.2000000000000002</v>
      </c>
      <c r="CX182">
        <v>1.72</v>
      </c>
      <c r="CY182">
        <v>2.21</v>
      </c>
      <c r="CZ182">
        <v>1.81</v>
      </c>
      <c r="DA182">
        <v>2.25</v>
      </c>
      <c r="DB182">
        <v>1.71</v>
      </c>
      <c r="DC182">
        <v>2.16</v>
      </c>
      <c r="DD182">
        <v>1.8</v>
      </c>
      <c r="DE182">
        <v>2.2200000000000002</v>
      </c>
      <c r="DF182">
        <v>-1</v>
      </c>
      <c r="DG182">
        <v>1.89</v>
      </c>
      <c r="DH182">
        <v>2.04</v>
      </c>
      <c r="DI182">
        <v>1.88</v>
      </c>
      <c r="DJ182">
        <v>2.04</v>
      </c>
      <c r="DK182">
        <v>2.02</v>
      </c>
      <c r="DL182">
        <v>2.0499999999999998</v>
      </c>
      <c r="DM182">
        <v>1.88</v>
      </c>
      <c r="DN182">
        <v>1.98</v>
      </c>
      <c r="DO182">
        <v>1.95</v>
      </c>
      <c r="DP182">
        <v>2.02</v>
      </c>
    </row>
    <row r="183" spans="1:120" x14ac:dyDescent="0.3">
      <c r="A183" t="s">
        <v>120</v>
      </c>
      <c r="B183" t="s">
        <v>198</v>
      </c>
      <c r="C183" s="1">
        <v>0.625</v>
      </c>
      <c r="D183" t="s">
        <v>135</v>
      </c>
      <c r="E183" t="s">
        <v>141</v>
      </c>
      <c r="F183">
        <v>0</v>
      </c>
      <c r="G183">
        <v>2</v>
      </c>
      <c r="H183" t="s">
        <v>130</v>
      </c>
      <c r="I183">
        <v>0</v>
      </c>
      <c r="J183">
        <v>1</v>
      </c>
      <c r="K183" t="s">
        <v>130</v>
      </c>
      <c r="L183" t="s">
        <v>146</v>
      </c>
      <c r="M183">
        <v>13</v>
      </c>
      <c r="N183">
        <v>11</v>
      </c>
      <c r="O183">
        <v>2</v>
      </c>
      <c r="P183">
        <v>7</v>
      </c>
      <c r="Q183">
        <v>13</v>
      </c>
      <c r="R183">
        <v>10</v>
      </c>
      <c r="S183">
        <v>5</v>
      </c>
      <c r="T183">
        <v>4</v>
      </c>
      <c r="U183">
        <v>4</v>
      </c>
      <c r="V183">
        <v>1</v>
      </c>
      <c r="W183">
        <v>0</v>
      </c>
      <c r="X183">
        <v>0</v>
      </c>
      <c r="Y183">
        <v>2.6</v>
      </c>
      <c r="Z183">
        <v>3.2</v>
      </c>
      <c r="AA183">
        <v>2.8</v>
      </c>
      <c r="AB183">
        <v>2.6</v>
      </c>
      <c r="AC183">
        <v>3.2</v>
      </c>
      <c r="AD183">
        <v>2.8</v>
      </c>
      <c r="AE183">
        <v>2.7</v>
      </c>
      <c r="AF183">
        <v>3.1</v>
      </c>
      <c r="AG183">
        <v>2.8</v>
      </c>
      <c r="AH183">
        <v>2.69</v>
      </c>
      <c r="AI183">
        <v>3.18</v>
      </c>
      <c r="AJ183">
        <v>2.88</v>
      </c>
      <c r="AK183">
        <v>2.62</v>
      </c>
      <c r="AL183">
        <v>3.1</v>
      </c>
      <c r="AM183">
        <v>2.8</v>
      </c>
      <c r="AN183">
        <v>2.71</v>
      </c>
      <c r="AO183">
        <v>3.24</v>
      </c>
      <c r="AP183">
        <v>2.87</v>
      </c>
      <c r="AQ183">
        <v>2.71</v>
      </c>
      <c r="AR183">
        <v>3.24</v>
      </c>
      <c r="AS183">
        <v>2.9</v>
      </c>
      <c r="AT183">
        <v>2.64</v>
      </c>
      <c r="AU183">
        <v>3.16</v>
      </c>
      <c r="AV183">
        <v>2.83</v>
      </c>
      <c r="AW183">
        <v>2.8</v>
      </c>
      <c r="AX183">
        <v>3.25</v>
      </c>
      <c r="AY183">
        <v>2.94</v>
      </c>
      <c r="AZ183">
        <v>2.2000000000000002</v>
      </c>
      <c r="BA183">
        <v>1.67</v>
      </c>
      <c r="BB183">
        <v>2.31</v>
      </c>
      <c r="BC183">
        <v>1.67</v>
      </c>
      <c r="BD183">
        <v>2.31</v>
      </c>
      <c r="BE183">
        <v>1.7</v>
      </c>
      <c r="BF183">
        <v>2.23</v>
      </c>
      <c r="BG183">
        <v>1.66</v>
      </c>
      <c r="BH183">
        <v>2.3199999999999998</v>
      </c>
      <c r="BI183">
        <v>1.71</v>
      </c>
      <c r="BJ183">
        <v>0</v>
      </c>
      <c r="BK183">
        <v>1.88</v>
      </c>
      <c r="BL183">
        <v>2.02</v>
      </c>
      <c r="BM183">
        <v>1.88</v>
      </c>
      <c r="BN183">
        <v>2.02</v>
      </c>
      <c r="BO183">
        <v>1.91</v>
      </c>
      <c r="BP183">
        <v>2.0499999999999998</v>
      </c>
      <c r="BQ183">
        <v>1.86</v>
      </c>
      <c r="BR183">
        <v>1.99</v>
      </c>
      <c r="BS183">
        <v>1.93</v>
      </c>
      <c r="BT183">
        <v>2.04</v>
      </c>
      <c r="BU183">
        <v>2.63</v>
      </c>
      <c r="BV183">
        <v>3.1</v>
      </c>
      <c r="BW183">
        <v>2.88</v>
      </c>
      <c r="BX183">
        <v>2.6</v>
      </c>
      <c r="BY183">
        <v>3.1</v>
      </c>
      <c r="BZ183">
        <v>2.9</v>
      </c>
      <c r="CA183">
        <v>2.7</v>
      </c>
      <c r="CB183">
        <v>3.1</v>
      </c>
      <c r="CC183">
        <v>2.88</v>
      </c>
      <c r="CD183">
        <v>2.71</v>
      </c>
      <c r="CE183">
        <v>3.07</v>
      </c>
      <c r="CF183">
        <v>3</v>
      </c>
      <c r="CG183">
        <v>2.7</v>
      </c>
      <c r="CH183">
        <v>3</v>
      </c>
      <c r="CI183">
        <v>2.88</v>
      </c>
      <c r="CJ183">
        <v>2.78</v>
      </c>
      <c r="CK183">
        <v>3.16</v>
      </c>
      <c r="CL183">
        <v>2.82</v>
      </c>
      <c r="CM183">
        <v>2.88</v>
      </c>
      <c r="CN183">
        <v>3.16</v>
      </c>
      <c r="CO183">
        <v>3</v>
      </c>
      <c r="CP183">
        <v>2.69</v>
      </c>
      <c r="CQ183">
        <v>3.08</v>
      </c>
      <c r="CR183">
        <v>2.89</v>
      </c>
      <c r="CS183">
        <v>2.8</v>
      </c>
      <c r="CT183">
        <v>3.2</v>
      </c>
      <c r="CU183">
        <v>3</v>
      </c>
      <c r="CV183">
        <v>2.2999999999999998</v>
      </c>
      <c r="CW183">
        <v>1.62</v>
      </c>
      <c r="CX183">
        <v>2.4500000000000002</v>
      </c>
      <c r="CY183">
        <v>1.61</v>
      </c>
      <c r="CZ183">
        <v>2.4500000000000002</v>
      </c>
      <c r="DA183">
        <v>1.66</v>
      </c>
      <c r="DB183">
        <v>2.35</v>
      </c>
      <c r="DC183">
        <v>1.61</v>
      </c>
      <c r="DD183">
        <v>2.48</v>
      </c>
      <c r="DE183">
        <v>1.66</v>
      </c>
      <c r="DF183">
        <v>0</v>
      </c>
      <c r="DG183">
        <v>1.85</v>
      </c>
      <c r="DH183">
        <v>2.08</v>
      </c>
      <c r="DI183">
        <v>1.86</v>
      </c>
      <c r="DJ183">
        <v>2.0699999999999998</v>
      </c>
      <c r="DK183">
        <v>1.89</v>
      </c>
      <c r="DL183">
        <v>2.11</v>
      </c>
      <c r="DM183">
        <v>1.85</v>
      </c>
      <c r="DN183">
        <v>2.02</v>
      </c>
      <c r="DO183">
        <v>1.92</v>
      </c>
      <c r="DP183">
        <v>2.06</v>
      </c>
    </row>
    <row r="184" spans="1:120" x14ac:dyDescent="0.3">
      <c r="A184" t="s">
        <v>120</v>
      </c>
      <c r="B184" t="s">
        <v>198</v>
      </c>
      <c r="C184" s="1">
        <v>0.625</v>
      </c>
      <c r="D184" t="s">
        <v>123</v>
      </c>
      <c r="E184" t="s">
        <v>142</v>
      </c>
      <c r="F184">
        <v>2</v>
      </c>
      <c r="G184">
        <v>2</v>
      </c>
      <c r="H184" t="s">
        <v>125</v>
      </c>
      <c r="I184">
        <v>1</v>
      </c>
      <c r="J184">
        <v>0</v>
      </c>
      <c r="K184" t="s">
        <v>124</v>
      </c>
      <c r="L184" t="s">
        <v>126</v>
      </c>
      <c r="M184">
        <v>11</v>
      </c>
      <c r="N184">
        <v>16</v>
      </c>
      <c r="O184">
        <v>6</v>
      </c>
      <c r="P184">
        <v>9</v>
      </c>
      <c r="Q184">
        <v>7</v>
      </c>
      <c r="R184">
        <v>16</v>
      </c>
      <c r="S184">
        <v>1</v>
      </c>
      <c r="T184">
        <v>7</v>
      </c>
      <c r="U184">
        <v>1</v>
      </c>
      <c r="V184">
        <v>3</v>
      </c>
      <c r="W184">
        <v>0</v>
      </c>
      <c r="X184">
        <v>0</v>
      </c>
      <c r="Y184">
        <v>2.2999999999999998</v>
      </c>
      <c r="Z184">
        <v>3.6</v>
      </c>
      <c r="AA184">
        <v>2.88</v>
      </c>
      <c r="AB184">
        <v>2.35</v>
      </c>
      <c r="AC184">
        <v>3.6</v>
      </c>
      <c r="AD184">
        <v>2.9</v>
      </c>
      <c r="AE184">
        <v>2.2999999999999998</v>
      </c>
      <c r="AF184">
        <v>3.5</v>
      </c>
      <c r="AG184">
        <v>3</v>
      </c>
      <c r="AH184">
        <v>2.37</v>
      </c>
      <c r="AI184">
        <v>3.59</v>
      </c>
      <c r="AJ184">
        <v>3</v>
      </c>
      <c r="AK184">
        <v>2.4</v>
      </c>
      <c r="AL184">
        <v>3.6</v>
      </c>
      <c r="AM184">
        <v>2.8</v>
      </c>
      <c r="AN184">
        <v>2.36</v>
      </c>
      <c r="AO184">
        <v>3.77</v>
      </c>
      <c r="AP184">
        <v>2.97</v>
      </c>
      <c r="AQ184">
        <v>2.4</v>
      </c>
      <c r="AR184">
        <v>3.77</v>
      </c>
      <c r="AS184">
        <v>3</v>
      </c>
      <c r="AT184">
        <v>2.35</v>
      </c>
      <c r="AU184">
        <v>3.58</v>
      </c>
      <c r="AV184">
        <v>2.91</v>
      </c>
      <c r="AW184">
        <v>2.44</v>
      </c>
      <c r="AX184">
        <v>3.7</v>
      </c>
      <c r="AY184">
        <v>3.1</v>
      </c>
      <c r="AZ184">
        <v>1.67</v>
      </c>
      <c r="BA184">
        <v>2.2000000000000002</v>
      </c>
      <c r="BB184">
        <v>1.72</v>
      </c>
      <c r="BC184">
        <v>2.21</v>
      </c>
      <c r="BD184">
        <v>1.74</v>
      </c>
      <c r="BE184">
        <v>2.29</v>
      </c>
      <c r="BF184">
        <v>1.67</v>
      </c>
      <c r="BG184">
        <v>2.21</v>
      </c>
      <c r="BH184">
        <v>1.74</v>
      </c>
      <c r="BI184">
        <v>2.2799999999999998</v>
      </c>
      <c r="BJ184">
        <v>-0.25</v>
      </c>
      <c r="BK184">
        <v>2.0499999999999998</v>
      </c>
      <c r="BL184">
        <v>1.85</v>
      </c>
      <c r="BM184">
        <v>2.06</v>
      </c>
      <c r="BN184">
        <v>1.85</v>
      </c>
      <c r="BO184">
        <v>2.0699999999999998</v>
      </c>
      <c r="BP184">
        <v>1.85</v>
      </c>
      <c r="BQ184">
        <v>2</v>
      </c>
      <c r="BR184">
        <v>1.82</v>
      </c>
      <c r="BS184">
        <v>2.11</v>
      </c>
      <c r="BT184">
        <v>1.88</v>
      </c>
      <c r="BU184">
        <v>2.25</v>
      </c>
      <c r="BV184">
        <v>3.4</v>
      </c>
      <c r="BW184">
        <v>3.2</v>
      </c>
      <c r="BX184">
        <v>2.2999999999999998</v>
      </c>
      <c r="BY184">
        <v>3.4</v>
      </c>
      <c r="BZ184">
        <v>3.1</v>
      </c>
      <c r="CA184">
        <v>2.25</v>
      </c>
      <c r="CB184">
        <v>3.4</v>
      </c>
      <c r="CC184">
        <v>3.25</v>
      </c>
      <c r="CD184">
        <v>2.27</v>
      </c>
      <c r="CE184">
        <v>3.5</v>
      </c>
      <c r="CF184">
        <v>3.31</v>
      </c>
      <c r="CG184">
        <v>2.2999999999999998</v>
      </c>
      <c r="CH184">
        <v>3.4</v>
      </c>
      <c r="CI184">
        <v>3.1</v>
      </c>
      <c r="CJ184">
        <v>2.2999999999999998</v>
      </c>
      <c r="CK184">
        <v>3.46</v>
      </c>
      <c r="CL184">
        <v>3.26</v>
      </c>
      <c r="CM184">
        <v>2.42</v>
      </c>
      <c r="CN184">
        <v>3.55</v>
      </c>
      <c r="CO184">
        <v>3.31</v>
      </c>
      <c r="CP184">
        <v>2.2999999999999998</v>
      </c>
      <c r="CQ184">
        <v>3.43</v>
      </c>
      <c r="CR184">
        <v>3.18</v>
      </c>
      <c r="CS184">
        <v>2.34</v>
      </c>
      <c r="CT184">
        <v>3.55</v>
      </c>
      <c r="CU184">
        <v>3.4</v>
      </c>
      <c r="CV184">
        <v>1.8</v>
      </c>
      <c r="CW184">
        <v>2</v>
      </c>
      <c r="CX184">
        <v>1.83</v>
      </c>
      <c r="CY184">
        <v>2.0699999999999998</v>
      </c>
      <c r="CZ184">
        <v>1.87</v>
      </c>
      <c r="DA184">
        <v>2.16</v>
      </c>
      <c r="DB184">
        <v>1.81</v>
      </c>
      <c r="DC184">
        <v>2.0299999999999998</v>
      </c>
      <c r="DD184">
        <v>1.84</v>
      </c>
      <c r="DE184">
        <v>2.16</v>
      </c>
      <c r="DF184">
        <v>-0.25</v>
      </c>
      <c r="DG184">
        <v>1.97</v>
      </c>
      <c r="DH184">
        <v>1.96</v>
      </c>
      <c r="DI184">
        <v>1.97</v>
      </c>
      <c r="DJ184">
        <v>1.95</v>
      </c>
      <c r="DK184">
        <v>2</v>
      </c>
      <c r="DL184">
        <v>2</v>
      </c>
      <c r="DM184">
        <v>1.96</v>
      </c>
      <c r="DN184">
        <v>1.89</v>
      </c>
      <c r="DO184">
        <v>2.0099999999999998</v>
      </c>
      <c r="DP184">
        <v>1.97</v>
      </c>
    </row>
    <row r="185" spans="1:120" x14ac:dyDescent="0.3">
      <c r="A185" t="s">
        <v>120</v>
      </c>
      <c r="B185" t="s">
        <v>198</v>
      </c>
      <c r="C185" s="1">
        <v>0.625</v>
      </c>
      <c r="D185" t="s">
        <v>156</v>
      </c>
      <c r="E185" t="s">
        <v>133</v>
      </c>
      <c r="F185">
        <v>2</v>
      </c>
      <c r="G185">
        <v>2</v>
      </c>
      <c r="H185" t="s">
        <v>125</v>
      </c>
      <c r="I185">
        <v>2</v>
      </c>
      <c r="J185">
        <v>1</v>
      </c>
      <c r="K185" t="s">
        <v>124</v>
      </c>
      <c r="L185" t="s">
        <v>157</v>
      </c>
      <c r="M185">
        <v>13</v>
      </c>
      <c r="N185">
        <v>11</v>
      </c>
      <c r="O185">
        <v>3</v>
      </c>
      <c r="P185">
        <v>3</v>
      </c>
      <c r="Q185">
        <v>9</v>
      </c>
      <c r="R185">
        <v>10</v>
      </c>
      <c r="S185">
        <v>5</v>
      </c>
      <c r="T185">
        <v>5</v>
      </c>
      <c r="U185">
        <v>1</v>
      </c>
      <c r="V185">
        <v>2</v>
      </c>
      <c r="W185">
        <v>0</v>
      </c>
      <c r="X185">
        <v>0</v>
      </c>
      <c r="Y185">
        <v>1.6</v>
      </c>
      <c r="Z185">
        <v>5</v>
      </c>
      <c r="AA185">
        <v>4.2</v>
      </c>
      <c r="AB185">
        <v>1.6</v>
      </c>
      <c r="AC185">
        <v>4.8</v>
      </c>
      <c r="AD185">
        <v>4.5999999999999996</v>
      </c>
      <c r="AE185">
        <v>1.62</v>
      </c>
      <c r="AF185">
        <v>4.75</v>
      </c>
      <c r="AG185">
        <v>4.5999999999999996</v>
      </c>
      <c r="AH185">
        <v>1.63</v>
      </c>
      <c r="AI185">
        <v>4.91</v>
      </c>
      <c r="AJ185">
        <v>4.57</v>
      </c>
      <c r="AK185">
        <v>1.62</v>
      </c>
      <c r="AL185">
        <v>4.5999999999999996</v>
      </c>
      <c r="AM185">
        <v>4.5</v>
      </c>
      <c r="AN185">
        <v>1.66</v>
      </c>
      <c r="AO185">
        <v>4.6900000000000004</v>
      </c>
      <c r="AP185">
        <v>4.74</v>
      </c>
      <c r="AQ185">
        <v>1.66</v>
      </c>
      <c r="AR185">
        <v>5</v>
      </c>
      <c r="AS185">
        <v>4.75</v>
      </c>
      <c r="AT185">
        <v>1.61</v>
      </c>
      <c r="AU185">
        <v>4.7699999999999996</v>
      </c>
      <c r="AV185">
        <v>4.5599999999999996</v>
      </c>
      <c r="AW185">
        <v>1.68</v>
      </c>
      <c r="AX185">
        <v>5</v>
      </c>
      <c r="AY185">
        <v>4.7</v>
      </c>
      <c r="AZ185">
        <v>1.33</v>
      </c>
      <c r="BA185">
        <v>3.4</v>
      </c>
      <c r="BB185">
        <v>1.33</v>
      </c>
      <c r="BC185">
        <v>3.4</v>
      </c>
      <c r="BD185">
        <v>1.33</v>
      </c>
      <c r="BE185">
        <v>3.7</v>
      </c>
      <c r="BF185">
        <v>1.31</v>
      </c>
      <c r="BG185">
        <v>3.33</v>
      </c>
      <c r="BH185">
        <v>1.35</v>
      </c>
      <c r="BI185">
        <v>3.65</v>
      </c>
      <c r="BJ185">
        <v>-1</v>
      </c>
      <c r="BK185">
        <v>2.0099999999999998</v>
      </c>
      <c r="BL185">
        <v>1.89</v>
      </c>
      <c r="BM185">
        <v>2.02</v>
      </c>
      <c r="BN185">
        <v>1.89</v>
      </c>
      <c r="BO185">
        <v>2.02</v>
      </c>
      <c r="BP185">
        <v>1.91</v>
      </c>
      <c r="BQ185">
        <v>1.97</v>
      </c>
      <c r="BR185">
        <v>1.86</v>
      </c>
      <c r="BS185">
        <v>2.0499999999999998</v>
      </c>
      <c r="BT185">
        <v>1.91</v>
      </c>
      <c r="BU185">
        <v>1.65</v>
      </c>
      <c r="BV185">
        <v>4.33</v>
      </c>
      <c r="BW185">
        <v>4.5</v>
      </c>
      <c r="BX185">
        <v>1.63</v>
      </c>
      <c r="BY185">
        <v>4.5999999999999996</v>
      </c>
      <c r="BZ185">
        <v>4.5</v>
      </c>
      <c r="CA185">
        <v>1.65</v>
      </c>
      <c r="CB185">
        <v>4.5</v>
      </c>
      <c r="CC185">
        <v>4.5999999999999996</v>
      </c>
      <c r="CD185">
        <v>1.68</v>
      </c>
      <c r="CE185">
        <v>4.6399999999999997</v>
      </c>
      <c r="CF185">
        <v>4.5999999999999996</v>
      </c>
      <c r="CG185">
        <v>1.67</v>
      </c>
      <c r="CH185">
        <v>4.4000000000000004</v>
      </c>
      <c r="CI185">
        <v>4.4000000000000004</v>
      </c>
      <c r="CJ185">
        <v>1.68</v>
      </c>
      <c r="CK185">
        <v>4.45</v>
      </c>
      <c r="CL185">
        <v>4.79</v>
      </c>
      <c r="CM185">
        <v>1.69</v>
      </c>
      <c r="CN185">
        <v>4.7</v>
      </c>
      <c r="CO185">
        <v>4.9000000000000004</v>
      </c>
      <c r="CP185">
        <v>1.66</v>
      </c>
      <c r="CQ185">
        <v>4.53</v>
      </c>
      <c r="CR185">
        <v>4.58</v>
      </c>
      <c r="CS185">
        <v>1.69</v>
      </c>
      <c r="CT185">
        <v>4.7</v>
      </c>
      <c r="CU185">
        <v>5</v>
      </c>
      <c r="CV185">
        <v>1.36</v>
      </c>
      <c r="CW185">
        <v>3.2</v>
      </c>
      <c r="CX185">
        <v>1.38</v>
      </c>
      <c r="CY185">
        <v>3.17</v>
      </c>
      <c r="CZ185">
        <v>1.4</v>
      </c>
      <c r="DA185">
        <v>3.35</v>
      </c>
      <c r="DB185">
        <v>1.36</v>
      </c>
      <c r="DC185">
        <v>3.18</v>
      </c>
      <c r="DD185">
        <v>1.41</v>
      </c>
      <c r="DE185">
        <v>3.4</v>
      </c>
      <c r="DF185">
        <v>-0.75</v>
      </c>
      <c r="DG185">
        <v>1.84</v>
      </c>
      <c r="DH185">
        <v>2.09</v>
      </c>
      <c r="DI185">
        <v>1.83</v>
      </c>
      <c r="DJ185">
        <v>2.09</v>
      </c>
      <c r="DK185">
        <v>1.84</v>
      </c>
      <c r="DL185">
        <v>2.11</v>
      </c>
      <c r="DM185">
        <v>1.8</v>
      </c>
      <c r="DN185">
        <v>2.0699999999999998</v>
      </c>
      <c r="DO185">
        <v>1.84</v>
      </c>
      <c r="DP185">
        <v>2.16</v>
      </c>
    </row>
    <row r="186" spans="1:120" x14ac:dyDescent="0.3">
      <c r="A186" t="s">
        <v>120</v>
      </c>
      <c r="B186" t="s">
        <v>198</v>
      </c>
      <c r="C186" s="1">
        <v>0.71875</v>
      </c>
      <c r="D186" t="s">
        <v>144</v>
      </c>
      <c r="E186" t="s">
        <v>129</v>
      </c>
      <c r="F186">
        <v>0</v>
      </c>
      <c r="G186">
        <v>5</v>
      </c>
      <c r="H186" t="s">
        <v>130</v>
      </c>
      <c r="I186">
        <v>0</v>
      </c>
      <c r="J186">
        <v>3</v>
      </c>
      <c r="K186" t="s">
        <v>130</v>
      </c>
      <c r="L186" t="s">
        <v>153</v>
      </c>
      <c r="M186">
        <v>7</v>
      </c>
      <c r="N186">
        <v>22</v>
      </c>
      <c r="O186">
        <v>0</v>
      </c>
      <c r="P186">
        <v>13</v>
      </c>
      <c r="Q186">
        <v>7</v>
      </c>
      <c r="R186">
        <v>10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7</v>
      </c>
      <c r="Z186">
        <v>5</v>
      </c>
      <c r="AA186">
        <v>1.4</v>
      </c>
      <c r="AB186">
        <v>7</v>
      </c>
      <c r="AC186">
        <v>5.25</v>
      </c>
      <c r="AD186">
        <v>1.41</v>
      </c>
      <c r="AE186">
        <v>7</v>
      </c>
      <c r="AF186">
        <v>5</v>
      </c>
      <c r="AG186">
        <v>1.36</v>
      </c>
      <c r="AH186">
        <v>7.32</v>
      </c>
      <c r="AI186">
        <v>5.34</v>
      </c>
      <c r="AJ186">
        <v>1.4</v>
      </c>
      <c r="AK186">
        <v>6.5</v>
      </c>
      <c r="AL186">
        <v>5</v>
      </c>
      <c r="AM186">
        <v>1.4</v>
      </c>
      <c r="AN186">
        <v>7.13</v>
      </c>
      <c r="AO186">
        <v>5.4</v>
      </c>
      <c r="AP186">
        <v>1.43</v>
      </c>
      <c r="AQ186">
        <v>7.5</v>
      </c>
      <c r="AR186">
        <v>5.5</v>
      </c>
      <c r="AS186">
        <v>1.43</v>
      </c>
      <c r="AT186">
        <v>7.04</v>
      </c>
      <c r="AU186">
        <v>5.21</v>
      </c>
      <c r="AV186">
        <v>1.4</v>
      </c>
      <c r="AW186">
        <v>7.6</v>
      </c>
      <c r="AX186">
        <v>5.7</v>
      </c>
      <c r="AY186">
        <v>1.44</v>
      </c>
      <c r="AZ186">
        <v>1.4</v>
      </c>
      <c r="BA186">
        <v>3</v>
      </c>
      <c r="BB186">
        <v>1.41</v>
      </c>
      <c r="BC186">
        <v>3</v>
      </c>
      <c r="BD186">
        <v>1.41</v>
      </c>
      <c r="BE186">
        <v>3.1</v>
      </c>
      <c r="BF186">
        <v>1.39</v>
      </c>
      <c r="BG186">
        <v>2.92</v>
      </c>
      <c r="BH186">
        <v>1.43</v>
      </c>
      <c r="BI186">
        <v>3.15</v>
      </c>
      <c r="BJ186">
        <v>1.5</v>
      </c>
      <c r="BK186">
        <v>1.78</v>
      </c>
      <c r="BL186">
        <v>2.0299999999999998</v>
      </c>
      <c r="BM186">
        <v>1.82</v>
      </c>
      <c r="BN186">
        <v>2.0699999999999998</v>
      </c>
      <c r="BO186">
        <v>1.86</v>
      </c>
      <c r="BP186">
        <v>2.11</v>
      </c>
      <c r="BQ186">
        <v>1.81</v>
      </c>
      <c r="BR186">
        <v>2.0299999999999998</v>
      </c>
      <c r="BS186">
        <v>1.88</v>
      </c>
      <c r="BT186">
        <v>2.09</v>
      </c>
      <c r="BU186">
        <v>7</v>
      </c>
      <c r="BV186">
        <v>5.25</v>
      </c>
      <c r="BW186">
        <v>1.38</v>
      </c>
      <c r="BX186">
        <v>7.25</v>
      </c>
      <c r="BY186">
        <v>5.25</v>
      </c>
      <c r="BZ186">
        <v>1.39</v>
      </c>
      <c r="CA186">
        <v>7</v>
      </c>
      <c r="CB186">
        <v>5</v>
      </c>
      <c r="CC186">
        <v>1.36</v>
      </c>
      <c r="CD186">
        <v>7.75</v>
      </c>
      <c r="CE186">
        <v>5.5</v>
      </c>
      <c r="CF186">
        <v>1.39</v>
      </c>
      <c r="CG186">
        <v>7</v>
      </c>
      <c r="CH186">
        <v>5</v>
      </c>
      <c r="CI186">
        <v>1.4</v>
      </c>
      <c r="CJ186">
        <v>7.49</v>
      </c>
      <c r="CK186">
        <v>5.33</v>
      </c>
      <c r="CL186">
        <v>1.41</v>
      </c>
      <c r="CM186">
        <v>8.15</v>
      </c>
      <c r="CN186">
        <v>5.8</v>
      </c>
      <c r="CO186">
        <v>1.41</v>
      </c>
      <c r="CP186">
        <v>7.44</v>
      </c>
      <c r="CQ186">
        <v>5.35</v>
      </c>
      <c r="CR186">
        <v>1.38</v>
      </c>
      <c r="CS186">
        <v>8</v>
      </c>
      <c r="CT186">
        <v>5.7</v>
      </c>
      <c r="CU186">
        <v>1.42</v>
      </c>
      <c r="CV186">
        <v>1.4</v>
      </c>
      <c r="CW186">
        <v>3</v>
      </c>
      <c r="CX186">
        <v>1.44</v>
      </c>
      <c r="CY186">
        <v>2.92</v>
      </c>
      <c r="CZ186">
        <v>1.44</v>
      </c>
      <c r="DA186">
        <v>3.18</v>
      </c>
      <c r="DB186">
        <v>1.41</v>
      </c>
      <c r="DC186">
        <v>2.94</v>
      </c>
      <c r="DD186">
        <v>1.47</v>
      </c>
      <c r="DE186">
        <v>3.1</v>
      </c>
      <c r="DF186">
        <v>1.5</v>
      </c>
      <c r="DG186">
        <v>1.85</v>
      </c>
      <c r="DH186">
        <v>2.08</v>
      </c>
      <c r="DI186">
        <v>1.87</v>
      </c>
      <c r="DJ186">
        <v>2.06</v>
      </c>
      <c r="DK186">
        <v>1.92</v>
      </c>
      <c r="DL186">
        <v>2.08</v>
      </c>
      <c r="DM186">
        <v>1.86</v>
      </c>
      <c r="DN186">
        <v>2</v>
      </c>
      <c r="DO186">
        <v>1.9</v>
      </c>
      <c r="DP186">
        <v>2.1</v>
      </c>
    </row>
    <row r="187" spans="1:120" x14ac:dyDescent="0.3">
      <c r="A187" t="s">
        <v>120</v>
      </c>
      <c r="B187" t="s">
        <v>199</v>
      </c>
      <c r="C187" s="1">
        <v>0.82291666666666663</v>
      </c>
      <c r="D187" t="s">
        <v>145</v>
      </c>
      <c r="E187" t="s">
        <v>136</v>
      </c>
      <c r="F187">
        <v>2</v>
      </c>
      <c r="G187">
        <v>2</v>
      </c>
      <c r="H187" t="s">
        <v>125</v>
      </c>
      <c r="I187">
        <v>1</v>
      </c>
      <c r="J187">
        <v>1</v>
      </c>
      <c r="K187" t="s">
        <v>125</v>
      </c>
      <c r="L187" t="s">
        <v>140</v>
      </c>
      <c r="M187">
        <v>20</v>
      </c>
      <c r="N187">
        <v>13</v>
      </c>
      <c r="O187">
        <v>4</v>
      </c>
      <c r="P187">
        <v>4</v>
      </c>
      <c r="Q187">
        <v>9</v>
      </c>
      <c r="R187">
        <v>14</v>
      </c>
      <c r="S187">
        <v>12</v>
      </c>
      <c r="T187">
        <v>3</v>
      </c>
      <c r="U187">
        <v>2</v>
      </c>
      <c r="V187">
        <v>3</v>
      </c>
      <c r="W187">
        <v>0</v>
      </c>
      <c r="X187">
        <v>0</v>
      </c>
      <c r="Y187">
        <v>1.9</v>
      </c>
      <c r="Z187">
        <v>3.8</v>
      </c>
      <c r="AA187">
        <v>3.6</v>
      </c>
      <c r="AB187">
        <v>1.95</v>
      </c>
      <c r="AC187">
        <v>3.8</v>
      </c>
      <c r="AD187">
        <v>3.6</v>
      </c>
      <c r="AE187">
        <v>1.91</v>
      </c>
      <c r="AF187">
        <v>3.8</v>
      </c>
      <c r="AG187">
        <v>3.6</v>
      </c>
      <c r="AH187">
        <v>1.99</v>
      </c>
      <c r="AI187">
        <v>3.91</v>
      </c>
      <c r="AJ187">
        <v>3.62</v>
      </c>
      <c r="AK187">
        <v>1.95</v>
      </c>
      <c r="AL187">
        <v>3.8</v>
      </c>
      <c r="AM187">
        <v>3.6</v>
      </c>
      <c r="AN187">
        <v>1.98</v>
      </c>
      <c r="AO187">
        <v>4.0199999999999996</v>
      </c>
      <c r="AP187">
        <v>3.69</v>
      </c>
      <c r="AQ187">
        <v>1.99</v>
      </c>
      <c r="AR187">
        <v>4.0199999999999996</v>
      </c>
      <c r="AS187">
        <v>3.8</v>
      </c>
      <c r="AT187">
        <v>1.94</v>
      </c>
      <c r="AU187">
        <v>3.86</v>
      </c>
      <c r="AV187">
        <v>3.61</v>
      </c>
      <c r="AW187">
        <v>2</v>
      </c>
      <c r="AX187">
        <v>3.8</v>
      </c>
      <c r="AY187">
        <v>3.75</v>
      </c>
      <c r="AZ187">
        <v>1.57</v>
      </c>
      <c r="BA187">
        <v>2.38</v>
      </c>
      <c r="BB187">
        <v>1.62</v>
      </c>
      <c r="BC187">
        <v>2.39</v>
      </c>
      <c r="BD187">
        <v>1.64</v>
      </c>
      <c r="BE187">
        <v>2.41</v>
      </c>
      <c r="BF187">
        <v>1.59</v>
      </c>
      <c r="BG187">
        <v>2.36</v>
      </c>
      <c r="BH187">
        <v>1.56</v>
      </c>
      <c r="BI187">
        <v>2.2799999999999998</v>
      </c>
      <c r="BJ187">
        <v>-0.5</v>
      </c>
      <c r="BK187">
        <v>1.95</v>
      </c>
      <c r="BL187">
        <v>1.95</v>
      </c>
      <c r="BM187">
        <v>2</v>
      </c>
      <c r="BN187">
        <v>1.91</v>
      </c>
      <c r="BO187">
        <v>2</v>
      </c>
      <c r="BP187">
        <v>1.97</v>
      </c>
      <c r="BQ187">
        <v>1.94</v>
      </c>
      <c r="BR187">
        <v>1.91</v>
      </c>
      <c r="BS187">
        <v>2</v>
      </c>
      <c r="BT187">
        <v>1.96</v>
      </c>
      <c r="BU187">
        <v>1.85</v>
      </c>
      <c r="BV187">
        <v>3.7</v>
      </c>
      <c r="BW187">
        <v>4.0999999999999996</v>
      </c>
      <c r="BX187">
        <v>1.9</v>
      </c>
      <c r="BY187">
        <v>3.6</v>
      </c>
      <c r="BZ187">
        <v>4</v>
      </c>
      <c r="CA187">
        <v>1.87</v>
      </c>
      <c r="CB187">
        <v>3.6</v>
      </c>
      <c r="CC187">
        <v>3.9</v>
      </c>
      <c r="CD187">
        <v>1.86</v>
      </c>
      <c r="CE187">
        <v>3.89</v>
      </c>
      <c r="CF187">
        <v>4.25</v>
      </c>
      <c r="CG187">
        <v>1.91</v>
      </c>
      <c r="CH187">
        <v>3.6</v>
      </c>
      <c r="CI187">
        <v>3.9</v>
      </c>
      <c r="CJ187">
        <v>1.86</v>
      </c>
      <c r="CK187">
        <v>3.78</v>
      </c>
      <c r="CL187">
        <v>4.37</v>
      </c>
      <c r="CM187">
        <v>2.08</v>
      </c>
      <c r="CN187">
        <v>3.89</v>
      </c>
      <c r="CO187">
        <v>4.37</v>
      </c>
      <c r="CP187">
        <v>1.89</v>
      </c>
      <c r="CQ187">
        <v>3.73</v>
      </c>
      <c r="CR187">
        <v>4.0599999999999996</v>
      </c>
      <c r="CS187">
        <v>1.91</v>
      </c>
      <c r="CT187">
        <v>3.9</v>
      </c>
      <c r="CU187">
        <v>4.4000000000000004</v>
      </c>
      <c r="CV187">
        <v>1.62</v>
      </c>
      <c r="CW187">
        <v>2.2999999999999998</v>
      </c>
      <c r="CX187">
        <v>1.67</v>
      </c>
      <c r="CY187">
        <v>2.2999999999999998</v>
      </c>
      <c r="CZ187">
        <v>1.7</v>
      </c>
      <c r="DA187">
        <v>2.41</v>
      </c>
      <c r="DB187">
        <v>1.63</v>
      </c>
      <c r="DC187">
        <v>2.29</v>
      </c>
      <c r="DD187">
        <v>1.7</v>
      </c>
      <c r="DE187">
        <v>2.4</v>
      </c>
      <c r="DF187">
        <v>-0.5</v>
      </c>
      <c r="DG187">
        <v>1.87</v>
      </c>
      <c r="DH187">
        <v>2.06</v>
      </c>
      <c r="DI187">
        <v>1.87</v>
      </c>
      <c r="DJ187">
        <v>2.06</v>
      </c>
      <c r="DK187">
        <v>1.9</v>
      </c>
      <c r="DL187">
        <v>2.06</v>
      </c>
      <c r="DM187">
        <v>1.86</v>
      </c>
      <c r="DN187">
        <v>1.99</v>
      </c>
      <c r="DO187">
        <v>1.91</v>
      </c>
      <c r="DP187">
        <v>2.08</v>
      </c>
    </row>
    <row r="188" spans="1:120" x14ac:dyDescent="0.3">
      <c r="A188" t="s">
        <v>120</v>
      </c>
      <c r="B188" t="s">
        <v>199</v>
      </c>
      <c r="C188" s="1">
        <v>0.82291666666666663</v>
      </c>
      <c r="D188" t="s">
        <v>128</v>
      </c>
      <c r="E188" t="s">
        <v>151</v>
      </c>
      <c r="F188">
        <v>2</v>
      </c>
      <c r="G188">
        <v>0</v>
      </c>
      <c r="H188" t="s">
        <v>124</v>
      </c>
      <c r="I188">
        <v>1</v>
      </c>
      <c r="J188">
        <v>0</v>
      </c>
      <c r="K188" t="s">
        <v>124</v>
      </c>
      <c r="L188" t="s">
        <v>173</v>
      </c>
      <c r="M188">
        <v>9</v>
      </c>
      <c r="N188">
        <v>20</v>
      </c>
      <c r="O188">
        <v>6</v>
      </c>
      <c r="P188">
        <v>5</v>
      </c>
      <c r="Q188">
        <v>9</v>
      </c>
      <c r="R188">
        <v>5</v>
      </c>
      <c r="S188">
        <v>4</v>
      </c>
      <c r="T188">
        <v>7</v>
      </c>
      <c r="U188">
        <v>4</v>
      </c>
      <c r="V188">
        <v>4</v>
      </c>
      <c r="W188">
        <v>0</v>
      </c>
      <c r="X188">
        <v>0</v>
      </c>
      <c r="Y188">
        <v>6.5</v>
      </c>
      <c r="Z188">
        <v>4.75</v>
      </c>
      <c r="AA188">
        <v>1.42</v>
      </c>
      <c r="AB188">
        <v>6.75</v>
      </c>
      <c r="AC188">
        <v>5</v>
      </c>
      <c r="AD188">
        <v>1.43</v>
      </c>
      <c r="AE188">
        <v>7</v>
      </c>
      <c r="AF188">
        <v>5</v>
      </c>
      <c r="AG188">
        <v>1.36</v>
      </c>
      <c r="AH188">
        <v>7.1</v>
      </c>
      <c r="AI188">
        <v>5.2</v>
      </c>
      <c r="AJ188">
        <v>1.42</v>
      </c>
      <c r="AK188">
        <v>6.5</v>
      </c>
      <c r="AL188">
        <v>4.8</v>
      </c>
      <c r="AM188">
        <v>1.44</v>
      </c>
      <c r="AN188">
        <v>6.78</v>
      </c>
      <c r="AO188">
        <v>5.2</v>
      </c>
      <c r="AP188">
        <v>1.46</v>
      </c>
      <c r="AQ188">
        <v>7.83</v>
      </c>
      <c r="AR188">
        <v>5.4</v>
      </c>
      <c r="AS188">
        <v>1.46</v>
      </c>
      <c r="AT188">
        <v>6.87</v>
      </c>
      <c r="AU188">
        <v>5.0199999999999996</v>
      </c>
      <c r="AV188">
        <v>1.41</v>
      </c>
      <c r="AW188">
        <v>7.4</v>
      </c>
      <c r="AX188">
        <v>5.0999999999999996</v>
      </c>
      <c r="AY188">
        <v>1.43</v>
      </c>
      <c r="AZ188">
        <v>1.44</v>
      </c>
      <c r="BA188">
        <v>2.75</v>
      </c>
      <c r="BB188">
        <v>1.47</v>
      </c>
      <c r="BC188">
        <v>2.76</v>
      </c>
      <c r="BD188">
        <v>1.47</v>
      </c>
      <c r="BE188">
        <v>2.95</v>
      </c>
      <c r="BF188">
        <v>1.43</v>
      </c>
      <c r="BG188">
        <v>2.75</v>
      </c>
      <c r="BH188">
        <v>1.42</v>
      </c>
      <c r="BI188">
        <v>2.72</v>
      </c>
      <c r="BJ188">
        <v>1.25</v>
      </c>
      <c r="BK188">
        <v>2.02</v>
      </c>
      <c r="BL188">
        <v>1.88</v>
      </c>
      <c r="BM188">
        <v>2.02</v>
      </c>
      <c r="BN188">
        <v>1.88</v>
      </c>
      <c r="BO188">
        <v>2.02</v>
      </c>
      <c r="BP188">
        <v>1.91</v>
      </c>
      <c r="BQ188">
        <v>1.95</v>
      </c>
      <c r="BR188">
        <v>1.86</v>
      </c>
      <c r="BS188">
        <v>1.96</v>
      </c>
      <c r="BT188">
        <v>1.83</v>
      </c>
      <c r="BU188">
        <v>7</v>
      </c>
      <c r="BV188">
        <v>5</v>
      </c>
      <c r="BW188">
        <v>1.4</v>
      </c>
      <c r="BX188">
        <v>6.75</v>
      </c>
      <c r="BY188">
        <v>5.25</v>
      </c>
      <c r="BZ188">
        <v>1.41</v>
      </c>
      <c r="CA188">
        <v>7.5</v>
      </c>
      <c r="CB188">
        <v>5</v>
      </c>
      <c r="CC188">
        <v>1.33</v>
      </c>
      <c r="CD188">
        <v>7.55</v>
      </c>
      <c r="CE188">
        <v>5.28</v>
      </c>
      <c r="CF188">
        <v>1.4</v>
      </c>
      <c r="CG188">
        <v>7.5</v>
      </c>
      <c r="CH188">
        <v>4.8</v>
      </c>
      <c r="CI188">
        <v>1.4</v>
      </c>
      <c r="CJ188">
        <v>7.52</v>
      </c>
      <c r="CK188">
        <v>5.13</v>
      </c>
      <c r="CL188">
        <v>1.43</v>
      </c>
      <c r="CM188">
        <v>8.5</v>
      </c>
      <c r="CN188">
        <v>5.5</v>
      </c>
      <c r="CO188">
        <v>1.43</v>
      </c>
      <c r="CP188">
        <v>7.45</v>
      </c>
      <c r="CQ188">
        <v>5.18</v>
      </c>
      <c r="CR188">
        <v>1.39</v>
      </c>
      <c r="CS188">
        <v>8.1999999999999993</v>
      </c>
      <c r="CT188">
        <v>5.6</v>
      </c>
      <c r="CU188">
        <v>1.42</v>
      </c>
      <c r="CV188">
        <v>1.44</v>
      </c>
      <c r="CW188">
        <v>2.75</v>
      </c>
      <c r="CX188">
        <v>1.51</v>
      </c>
      <c r="CY188">
        <v>2.67</v>
      </c>
      <c r="CZ188">
        <v>1.52</v>
      </c>
      <c r="DA188">
        <v>2.78</v>
      </c>
      <c r="DB188">
        <v>1.48</v>
      </c>
      <c r="DC188">
        <v>2.68</v>
      </c>
      <c r="DD188">
        <v>1.52</v>
      </c>
      <c r="DE188">
        <v>2.92</v>
      </c>
      <c r="DF188">
        <v>1.5</v>
      </c>
      <c r="DG188">
        <v>1.78</v>
      </c>
      <c r="DH188">
        <v>2.0299999999999998</v>
      </c>
      <c r="DI188">
        <v>1.81</v>
      </c>
      <c r="DJ188">
        <v>2.09</v>
      </c>
      <c r="DK188">
        <v>1.92</v>
      </c>
      <c r="DL188">
        <v>2.11</v>
      </c>
      <c r="DM188">
        <v>1.82</v>
      </c>
      <c r="DN188">
        <v>2.0299999999999998</v>
      </c>
      <c r="DO188">
        <v>1.86</v>
      </c>
      <c r="DP188">
        <v>2.13</v>
      </c>
    </row>
    <row r="189" spans="1:120" x14ac:dyDescent="0.3">
      <c r="A189" t="s">
        <v>120</v>
      </c>
      <c r="B189" t="s">
        <v>199</v>
      </c>
      <c r="C189" s="1">
        <v>0.83333333333333337</v>
      </c>
      <c r="D189" t="s">
        <v>122</v>
      </c>
      <c r="E189" t="s">
        <v>138</v>
      </c>
      <c r="F189">
        <v>0</v>
      </c>
      <c r="G189">
        <v>2</v>
      </c>
      <c r="H189" t="s">
        <v>130</v>
      </c>
      <c r="I189">
        <v>0</v>
      </c>
      <c r="J189">
        <v>2</v>
      </c>
      <c r="K189" t="s">
        <v>130</v>
      </c>
      <c r="L189" t="s">
        <v>137</v>
      </c>
      <c r="M189">
        <v>10</v>
      </c>
      <c r="N189">
        <v>12</v>
      </c>
      <c r="O189">
        <v>0</v>
      </c>
      <c r="P189">
        <v>4</v>
      </c>
      <c r="Q189">
        <v>13</v>
      </c>
      <c r="R189">
        <v>8</v>
      </c>
      <c r="S189">
        <v>2</v>
      </c>
      <c r="T189">
        <v>3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3.5</v>
      </c>
      <c r="AA189">
        <v>2.5499999999999998</v>
      </c>
      <c r="AB189">
        <v>2.65</v>
      </c>
      <c r="AC189">
        <v>3.6</v>
      </c>
      <c r="AD189">
        <v>2.5</v>
      </c>
      <c r="AE189">
        <v>2.7</v>
      </c>
      <c r="AF189">
        <v>3.5</v>
      </c>
      <c r="AG189">
        <v>2.4500000000000002</v>
      </c>
      <c r="AH189">
        <v>2.72</v>
      </c>
      <c r="AI189">
        <v>3.68</v>
      </c>
      <c r="AJ189">
        <v>2.54</v>
      </c>
      <c r="AK189">
        <v>2.75</v>
      </c>
      <c r="AL189">
        <v>3.6</v>
      </c>
      <c r="AM189">
        <v>2.4</v>
      </c>
      <c r="AN189">
        <v>2.74</v>
      </c>
      <c r="AO189">
        <v>3.81</v>
      </c>
      <c r="AP189">
        <v>2.5099999999999998</v>
      </c>
      <c r="AQ189">
        <v>2.8</v>
      </c>
      <c r="AR189">
        <v>3.81</v>
      </c>
      <c r="AS189">
        <v>2.5499999999999998</v>
      </c>
      <c r="AT189">
        <v>2.7</v>
      </c>
      <c r="AU189">
        <v>3.61</v>
      </c>
      <c r="AV189">
        <v>2.4900000000000002</v>
      </c>
      <c r="AW189">
        <v>2.82</v>
      </c>
      <c r="AX189">
        <v>3.7</v>
      </c>
      <c r="AY189">
        <v>2.6</v>
      </c>
      <c r="AZ189">
        <v>1.62</v>
      </c>
      <c r="BA189">
        <v>2.2999999999999998</v>
      </c>
      <c r="BB189">
        <v>1.65</v>
      </c>
      <c r="BC189">
        <v>2.33</v>
      </c>
      <c r="BD189">
        <v>1.68</v>
      </c>
      <c r="BE189">
        <v>2.36</v>
      </c>
      <c r="BF189">
        <v>1.63</v>
      </c>
      <c r="BG189">
        <v>2.2799999999999998</v>
      </c>
      <c r="BH189">
        <v>1.65</v>
      </c>
      <c r="BI189">
        <v>2.38</v>
      </c>
      <c r="BJ189">
        <v>0</v>
      </c>
      <c r="BK189">
        <v>2.02</v>
      </c>
      <c r="BL189">
        <v>1.88</v>
      </c>
      <c r="BM189">
        <v>2.02</v>
      </c>
      <c r="BN189">
        <v>1.88</v>
      </c>
      <c r="BO189">
        <v>2.0499999999999998</v>
      </c>
      <c r="BP189">
        <v>1.9</v>
      </c>
      <c r="BQ189">
        <v>2.0099999999999998</v>
      </c>
      <c r="BR189">
        <v>1.85</v>
      </c>
      <c r="BS189">
        <v>2.06</v>
      </c>
      <c r="BT189">
        <v>1.91</v>
      </c>
      <c r="BU189">
        <v>2.7</v>
      </c>
      <c r="BV189">
        <v>3.5</v>
      </c>
      <c r="BW189">
        <v>2.5499999999999998</v>
      </c>
      <c r="BX189">
        <v>2.8</v>
      </c>
      <c r="BY189">
        <v>3.5</v>
      </c>
      <c r="BZ189">
        <v>2.4500000000000002</v>
      </c>
      <c r="CA189">
        <v>2.75</v>
      </c>
      <c r="CB189">
        <v>3.5</v>
      </c>
      <c r="CC189">
        <v>2.5</v>
      </c>
      <c r="CD189">
        <v>2.71</v>
      </c>
      <c r="CE189">
        <v>3.6</v>
      </c>
      <c r="CF189">
        <v>2.58</v>
      </c>
      <c r="CG189">
        <v>2.75</v>
      </c>
      <c r="CH189">
        <v>3.4</v>
      </c>
      <c r="CI189">
        <v>2.5</v>
      </c>
      <c r="CJ189">
        <v>2.74</v>
      </c>
      <c r="CK189">
        <v>3.56</v>
      </c>
      <c r="CL189">
        <v>2.59</v>
      </c>
      <c r="CM189">
        <v>2.87</v>
      </c>
      <c r="CN189">
        <v>3.68</v>
      </c>
      <c r="CO189">
        <v>2.59</v>
      </c>
      <c r="CP189">
        <v>2.74</v>
      </c>
      <c r="CQ189">
        <v>3.53</v>
      </c>
      <c r="CR189">
        <v>2.52</v>
      </c>
      <c r="CS189">
        <v>2.76</v>
      </c>
      <c r="CT189">
        <v>3.75</v>
      </c>
      <c r="CU189">
        <v>2.66</v>
      </c>
      <c r="CV189">
        <v>1.67</v>
      </c>
      <c r="CW189">
        <v>2.2000000000000002</v>
      </c>
      <c r="CX189">
        <v>1.69</v>
      </c>
      <c r="CY189">
        <v>2.27</v>
      </c>
      <c r="CZ189">
        <v>1.69</v>
      </c>
      <c r="DA189">
        <v>2.3199999999999998</v>
      </c>
      <c r="DB189">
        <v>1.66</v>
      </c>
      <c r="DC189">
        <v>2.25</v>
      </c>
      <c r="DD189">
        <v>1.71</v>
      </c>
      <c r="DE189">
        <v>2.4</v>
      </c>
      <c r="DF189">
        <v>0</v>
      </c>
      <c r="DG189">
        <v>2.02</v>
      </c>
      <c r="DH189">
        <v>1.91</v>
      </c>
      <c r="DI189">
        <v>2.0099999999999998</v>
      </c>
      <c r="DJ189">
        <v>1.91</v>
      </c>
      <c r="DK189">
        <v>2.0499999999999998</v>
      </c>
      <c r="DL189">
        <v>1.91</v>
      </c>
      <c r="DM189">
        <v>2.0099999999999998</v>
      </c>
      <c r="DN189">
        <v>1.86</v>
      </c>
      <c r="DO189">
        <v>2.04</v>
      </c>
      <c r="DP189">
        <v>1.95</v>
      </c>
    </row>
    <row r="190" spans="1:120" x14ac:dyDescent="0.3">
      <c r="A190" t="s">
        <v>120</v>
      </c>
      <c r="B190" s="2">
        <v>45658</v>
      </c>
      <c r="C190" s="1">
        <v>0.72916666666666663</v>
      </c>
      <c r="D190" t="s">
        <v>148</v>
      </c>
      <c r="E190" t="s">
        <v>132</v>
      </c>
      <c r="F190">
        <v>1</v>
      </c>
      <c r="G190">
        <v>3</v>
      </c>
      <c r="H190" t="s">
        <v>130</v>
      </c>
      <c r="I190">
        <v>1</v>
      </c>
      <c r="J190">
        <v>1</v>
      </c>
      <c r="K190" t="s">
        <v>125</v>
      </c>
      <c r="L190" t="s">
        <v>171</v>
      </c>
      <c r="M190">
        <v>5</v>
      </c>
      <c r="N190">
        <v>14</v>
      </c>
      <c r="O190">
        <v>2</v>
      </c>
      <c r="P190">
        <v>5</v>
      </c>
      <c r="Q190">
        <v>6</v>
      </c>
      <c r="R190">
        <v>8</v>
      </c>
      <c r="S190">
        <v>4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6.5</v>
      </c>
      <c r="Z190">
        <v>4.75</v>
      </c>
      <c r="AA190">
        <v>1.44</v>
      </c>
      <c r="AB190">
        <v>6.25</v>
      </c>
      <c r="AC190">
        <v>4.75</v>
      </c>
      <c r="AD190">
        <v>1.49</v>
      </c>
      <c r="AE190">
        <v>7</v>
      </c>
      <c r="AF190">
        <v>5</v>
      </c>
      <c r="AG190">
        <v>1.4</v>
      </c>
      <c r="AH190">
        <v>6.98</v>
      </c>
      <c r="AI190">
        <v>4.93</v>
      </c>
      <c r="AJ190">
        <v>1.44</v>
      </c>
      <c r="AK190">
        <v>6</v>
      </c>
      <c r="AL190">
        <v>4.5999999999999996</v>
      </c>
      <c r="AM190">
        <v>1.44</v>
      </c>
      <c r="AN190">
        <v>6.82</v>
      </c>
      <c r="AO190">
        <v>4.9400000000000004</v>
      </c>
      <c r="AP190">
        <v>1.48</v>
      </c>
      <c r="AQ190">
        <v>7.2</v>
      </c>
      <c r="AR190">
        <v>5</v>
      </c>
      <c r="AS190">
        <v>1.49</v>
      </c>
      <c r="AT190">
        <v>6.67</v>
      </c>
      <c r="AU190">
        <v>4.8</v>
      </c>
      <c r="AV190">
        <v>1.44</v>
      </c>
      <c r="AW190">
        <v>7.4</v>
      </c>
      <c r="AX190">
        <v>5.0999999999999996</v>
      </c>
      <c r="AY190">
        <v>1.49</v>
      </c>
      <c r="AZ190">
        <v>1.53</v>
      </c>
      <c r="BA190">
        <v>2.5</v>
      </c>
      <c r="BB190">
        <v>1.57</v>
      </c>
      <c r="BC190">
        <v>2.5099999999999998</v>
      </c>
      <c r="BD190">
        <v>1.57</v>
      </c>
      <c r="BE190">
        <v>2.63</v>
      </c>
      <c r="BF190">
        <v>1.54</v>
      </c>
      <c r="BG190">
        <v>2.46</v>
      </c>
      <c r="BH190">
        <v>1.58</v>
      </c>
      <c r="BI190">
        <v>2.62</v>
      </c>
      <c r="BJ190">
        <v>1.25</v>
      </c>
      <c r="BK190">
        <v>1.92</v>
      </c>
      <c r="BL190">
        <v>2.0099999999999998</v>
      </c>
      <c r="BM190">
        <v>1.93</v>
      </c>
      <c r="BN190">
        <v>1.97</v>
      </c>
      <c r="BO190">
        <v>1.93</v>
      </c>
      <c r="BP190">
        <v>2.0099999999999998</v>
      </c>
      <c r="BQ190">
        <v>1.88</v>
      </c>
      <c r="BR190">
        <v>1.94</v>
      </c>
      <c r="BS190">
        <v>1.96</v>
      </c>
      <c r="BT190">
        <v>2.02</v>
      </c>
      <c r="BU190">
        <v>5.5</v>
      </c>
      <c r="BV190">
        <v>4.33</v>
      </c>
      <c r="BW190">
        <v>1.55</v>
      </c>
      <c r="BX190">
        <v>5.5</v>
      </c>
      <c r="BY190">
        <v>4.5</v>
      </c>
      <c r="BZ190">
        <v>1.55</v>
      </c>
      <c r="CA190">
        <v>5.5</v>
      </c>
      <c r="CB190">
        <v>4.33</v>
      </c>
      <c r="CC190">
        <v>1.5</v>
      </c>
      <c r="CD190">
        <v>6</v>
      </c>
      <c r="CE190">
        <v>4.5</v>
      </c>
      <c r="CF190">
        <v>1.56</v>
      </c>
      <c r="CG190">
        <v>5.5</v>
      </c>
      <c r="CH190">
        <v>4.33</v>
      </c>
      <c r="CI190">
        <v>1.55</v>
      </c>
      <c r="CJ190">
        <v>6</v>
      </c>
      <c r="CK190">
        <v>4.45</v>
      </c>
      <c r="CL190">
        <v>1.57</v>
      </c>
      <c r="CM190">
        <v>7.16</v>
      </c>
      <c r="CN190">
        <v>4.9000000000000004</v>
      </c>
      <c r="CO190">
        <v>1.57</v>
      </c>
      <c r="CP190">
        <v>5.87</v>
      </c>
      <c r="CQ190">
        <v>4.46</v>
      </c>
      <c r="CR190">
        <v>1.54</v>
      </c>
      <c r="CS190">
        <v>6.4</v>
      </c>
      <c r="CT190">
        <v>4.7</v>
      </c>
      <c r="CU190">
        <v>1.57</v>
      </c>
      <c r="CV190">
        <v>1.67</v>
      </c>
      <c r="CW190">
        <v>2.2000000000000002</v>
      </c>
      <c r="CX190">
        <v>1.68</v>
      </c>
      <c r="CY190">
        <v>2.2799999999999998</v>
      </c>
      <c r="CZ190">
        <v>1.68</v>
      </c>
      <c r="DA190">
        <v>2.4700000000000002</v>
      </c>
      <c r="DB190">
        <v>1.65</v>
      </c>
      <c r="DC190">
        <v>2.27</v>
      </c>
      <c r="DD190">
        <v>1.73</v>
      </c>
      <c r="DE190">
        <v>2.36</v>
      </c>
      <c r="DF190">
        <v>1.25</v>
      </c>
      <c r="DG190">
        <v>1.68</v>
      </c>
      <c r="DH190">
        <v>2.15</v>
      </c>
      <c r="DI190">
        <v>1.71</v>
      </c>
      <c r="DJ190">
        <v>2.2599999999999998</v>
      </c>
      <c r="DK190">
        <v>1.9</v>
      </c>
      <c r="DL190">
        <v>2.2599999999999998</v>
      </c>
      <c r="DM190">
        <v>1.73</v>
      </c>
      <c r="DN190">
        <v>2.14</v>
      </c>
      <c r="DO190">
        <v>1.75</v>
      </c>
      <c r="DP190">
        <v>2.2999999999999998</v>
      </c>
    </row>
    <row r="191" spans="1:120" x14ac:dyDescent="0.3">
      <c r="A191" t="s">
        <v>120</v>
      </c>
      <c r="B191" s="2">
        <v>45748</v>
      </c>
      <c r="C191" s="1">
        <v>0.52083333333333337</v>
      </c>
      <c r="D191" t="s">
        <v>156</v>
      </c>
      <c r="E191" t="s">
        <v>138</v>
      </c>
      <c r="F191">
        <v>1</v>
      </c>
      <c r="G191">
        <v>2</v>
      </c>
      <c r="H191" t="s">
        <v>130</v>
      </c>
      <c r="I191">
        <v>1</v>
      </c>
      <c r="J191">
        <v>2</v>
      </c>
      <c r="K191" t="s">
        <v>130</v>
      </c>
      <c r="L191" t="s">
        <v>176</v>
      </c>
      <c r="M191">
        <v>13</v>
      </c>
      <c r="N191">
        <v>14</v>
      </c>
      <c r="O191">
        <v>4</v>
      </c>
      <c r="P191">
        <v>4</v>
      </c>
      <c r="Q191">
        <v>11</v>
      </c>
      <c r="R191">
        <v>15</v>
      </c>
      <c r="S191">
        <v>9</v>
      </c>
      <c r="T191">
        <v>10</v>
      </c>
      <c r="U191">
        <v>1</v>
      </c>
      <c r="V191">
        <v>4</v>
      </c>
      <c r="W191">
        <v>0</v>
      </c>
      <c r="X191">
        <v>0</v>
      </c>
      <c r="Y191">
        <v>2.88</v>
      </c>
      <c r="Z191">
        <v>3.8</v>
      </c>
      <c r="AA191">
        <v>2.25</v>
      </c>
      <c r="AB191">
        <v>2.85</v>
      </c>
      <c r="AC191">
        <v>3.9</v>
      </c>
      <c r="AD191">
        <v>2.25</v>
      </c>
      <c r="AE191">
        <v>2.9</v>
      </c>
      <c r="AF191">
        <v>3.9</v>
      </c>
      <c r="AG191">
        <v>2.2000000000000002</v>
      </c>
      <c r="AH191">
        <v>2.97</v>
      </c>
      <c r="AI191">
        <v>4.0599999999999996</v>
      </c>
      <c r="AJ191">
        <v>2.2200000000000002</v>
      </c>
      <c r="AK191">
        <v>2.8</v>
      </c>
      <c r="AL191">
        <v>3.9</v>
      </c>
      <c r="AM191">
        <v>2.25</v>
      </c>
      <c r="AN191">
        <v>3</v>
      </c>
      <c r="AO191">
        <v>4.0599999999999996</v>
      </c>
      <c r="AP191">
        <v>2.2400000000000002</v>
      </c>
      <c r="AQ191">
        <v>3</v>
      </c>
      <c r="AR191">
        <v>4.0599999999999996</v>
      </c>
      <c r="AS191">
        <v>2.31</v>
      </c>
      <c r="AT191">
        <v>2.88</v>
      </c>
      <c r="AU191">
        <v>3.94</v>
      </c>
      <c r="AV191">
        <v>2.2400000000000002</v>
      </c>
      <c r="AW191">
        <v>3.05</v>
      </c>
      <c r="AX191">
        <v>4.0999999999999996</v>
      </c>
      <c r="AY191">
        <v>2.2999999999999998</v>
      </c>
      <c r="AZ191">
        <v>1.33</v>
      </c>
      <c r="BA191">
        <v>3.4</v>
      </c>
      <c r="BB191">
        <v>1.35</v>
      </c>
      <c r="BC191">
        <v>3.29</v>
      </c>
      <c r="BD191">
        <v>1.35</v>
      </c>
      <c r="BE191">
        <v>3.47</v>
      </c>
      <c r="BF191">
        <v>1.32</v>
      </c>
      <c r="BG191">
        <v>3.31</v>
      </c>
      <c r="BH191">
        <v>1.37</v>
      </c>
      <c r="BI191">
        <v>3.6</v>
      </c>
      <c r="BJ191">
        <v>0.25</v>
      </c>
      <c r="BK191">
        <v>1.9</v>
      </c>
      <c r="BL191">
        <v>2</v>
      </c>
      <c r="BM191">
        <v>1.94</v>
      </c>
      <c r="BN191">
        <v>1.96</v>
      </c>
      <c r="BO191">
        <v>1.94</v>
      </c>
      <c r="BP191">
        <v>2.0299999999999998</v>
      </c>
      <c r="BQ191">
        <v>1.87</v>
      </c>
      <c r="BR191">
        <v>1.95</v>
      </c>
      <c r="BS191">
        <v>1.96</v>
      </c>
      <c r="BT191">
        <v>2.02</v>
      </c>
      <c r="BU191">
        <v>3.9</v>
      </c>
      <c r="BV191">
        <v>4.5</v>
      </c>
      <c r="BW191">
        <v>1.73</v>
      </c>
      <c r="BX191">
        <v>3.8</v>
      </c>
      <c r="BY191">
        <v>4.4000000000000004</v>
      </c>
      <c r="BZ191">
        <v>1.77</v>
      </c>
      <c r="CA191">
        <v>3.9</v>
      </c>
      <c r="CB191">
        <v>4.5999999999999996</v>
      </c>
      <c r="CC191">
        <v>1.75</v>
      </c>
      <c r="CD191">
        <v>3.9</v>
      </c>
      <c r="CE191">
        <v>4.6900000000000004</v>
      </c>
      <c r="CF191">
        <v>1.79</v>
      </c>
      <c r="CG191">
        <v>3.8</v>
      </c>
      <c r="CH191">
        <v>4.4000000000000004</v>
      </c>
      <c r="CI191">
        <v>1.75</v>
      </c>
      <c r="CJ191">
        <v>3.77</v>
      </c>
      <c r="CK191">
        <v>4.62</v>
      </c>
      <c r="CL191">
        <v>1.82</v>
      </c>
      <c r="CM191">
        <v>3.9</v>
      </c>
      <c r="CN191">
        <v>4.6900000000000004</v>
      </c>
      <c r="CO191">
        <v>1.94</v>
      </c>
      <c r="CP191">
        <v>3.81</v>
      </c>
      <c r="CQ191">
        <v>4.5</v>
      </c>
      <c r="CR191">
        <v>1.79</v>
      </c>
      <c r="CS191">
        <v>4</v>
      </c>
      <c r="CT191">
        <v>4.8</v>
      </c>
      <c r="CU191">
        <v>1.82</v>
      </c>
      <c r="CV191">
        <v>1.25</v>
      </c>
      <c r="CW191">
        <v>4</v>
      </c>
      <c r="CX191">
        <v>1.35</v>
      </c>
      <c r="CY191">
        <v>3.29</v>
      </c>
      <c r="CZ191">
        <v>1.3</v>
      </c>
      <c r="DA191">
        <v>4.1399999999999997</v>
      </c>
      <c r="DB191">
        <v>1.27</v>
      </c>
      <c r="DC191">
        <v>3.82</v>
      </c>
      <c r="DD191">
        <v>1.3</v>
      </c>
      <c r="DE191">
        <v>4.2</v>
      </c>
      <c r="DF191">
        <v>0.75</v>
      </c>
      <c r="DG191">
        <v>1.95</v>
      </c>
      <c r="DH191">
        <v>1.98</v>
      </c>
      <c r="DI191">
        <v>1.94</v>
      </c>
      <c r="DJ191">
        <v>1.98</v>
      </c>
      <c r="DK191">
        <v>1.95</v>
      </c>
      <c r="DL191">
        <v>2.02</v>
      </c>
      <c r="DM191">
        <v>1.88</v>
      </c>
      <c r="DN191">
        <v>1.97</v>
      </c>
      <c r="DO191">
        <v>1.97</v>
      </c>
      <c r="DP191">
        <v>2.02</v>
      </c>
    </row>
    <row r="192" spans="1:120" x14ac:dyDescent="0.3">
      <c r="A192" t="s">
        <v>120</v>
      </c>
      <c r="B192" s="2">
        <v>45748</v>
      </c>
      <c r="C192" s="1">
        <v>0.625</v>
      </c>
      <c r="D192" t="s">
        <v>145</v>
      </c>
      <c r="E192" t="s">
        <v>155</v>
      </c>
      <c r="F192">
        <v>2</v>
      </c>
      <c r="G192">
        <v>1</v>
      </c>
      <c r="H192" t="s">
        <v>124</v>
      </c>
      <c r="I192">
        <v>0</v>
      </c>
      <c r="J192">
        <v>0</v>
      </c>
      <c r="K192" t="s">
        <v>125</v>
      </c>
      <c r="L192" t="s">
        <v>134</v>
      </c>
      <c r="M192">
        <v>13</v>
      </c>
      <c r="N192">
        <v>4</v>
      </c>
      <c r="O192">
        <v>5</v>
      </c>
      <c r="P192">
        <v>2</v>
      </c>
      <c r="Q192">
        <v>10</v>
      </c>
      <c r="R192">
        <v>11</v>
      </c>
      <c r="S192">
        <v>7</v>
      </c>
      <c r="T192">
        <v>2</v>
      </c>
      <c r="U192">
        <v>0</v>
      </c>
      <c r="V192">
        <v>1</v>
      </c>
      <c r="W192">
        <v>0</v>
      </c>
      <c r="X192">
        <v>0</v>
      </c>
      <c r="Y192">
        <v>1.33</v>
      </c>
      <c r="Z192">
        <v>5.5</v>
      </c>
      <c r="AA192">
        <v>8.5</v>
      </c>
      <c r="AB192">
        <v>1.33</v>
      </c>
      <c r="AC192">
        <v>5.5</v>
      </c>
      <c r="AD192">
        <v>9</v>
      </c>
      <c r="AE192">
        <v>1.3</v>
      </c>
      <c r="AF192">
        <v>5.5</v>
      </c>
      <c r="AG192">
        <v>10</v>
      </c>
      <c r="AH192">
        <v>1.32</v>
      </c>
      <c r="AI192">
        <v>5.64</v>
      </c>
      <c r="AJ192">
        <v>9.41</v>
      </c>
      <c r="AK192">
        <v>1.33</v>
      </c>
      <c r="AL192">
        <v>5.5</v>
      </c>
      <c r="AM192">
        <v>8.5</v>
      </c>
      <c r="AN192">
        <v>1.34</v>
      </c>
      <c r="AO192">
        <v>5.86</v>
      </c>
      <c r="AP192">
        <v>9.35</v>
      </c>
      <c r="AQ192">
        <v>1.35</v>
      </c>
      <c r="AR192">
        <v>5.86</v>
      </c>
      <c r="AS192">
        <v>10.5</v>
      </c>
      <c r="AT192">
        <v>1.32</v>
      </c>
      <c r="AU192">
        <v>5.51</v>
      </c>
      <c r="AV192">
        <v>9.16</v>
      </c>
      <c r="AW192">
        <v>1.35</v>
      </c>
      <c r="AX192">
        <v>5.9</v>
      </c>
      <c r="AY192">
        <v>10.5</v>
      </c>
      <c r="AZ192">
        <v>1.5</v>
      </c>
      <c r="BA192">
        <v>2.63</v>
      </c>
      <c r="BB192">
        <v>1.5</v>
      </c>
      <c r="BC192">
        <v>2.65</v>
      </c>
      <c r="BD192">
        <v>1.53</v>
      </c>
      <c r="BE192">
        <v>2.75</v>
      </c>
      <c r="BF192">
        <v>1.5</v>
      </c>
      <c r="BG192">
        <v>2.58</v>
      </c>
      <c r="BH192">
        <v>1.53</v>
      </c>
      <c r="BI192">
        <v>2.78</v>
      </c>
      <c r="BJ192">
        <v>-1.5</v>
      </c>
      <c r="BK192">
        <v>1.92</v>
      </c>
      <c r="BL192">
        <v>1.98</v>
      </c>
      <c r="BM192">
        <v>1.91</v>
      </c>
      <c r="BN192">
        <v>2</v>
      </c>
      <c r="BO192">
        <v>1.94</v>
      </c>
      <c r="BP192">
        <v>1.99</v>
      </c>
      <c r="BQ192">
        <v>1.9</v>
      </c>
      <c r="BR192">
        <v>1.95</v>
      </c>
      <c r="BS192">
        <v>1.93</v>
      </c>
      <c r="BT192">
        <v>2.04</v>
      </c>
      <c r="BU192">
        <v>1.33</v>
      </c>
      <c r="BV192">
        <v>5.25</v>
      </c>
      <c r="BW192">
        <v>8.5</v>
      </c>
      <c r="BX192">
        <v>1.34</v>
      </c>
      <c r="BY192">
        <v>5.75</v>
      </c>
      <c r="BZ192">
        <v>8</v>
      </c>
      <c r="CA192">
        <v>1.3</v>
      </c>
      <c r="CB192">
        <v>5.5</v>
      </c>
      <c r="CC192">
        <v>8.5</v>
      </c>
      <c r="CD192">
        <v>1.34</v>
      </c>
      <c r="CE192">
        <v>5.69</v>
      </c>
      <c r="CF192">
        <v>8.32</v>
      </c>
      <c r="CG192">
        <v>1.33</v>
      </c>
      <c r="CH192">
        <v>5.5</v>
      </c>
      <c r="CI192">
        <v>8.5</v>
      </c>
      <c r="CJ192">
        <v>1.37</v>
      </c>
      <c r="CK192">
        <v>5.41</v>
      </c>
      <c r="CL192">
        <v>8.76</v>
      </c>
      <c r="CM192">
        <v>1.37</v>
      </c>
      <c r="CN192">
        <v>6</v>
      </c>
      <c r="CO192">
        <v>9.5</v>
      </c>
      <c r="CP192">
        <v>1.33</v>
      </c>
      <c r="CQ192">
        <v>5.63</v>
      </c>
      <c r="CR192">
        <v>8.49</v>
      </c>
      <c r="CS192">
        <v>1.37</v>
      </c>
      <c r="CT192">
        <v>5.9</v>
      </c>
      <c r="CU192">
        <v>9.4</v>
      </c>
      <c r="CV192">
        <v>1.4</v>
      </c>
      <c r="CW192">
        <v>3</v>
      </c>
      <c r="CX192">
        <v>1.43</v>
      </c>
      <c r="CY192">
        <v>2.96</v>
      </c>
      <c r="CZ192">
        <v>1.45</v>
      </c>
      <c r="DA192">
        <v>3.14</v>
      </c>
      <c r="DB192">
        <v>1.42</v>
      </c>
      <c r="DC192">
        <v>2.91</v>
      </c>
      <c r="DD192">
        <v>1.46</v>
      </c>
      <c r="DE192">
        <v>3.15</v>
      </c>
      <c r="DF192">
        <v>-1.5</v>
      </c>
      <c r="DG192">
        <v>1.94</v>
      </c>
      <c r="DH192">
        <v>1.99</v>
      </c>
      <c r="DI192">
        <v>1.95</v>
      </c>
      <c r="DJ192">
        <v>1.97</v>
      </c>
      <c r="DK192">
        <v>1.95</v>
      </c>
      <c r="DL192">
        <v>2.0099999999999998</v>
      </c>
      <c r="DM192">
        <v>1.89</v>
      </c>
      <c r="DN192">
        <v>1.96</v>
      </c>
      <c r="DO192">
        <v>1.97</v>
      </c>
      <c r="DP192">
        <v>2.02</v>
      </c>
    </row>
    <row r="193" spans="1:120" x14ac:dyDescent="0.3">
      <c r="A193" t="s">
        <v>120</v>
      </c>
      <c r="B193" s="2">
        <v>45748</v>
      </c>
      <c r="C193" s="1">
        <v>0.625</v>
      </c>
      <c r="D193" t="s">
        <v>142</v>
      </c>
      <c r="E193" t="s">
        <v>135</v>
      </c>
      <c r="F193">
        <v>1</v>
      </c>
      <c r="G193">
        <v>0</v>
      </c>
      <c r="H193" t="s">
        <v>124</v>
      </c>
      <c r="I193">
        <v>0</v>
      </c>
      <c r="J193">
        <v>0</v>
      </c>
      <c r="K193" t="s">
        <v>125</v>
      </c>
      <c r="L193" t="s">
        <v>173</v>
      </c>
      <c r="M193">
        <v>19</v>
      </c>
      <c r="N193">
        <v>9</v>
      </c>
      <c r="O193">
        <v>8</v>
      </c>
      <c r="P193">
        <v>0</v>
      </c>
      <c r="Q193">
        <v>15</v>
      </c>
      <c r="R193">
        <v>14</v>
      </c>
      <c r="S193">
        <v>9</v>
      </c>
      <c r="T193">
        <v>3</v>
      </c>
      <c r="U193">
        <v>2</v>
      </c>
      <c r="V193">
        <v>2</v>
      </c>
      <c r="W193">
        <v>0</v>
      </c>
      <c r="X193">
        <v>0</v>
      </c>
      <c r="Y193">
        <v>1.73</v>
      </c>
      <c r="Z193">
        <v>3.75</v>
      </c>
      <c r="AA193">
        <v>4.75</v>
      </c>
      <c r="AB193">
        <v>1.77</v>
      </c>
      <c r="AC193">
        <v>3.7</v>
      </c>
      <c r="AD193">
        <v>4.75</v>
      </c>
      <c r="AE193">
        <v>1.73</v>
      </c>
      <c r="AF193">
        <v>3.9</v>
      </c>
      <c r="AG193">
        <v>5</v>
      </c>
      <c r="AH193">
        <v>1.75</v>
      </c>
      <c r="AI193">
        <v>3.91</v>
      </c>
      <c r="AJ193">
        <v>4.82</v>
      </c>
      <c r="AK193">
        <v>1.75</v>
      </c>
      <c r="AL193">
        <v>3.8</v>
      </c>
      <c r="AM193">
        <v>4.5999999999999996</v>
      </c>
      <c r="AN193">
        <v>1.75</v>
      </c>
      <c r="AO193">
        <v>3.99</v>
      </c>
      <c r="AP193">
        <v>4.8899999999999997</v>
      </c>
      <c r="AQ193">
        <v>1.8</v>
      </c>
      <c r="AR193">
        <v>3.99</v>
      </c>
      <c r="AS193">
        <v>5</v>
      </c>
      <c r="AT193">
        <v>1.75</v>
      </c>
      <c r="AU193">
        <v>3.82</v>
      </c>
      <c r="AV193">
        <v>4.71</v>
      </c>
      <c r="AW193">
        <v>1.78</v>
      </c>
      <c r="AX193">
        <v>4</v>
      </c>
      <c r="AY193">
        <v>5.2</v>
      </c>
      <c r="AZ193">
        <v>1.91</v>
      </c>
      <c r="BA193">
        <v>1.99</v>
      </c>
      <c r="BB193">
        <v>1.92</v>
      </c>
      <c r="BC193">
        <v>1.97</v>
      </c>
      <c r="BD193">
        <v>1.92</v>
      </c>
      <c r="BE193">
        <v>2.0099999999999998</v>
      </c>
      <c r="BF193">
        <v>1.86</v>
      </c>
      <c r="BG193">
        <v>1.96</v>
      </c>
      <c r="BH193">
        <v>1.92</v>
      </c>
      <c r="BI193">
        <v>2.06</v>
      </c>
      <c r="BJ193">
        <v>-0.75</v>
      </c>
      <c r="BK193">
        <v>1.99</v>
      </c>
      <c r="BL193">
        <v>1.91</v>
      </c>
      <c r="BM193">
        <v>1.97</v>
      </c>
      <c r="BN193">
        <v>1.93</v>
      </c>
      <c r="BO193">
        <v>2</v>
      </c>
      <c r="BP193">
        <v>1.93</v>
      </c>
      <c r="BQ193">
        <v>1.95</v>
      </c>
      <c r="BR193">
        <v>1.87</v>
      </c>
      <c r="BS193">
        <v>1.99</v>
      </c>
      <c r="BT193">
        <v>1.99</v>
      </c>
      <c r="BU193">
        <v>1.67</v>
      </c>
      <c r="BV193">
        <v>3.8</v>
      </c>
      <c r="BW193">
        <v>5</v>
      </c>
      <c r="BX193">
        <v>1.7</v>
      </c>
      <c r="BY193">
        <v>3.8</v>
      </c>
      <c r="BZ193">
        <v>5</v>
      </c>
      <c r="CA193">
        <v>1.67</v>
      </c>
      <c r="CB193">
        <v>3.75</v>
      </c>
      <c r="CC193">
        <v>5</v>
      </c>
      <c r="CD193">
        <v>1.7</v>
      </c>
      <c r="CE193">
        <v>3.97</v>
      </c>
      <c r="CF193">
        <v>5.23</v>
      </c>
      <c r="CG193">
        <v>1.7</v>
      </c>
      <c r="CH193">
        <v>3.75</v>
      </c>
      <c r="CI193">
        <v>5</v>
      </c>
      <c r="CJ193">
        <v>1.72</v>
      </c>
      <c r="CK193">
        <v>3.92</v>
      </c>
      <c r="CL193">
        <v>5.16</v>
      </c>
      <c r="CM193">
        <v>1.72</v>
      </c>
      <c r="CN193">
        <v>4</v>
      </c>
      <c r="CO193">
        <v>5.25</v>
      </c>
      <c r="CP193">
        <v>1.69</v>
      </c>
      <c r="CQ193">
        <v>3.86</v>
      </c>
      <c r="CR193">
        <v>5.0999999999999996</v>
      </c>
      <c r="CS193">
        <v>1.73</v>
      </c>
      <c r="CT193">
        <v>4.0999999999999996</v>
      </c>
      <c r="CU193">
        <v>5.4</v>
      </c>
      <c r="CV193">
        <v>1.86</v>
      </c>
      <c r="CW193">
        <v>2.0699999999999998</v>
      </c>
      <c r="CX193">
        <v>1.85</v>
      </c>
      <c r="CY193">
        <v>2.0699999999999998</v>
      </c>
      <c r="CZ193">
        <v>1.9</v>
      </c>
      <c r="DA193">
        <v>2.09</v>
      </c>
      <c r="DB193">
        <v>1.82</v>
      </c>
      <c r="DC193">
        <v>2.02</v>
      </c>
      <c r="DD193">
        <v>1.9</v>
      </c>
      <c r="DE193">
        <v>2.1</v>
      </c>
      <c r="DF193">
        <v>-0.75</v>
      </c>
      <c r="DG193">
        <v>1.9</v>
      </c>
      <c r="DH193">
        <v>2.0299999999999998</v>
      </c>
      <c r="DI193">
        <v>1.91</v>
      </c>
      <c r="DJ193">
        <v>2.02</v>
      </c>
      <c r="DK193">
        <v>1.91</v>
      </c>
      <c r="DL193">
        <v>2.04</v>
      </c>
      <c r="DM193">
        <v>1.88</v>
      </c>
      <c r="DN193">
        <v>1.97</v>
      </c>
      <c r="DO193">
        <v>1.94</v>
      </c>
      <c r="DP193">
        <v>2.04</v>
      </c>
    </row>
    <row r="194" spans="1:120" x14ac:dyDescent="0.3">
      <c r="A194" t="s">
        <v>120</v>
      </c>
      <c r="B194" s="2">
        <v>45748</v>
      </c>
      <c r="C194" s="1">
        <v>0.625</v>
      </c>
      <c r="D194" t="s">
        <v>149</v>
      </c>
      <c r="E194" t="s">
        <v>151</v>
      </c>
      <c r="F194">
        <v>1</v>
      </c>
      <c r="G194">
        <v>1</v>
      </c>
      <c r="H194" t="s">
        <v>125</v>
      </c>
      <c r="I194">
        <v>0</v>
      </c>
      <c r="J194">
        <v>1</v>
      </c>
      <c r="K194" t="s">
        <v>130</v>
      </c>
      <c r="L194" t="s">
        <v>131</v>
      </c>
      <c r="M194">
        <v>13</v>
      </c>
      <c r="N194">
        <v>15</v>
      </c>
      <c r="O194">
        <v>6</v>
      </c>
      <c r="P194">
        <v>1</v>
      </c>
      <c r="Q194">
        <v>9</v>
      </c>
      <c r="R194">
        <v>12</v>
      </c>
      <c r="S194">
        <v>6</v>
      </c>
      <c r="T194">
        <v>6</v>
      </c>
      <c r="U194">
        <v>0</v>
      </c>
      <c r="V194">
        <v>2</v>
      </c>
      <c r="W194">
        <v>0</v>
      </c>
      <c r="X194">
        <v>0</v>
      </c>
      <c r="Y194">
        <v>3.8</v>
      </c>
      <c r="Z194">
        <v>3.75</v>
      </c>
      <c r="AA194">
        <v>1.91</v>
      </c>
      <c r="AB194">
        <v>3.7</v>
      </c>
      <c r="AC194">
        <v>3.8</v>
      </c>
      <c r="AD194">
        <v>1.95</v>
      </c>
      <c r="AE194">
        <v>3.75</v>
      </c>
      <c r="AF194">
        <v>3.9</v>
      </c>
      <c r="AG194">
        <v>1.95</v>
      </c>
      <c r="AH194">
        <v>3.69</v>
      </c>
      <c r="AI194">
        <v>3.97</v>
      </c>
      <c r="AJ194">
        <v>1.95</v>
      </c>
      <c r="AK194">
        <v>3.5</v>
      </c>
      <c r="AL194">
        <v>3.8</v>
      </c>
      <c r="AM194">
        <v>1.95</v>
      </c>
      <c r="AN194">
        <v>3.69</v>
      </c>
      <c r="AO194">
        <v>4.0199999999999996</v>
      </c>
      <c r="AP194">
        <v>1.98</v>
      </c>
      <c r="AQ194">
        <v>3.8</v>
      </c>
      <c r="AR194">
        <v>4.0199999999999996</v>
      </c>
      <c r="AS194">
        <v>1.98</v>
      </c>
      <c r="AT194">
        <v>3.65</v>
      </c>
      <c r="AU194">
        <v>3.88</v>
      </c>
      <c r="AV194">
        <v>1.95</v>
      </c>
      <c r="AW194">
        <v>3.9</v>
      </c>
      <c r="AX194">
        <v>4</v>
      </c>
      <c r="AY194">
        <v>2</v>
      </c>
      <c r="AZ194">
        <v>1.57</v>
      </c>
      <c r="BA194">
        <v>2.38</v>
      </c>
      <c r="BB194">
        <v>1.6</v>
      </c>
      <c r="BC194">
        <v>2.4500000000000002</v>
      </c>
      <c r="BD194">
        <v>1.62</v>
      </c>
      <c r="BE194">
        <v>2.4900000000000002</v>
      </c>
      <c r="BF194">
        <v>1.58</v>
      </c>
      <c r="BG194">
        <v>2.39</v>
      </c>
      <c r="BH194">
        <v>1.62</v>
      </c>
      <c r="BI194">
        <v>2.54</v>
      </c>
      <c r="BJ194">
        <v>0.5</v>
      </c>
      <c r="BK194">
        <v>1.95</v>
      </c>
      <c r="BL194">
        <v>1.95</v>
      </c>
      <c r="BM194">
        <v>1.94</v>
      </c>
      <c r="BN194">
        <v>1.96</v>
      </c>
      <c r="BO194">
        <v>1.96</v>
      </c>
      <c r="BP194">
        <v>1.96</v>
      </c>
      <c r="BQ194">
        <v>1.9</v>
      </c>
      <c r="BR194">
        <v>1.93</v>
      </c>
      <c r="BS194">
        <v>1.98</v>
      </c>
      <c r="BT194">
        <v>2</v>
      </c>
      <c r="BU194">
        <v>3.6</v>
      </c>
      <c r="BV194">
        <v>3.9</v>
      </c>
      <c r="BW194">
        <v>1.91</v>
      </c>
      <c r="BX194">
        <v>3.5</v>
      </c>
      <c r="BY194">
        <v>3.8</v>
      </c>
      <c r="BZ194">
        <v>2</v>
      </c>
      <c r="CA194">
        <v>3.5</v>
      </c>
      <c r="CB194">
        <v>3.75</v>
      </c>
      <c r="CC194">
        <v>1.91</v>
      </c>
      <c r="CD194">
        <v>3.64</v>
      </c>
      <c r="CE194">
        <v>3.94</v>
      </c>
      <c r="CF194">
        <v>2</v>
      </c>
      <c r="CG194">
        <v>3.5</v>
      </c>
      <c r="CH194">
        <v>3.8</v>
      </c>
      <c r="CI194">
        <v>2</v>
      </c>
      <c r="CJ194">
        <v>3.89</v>
      </c>
      <c r="CK194">
        <v>4</v>
      </c>
      <c r="CL194">
        <v>1.91</v>
      </c>
      <c r="CM194">
        <v>3.89</v>
      </c>
      <c r="CN194">
        <v>4</v>
      </c>
      <c r="CO194">
        <v>2.0499999999999998</v>
      </c>
      <c r="CP194">
        <v>3.58</v>
      </c>
      <c r="CQ194">
        <v>3.84</v>
      </c>
      <c r="CR194">
        <v>1.98</v>
      </c>
      <c r="CS194">
        <v>3.8</v>
      </c>
      <c r="CT194">
        <v>3.95</v>
      </c>
      <c r="CU194">
        <v>2.04</v>
      </c>
      <c r="CV194">
        <v>1.5</v>
      </c>
      <c r="CW194">
        <v>2.63</v>
      </c>
      <c r="CX194">
        <v>1.51</v>
      </c>
      <c r="CY194">
        <v>2.66</v>
      </c>
      <c r="CZ194">
        <v>1.58</v>
      </c>
      <c r="DA194">
        <v>2.75</v>
      </c>
      <c r="DB194">
        <v>1.52</v>
      </c>
      <c r="DC194">
        <v>2.57</v>
      </c>
      <c r="DD194">
        <v>1.56</v>
      </c>
      <c r="DE194">
        <v>2.74</v>
      </c>
      <c r="DF194">
        <v>0.5</v>
      </c>
      <c r="DG194">
        <v>1.91</v>
      </c>
      <c r="DH194">
        <v>2.02</v>
      </c>
      <c r="DI194">
        <v>1.93</v>
      </c>
      <c r="DJ194">
        <v>2.0099999999999998</v>
      </c>
      <c r="DK194">
        <v>1.93</v>
      </c>
      <c r="DL194">
        <v>2.04</v>
      </c>
      <c r="DM194">
        <v>1.86</v>
      </c>
      <c r="DN194">
        <v>1.99</v>
      </c>
      <c r="DO194">
        <v>1.94</v>
      </c>
      <c r="DP194">
        <v>2.04</v>
      </c>
    </row>
    <row r="195" spans="1:120" x14ac:dyDescent="0.3">
      <c r="A195" t="s">
        <v>120</v>
      </c>
      <c r="B195" s="2">
        <v>45748</v>
      </c>
      <c r="C195" s="1">
        <v>0.625</v>
      </c>
      <c r="D195" t="s">
        <v>152</v>
      </c>
      <c r="E195" t="s">
        <v>144</v>
      </c>
      <c r="F195">
        <v>4</v>
      </c>
      <c r="G195">
        <v>1</v>
      </c>
      <c r="H195" t="s">
        <v>124</v>
      </c>
      <c r="I195">
        <v>2</v>
      </c>
      <c r="J195">
        <v>0</v>
      </c>
      <c r="K195" t="s">
        <v>124</v>
      </c>
      <c r="L195" t="s">
        <v>160</v>
      </c>
      <c r="M195">
        <v>10</v>
      </c>
      <c r="N195">
        <v>17</v>
      </c>
      <c r="O195">
        <v>7</v>
      </c>
      <c r="P195">
        <v>4</v>
      </c>
      <c r="Q195">
        <v>8</v>
      </c>
      <c r="R195">
        <v>13</v>
      </c>
      <c r="S195">
        <v>7</v>
      </c>
      <c r="T195">
        <v>1</v>
      </c>
      <c r="U195">
        <v>2</v>
      </c>
      <c r="V195">
        <v>1</v>
      </c>
      <c r="W195">
        <v>0</v>
      </c>
      <c r="X195">
        <v>0</v>
      </c>
      <c r="Y195">
        <v>1.3</v>
      </c>
      <c r="Z195">
        <v>6.25</v>
      </c>
      <c r="AA195">
        <v>7.5</v>
      </c>
      <c r="AB195">
        <v>1.32</v>
      </c>
      <c r="AC195">
        <v>6</v>
      </c>
      <c r="AD195">
        <v>8.25</v>
      </c>
      <c r="AE195">
        <v>1.3</v>
      </c>
      <c r="AF195">
        <v>6</v>
      </c>
      <c r="AG195">
        <v>9</v>
      </c>
      <c r="AH195">
        <v>1.32</v>
      </c>
      <c r="AI195">
        <v>6.41</v>
      </c>
      <c r="AJ195">
        <v>8.1999999999999993</v>
      </c>
      <c r="AK195">
        <v>1.33</v>
      </c>
      <c r="AL195">
        <v>5.8</v>
      </c>
      <c r="AM195">
        <v>8</v>
      </c>
      <c r="AN195">
        <v>1.34</v>
      </c>
      <c r="AO195">
        <v>6.01</v>
      </c>
      <c r="AP195">
        <v>8.65</v>
      </c>
      <c r="AQ195">
        <v>1.34</v>
      </c>
      <c r="AR195">
        <v>6.5</v>
      </c>
      <c r="AS195">
        <v>9</v>
      </c>
      <c r="AT195">
        <v>1.31</v>
      </c>
      <c r="AU195">
        <v>6.09</v>
      </c>
      <c r="AV195">
        <v>8.3000000000000007</v>
      </c>
      <c r="AW195">
        <v>1.33</v>
      </c>
      <c r="AX195">
        <v>6.8</v>
      </c>
      <c r="AY195">
        <v>9.4</v>
      </c>
      <c r="AZ195">
        <v>1.33</v>
      </c>
      <c r="BA195">
        <v>3.4</v>
      </c>
      <c r="BB195">
        <v>1.35</v>
      </c>
      <c r="BC195">
        <v>3.29</v>
      </c>
      <c r="BD195">
        <v>1.36</v>
      </c>
      <c r="BE195">
        <v>3.45</v>
      </c>
      <c r="BF195">
        <v>1.34</v>
      </c>
      <c r="BG195">
        <v>3.23</v>
      </c>
      <c r="BH195">
        <v>1.39</v>
      </c>
      <c r="BI195">
        <v>3.4</v>
      </c>
      <c r="BJ195">
        <v>-1.5</v>
      </c>
      <c r="BK195">
        <v>1.8</v>
      </c>
      <c r="BL195">
        <v>2</v>
      </c>
      <c r="BM195">
        <v>1.85</v>
      </c>
      <c r="BN195">
        <v>2.06</v>
      </c>
      <c r="BO195">
        <v>1.86</v>
      </c>
      <c r="BP195">
        <v>2.0699999999999998</v>
      </c>
      <c r="BQ195">
        <v>1.83</v>
      </c>
      <c r="BR195">
        <v>2.02</v>
      </c>
      <c r="BS195">
        <v>1.87</v>
      </c>
      <c r="BT195">
        <v>2.11</v>
      </c>
      <c r="BU195">
        <v>1.22</v>
      </c>
      <c r="BV195">
        <v>7</v>
      </c>
      <c r="BW195">
        <v>9.5</v>
      </c>
      <c r="BX195">
        <v>1.24</v>
      </c>
      <c r="BY195">
        <v>7</v>
      </c>
      <c r="BZ195">
        <v>10.5</v>
      </c>
      <c r="CA195">
        <v>1.2</v>
      </c>
      <c r="CB195">
        <v>6.5</v>
      </c>
      <c r="CC195">
        <v>10</v>
      </c>
      <c r="CD195">
        <v>1.26</v>
      </c>
      <c r="CE195">
        <v>7.24</v>
      </c>
      <c r="CF195">
        <v>10.79</v>
      </c>
      <c r="CG195">
        <v>1.25</v>
      </c>
      <c r="CH195">
        <v>6.5</v>
      </c>
      <c r="CI195">
        <v>10</v>
      </c>
      <c r="CJ195">
        <v>1.28</v>
      </c>
      <c r="CK195">
        <v>7.21</v>
      </c>
      <c r="CL195">
        <v>9.27</v>
      </c>
      <c r="CM195">
        <v>1.31</v>
      </c>
      <c r="CN195">
        <v>7.24</v>
      </c>
      <c r="CO195">
        <v>12</v>
      </c>
      <c r="CP195">
        <v>1.24</v>
      </c>
      <c r="CQ195">
        <v>6.97</v>
      </c>
      <c r="CR195">
        <v>10.25</v>
      </c>
      <c r="CS195">
        <v>1.26</v>
      </c>
      <c r="CT195">
        <v>7.6</v>
      </c>
      <c r="CU195">
        <v>12</v>
      </c>
      <c r="CV195">
        <v>1.29</v>
      </c>
      <c r="CW195">
        <v>3.75</v>
      </c>
      <c r="CX195">
        <v>1.32</v>
      </c>
      <c r="CY195">
        <v>3.48</v>
      </c>
      <c r="CZ195">
        <v>1.32</v>
      </c>
      <c r="DA195">
        <v>3.8</v>
      </c>
      <c r="DB195">
        <v>1.3</v>
      </c>
      <c r="DC195">
        <v>3.59</v>
      </c>
      <c r="DD195">
        <v>1.33</v>
      </c>
      <c r="DE195">
        <v>4</v>
      </c>
      <c r="DF195">
        <v>-2</v>
      </c>
      <c r="DG195">
        <v>2.0099999999999998</v>
      </c>
      <c r="DH195">
        <v>1.92</v>
      </c>
      <c r="DI195">
        <v>2.0099999999999998</v>
      </c>
      <c r="DJ195">
        <v>1.9</v>
      </c>
      <c r="DK195">
        <v>2.14</v>
      </c>
      <c r="DL195">
        <v>1.94</v>
      </c>
      <c r="DM195">
        <v>2.0099999999999998</v>
      </c>
      <c r="DN195">
        <v>1.86</v>
      </c>
      <c r="DO195">
        <v>2.06</v>
      </c>
      <c r="DP195">
        <v>1.91</v>
      </c>
    </row>
    <row r="196" spans="1:120" x14ac:dyDescent="0.3">
      <c r="A196" t="s">
        <v>120</v>
      </c>
      <c r="B196" s="2">
        <v>45748</v>
      </c>
      <c r="C196" s="1">
        <v>0.625</v>
      </c>
      <c r="D196" t="s">
        <v>139</v>
      </c>
      <c r="E196" t="s">
        <v>148</v>
      </c>
      <c r="F196">
        <v>0</v>
      </c>
      <c r="G196">
        <v>5</v>
      </c>
      <c r="H196" t="s">
        <v>130</v>
      </c>
      <c r="I196">
        <v>0</v>
      </c>
      <c r="J196">
        <v>1</v>
      </c>
      <c r="K196" t="s">
        <v>130</v>
      </c>
      <c r="L196" t="s">
        <v>164</v>
      </c>
      <c r="M196">
        <v>8</v>
      </c>
      <c r="N196">
        <v>20</v>
      </c>
      <c r="O196">
        <v>1</v>
      </c>
      <c r="P196">
        <v>11</v>
      </c>
      <c r="Q196">
        <v>10</v>
      </c>
      <c r="R196">
        <v>4</v>
      </c>
      <c r="S196">
        <v>2</v>
      </c>
      <c r="T196">
        <v>2</v>
      </c>
      <c r="U196">
        <v>2</v>
      </c>
      <c r="V196">
        <v>0</v>
      </c>
      <c r="W196">
        <v>0</v>
      </c>
      <c r="X196">
        <v>0</v>
      </c>
      <c r="Y196">
        <v>3</v>
      </c>
      <c r="Z196">
        <v>3.4</v>
      </c>
      <c r="AA196">
        <v>2.4</v>
      </c>
      <c r="AB196">
        <v>2.65</v>
      </c>
      <c r="AC196">
        <v>3.6</v>
      </c>
      <c r="AD196">
        <v>2.5</v>
      </c>
      <c r="AE196">
        <v>2.8</v>
      </c>
      <c r="AF196">
        <v>3.5</v>
      </c>
      <c r="AG196">
        <v>2.5</v>
      </c>
      <c r="AH196">
        <v>2.95</v>
      </c>
      <c r="AI196">
        <v>3.59</v>
      </c>
      <c r="AJ196">
        <v>2.41</v>
      </c>
      <c r="AK196">
        <v>2.7</v>
      </c>
      <c r="AL196">
        <v>3.6</v>
      </c>
      <c r="AM196">
        <v>2.4500000000000002</v>
      </c>
      <c r="AN196">
        <v>2.77</v>
      </c>
      <c r="AO196">
        <v>3.81</v>
      </c>
      <c r="AP196">
        <v>2.4900000000000002</v>
      </c>
      <c r="AQ196">
        <v>3</v>
      </c>
      <c r="AR196">
        <v>3.81</v>
      </c>
      <c r="AS196">
        <v>2.5499999999999998</v>
      </c>
      <c r="AT196">
        <v>2.78</v>
      </c>
      <c r="AU196">
        <v>3.54</v>
      </c>
      <c r="AV196">
        <v>2.48</v>
      </c>
      <c r="AW196">
        <v>2.92</v>
      </c>
      <c r="AX196">
        <v>3.65</v>
      </c>
      <c r="AY196">
        <v>2.58</v>
      </c>
      <c r="AZ196">
        <v>1.67</v>
      </c>
      <c r="BA196">
        <v>2.2000000000000002</v>
      </c>
      <c r="BB196">
        <v>1.68</v>
      </c>
      <c r="BC196">
        <v>2.29</v>
      </c>
      <c r="BD196">
        <v>1.7</v>
      </c>
      <c r="BE196">
        <v>2.3199999999999998</v>
      </c>
      <c r="BF196">
        <v>1.66</v>
      </c>
      <c r="BG196">
        <v>2.2400000000000002</v>
      </c>
      <c r="BH196">
        <v>1.71</v>
      </c>
      <c r="BI196">
        <v>2.38</v>
      </c>
      <c r="BJ196">
        <v>0.25</v>
      </c>
      <c r="BK196">
        <v>1.82</v>
      </c>
      <c r="BL196">
        <v>2.08</v>
      </c>
      <c r="BM196">
        <v>1.83</v>
      </c>
      <c r="BN196">
        <v>2.1</v>
      </c>
      <c r="BO196">
        <v>1.83</v>
      </c>
      <c r="BP196">
        <v>2.2000000000000002</v>
      </c>
      <c r="BQ196">
        <v>1.76</v>
      </c>
      <c r="BR196">
        <v>2.09</v>
      </c>
      <c r="BS196">
        <v>1.8</v>
      </c>
      <c r="BT196">
        <v>2.2200000000000002</v>
      </c>
      <c r="BU196">
        <v>3.25</v>
      </c>
      <c r="BV196">
        <v>3.6</v>
      </c>
      <c r="BW196">
        <v>2.1</v>
      </c>
      <c r="BX196">
        <v>3.3</v>
      </c>
      <c r="BY196">
        <v>3.6</v>
      </c>
      <c r="BZ196">
        <v>2.15</v>
      </c>
      <c r="CA196">
        <v>3.25</v>
      </c>
      <c r="CB196">
        <v>3.5</v>
      </c>
      <c r="CC196">
        <v>2.1</v>
      </c>
      <c r="CD196">
        <v>3.44</v>
      </c>
      <c r="CE196">
        <v>3.65</v>
      </c>
      <c r="CF196">
        <v>2.16</v>
      </c>
      <c r="CG196">
        <v>3.3</v>
      </c>
      <c r="CH196">
        <v>3.5</v>
      </c>
      <c r="CI196">
        <v>2.15</v>
      </c>
      <c r="CJ196">
        <v>3.49</v>
      </c>
      <c r="CK196">
        <v>3.71</v>
      </c>
      <c r="CL196">
        <v>2.11</v>
      </c>
      <c r="CM196">
        <v>3.49</v>
      </c>
      <c r="CN196">
        <v>3.71</v>
      </c>
      <c r="CO196">
        <v>2.2400000000000002</v>
      </c>
      <c r="CP196">
        <v>3.33</v>
      </c>
      <c r="CQ196">
        <v>3.58</v>
      </c>
      <c r="CR196">
        <v>2.15</v>
      </c>
      <c r="CS196">
        <v>3.4</v>
      </c>
      <c r="CT196">
        <v>3.75</v>
      </c>
      <c r="CU196">
        <v>2.2400000000000002</v>
      </c>
      <c r="CV196">
        <v>1.73</v>
      </c>
      <c r="CW196">
        <v>2.1</v>
      </c>
      <c r="CX196">
        <v>1.73</v>
      </c>
      <c r="CY196">
        <v>2.2000000000000002</v>
      </c>
      <c r="CZ196">
        <v>1.75</v>
      </c>
      <c r="DA196">
        <v>2.35</v>
      </c>
      <c r="DB196">
        <v>1.69</v>
      </c>
      <c r="DC196">
        <v>2.19</v>
      </c>
      <c r="DD196">
        <v>1.77</v>
      </c>
      <c r="DE196">
        <v>2.2799999999999998</v>
      </c>
      <c r="DF196">
        <v>0.25</v>
      </c>
      <c r="DG196">
        <v>2.04</v>
      </c>
      <c r="DH196">
        <v>1.89</v>
      </c>
      <c r="DI196">
        <v>2.0499999999999998</v>
      </c>
      <c r="DJ196">
        <v>1.88</v>
      </c>
      <c r="DK196">
        <v>2.0499999999999998</v>
      </c>
      <c r="DL196">
        <v>1.9</v>
      </c>
      <c r="DM196">
        <v>1.99</v>
      </c>
      <c r="DN196">
        <v>1.86</v>
      </c>
      <c r="DO196">
        <v>2.0499999999999998</v>
      </c>
      <c r="DP196">
        <v>1.94</v>
      </c>
    </row>
    <row r="197" spans="1:120" x14ac:dyDescent="0.3">
      <c r="A197" t="s">
        <v>120</v>
      </c>
      <c r="B197" s="2">
        <v>45748</v>
      </c>
      <c r="C197" s="1">
        <v>0.72916666666666663</v>
      </c>
      <c r="D197" t="s">
        <v>136</v>
      </c>
      <c r="E197" t="s">
        <v>132</v>
      </c>
      <c r="F197">
        <v>1</v>
      </c>
      <c r="G197">
        <v>1</v>
      </c>
      <c r="H197" t="s">
        <v>125</v>
      </c>
      <c r="I197">
        <v>0</v>
      </c>
      <c r="J197">
        <v>1</v>
      </c>
      <c r="K197" t="s">
        <v>130</v>
      </c>
      <c r="L197" t="s">
        <v>153</v>
      </c>
      <c r="M197">
        <v>11</v>
      </c>
      <c r="N197">
        <v>9</v>
      </c>
      <c r="O197">
        <v>4</v>
      </c>
      <c r="P197">
        <v>3</v>
      </c>
      <c r="Q197">
        <v>17</v>
      </c>
      <c r="R197">
        <v>14</v>
      </c>
      <c r="S197">
        <v>2</v>
      </c>
      <c r="T197">
        <v>5</v>
      </c>
      <c r="U197">
        <v>2</v>
      </c>
      <c r="V197">
        <v>3</v>
      </c>
      <c r="W197">
        <v>0</v>
      </c>
      <c r="X197">
        <v>0</v>
      </c>
      <c r="Y197">
        <v>4.33</v>
      </c>
      <c r="Z197">
        <v>3.75</v>
      </c>
      <c r="AA197">
        <v>1.8</v>
      </c>
      <c r="AB197">
        <v>4.4000000000000004</v>
      </c>
      <c r="AC197">
        <v>4</v>
      </c>
      <c r="AD197">
        <v>1.75</v>
      </c>
      <c r="AE197">
        <v>4.5</v>
      </c>
      <c r="AF197">
        <v>3.9</v>
      </c>
      <c r="AG197">
        <v>1.75</v>
      </c>
      <c r="AH197">
        <v>4.62</v>
      </c>
      <c r="AI197">
        <v>3.7</v>
      </c>
      <c r="AJ197">
        <v>1.82</v>
      </c>
      <c r="AK197">
        <v>4.2</v>
      </c>
      <c r="AL197">
        <v>3.8</v>
      </c>
      <c r="AM197">
        <v>1.8</v>
      </c>
      <c r="AN197">
        <v>4.28</v>
      </c>
      <c r="AO197">
        <v>4.01</v>
      </c>
      <c r="AP197">
        <v>1.84</v>
      </c>
      <c r="AQ197">
        <v>4.7</v>
      </c>
      <c r="AR197">
        <v>4.01</v>
      </c>
      <c r="AS197">
        <v>1.84</v>
      </c>
      <c r="AT197">
        <v>4.3600000000000003</v>
      </c>
      <c r="AU197">
        <v>3.83</v>
      </c>
      <c r="AV197">
        <v>1.8</v>
      </c>
      <c r="AW197">
        <v>4.7</v>
      </c>
      <c r="AX197">
        <v>4</v>
      </c>
      <c r="AY197">
        <v>1.83</v>
      </c>
      <c r="AZ197">
        <v>1.73</v>
      </c>
      <c r="BA197">
        <v>2.1</v>
      </c>
      <c r="BB197">
        <v>1.79</v>
      </c>
      <c r="BC197">
        <v>2.1</v>
      </c>
      <c r="BD197">
        <v>1.8</v>
      </c>
      <c r="BE197">
        <v>2.2599999999999998</v>
      </c>
      <c r="BF197">
        <v>1.73</v>
      </c>
      <c r="BG197">
        <v>2.12</v>
      </c>
      <c r="BH197">
        <v>1.76</v>
      </c>
      <c r="BI197">
        <v>2.2799999999999998</v>
      </c>
      <c r="BJ197">
        <v>0.75</v>
      </c>
      <c r="BK197">
        <v>1.84</v>
      </c>
      <c r="BL197">
        <v>2.06</v>
      </c>
      <c r="BM197">
        <v>1.84</v>
      </c>
      <c r="BN197">
        <v>2.08</v>
      </c>
      <c r="BO197">
        <v>1.85</v>
      </c>
      <c r="BP197">
        <v>2.08</v>
      </c>
      <c r="BQ197">
        <v>1.82</v>
      </c>
      <c r="BR197">
        <v>2.0099999999999998</v>
      </c>
      <c r="BS197">
        <v>1.91</v>
      </c>
      <c r="BT197">
        <v>2.06</v>
      </c>
      <c r="BU197">
        <v>5</v>
      </c>
      <c r="BV197">
        <v>3.6</v>
      </c>
      <c r="BW197">
        <v>1.75</v>
      </c>
      <c r="BX197">
        <v>4.75</v>
      </c>
      <c r="BY197">
        <v>3.5</v>
      </c>
      <c r="BZ197">
        <v>1.8</v>
      </c>
      <c r="CA197">
        <v>4.5</v>
      </c>
      <c r="CB197">
        <v>3.5</v>
      </c>
      <c r="CC197">
        <v>1.8</v>
      </c>
      <c r="CD197">
        <v>4.93</v>
      </c>
      <c r="CE197">
        <v>3.68</v>
      </c>
      <c r="CF197">
        <v>1.8</v>
      </c>
      <c r="CG197">
        <v>4.5</v>
      </c>
      <c r="CH197">
        <v>3.5</v>
      </c>
      <c r="CI197">
        <v>1.83</v>
      </c>
      <c r="CJ197">
        <v>5.45</v>
      </c>
      <c r="CK197">
        <v>3.59</v>
      </c>
      <c r="CL197">
        <v>1.76</v>
      </c>
      <c r="CM197">
        <v>5.45</v>
      </c>
      <c r="CN197">
        <v>3.8</v>
      </c>
      <c r="CO197">
        <v>1.85</v>
      </c>
      <c r="CP197">
        <v>4.74</v>
      </c>
      <c r="CQ197">
        <v>3.59</v>
      </c>
      <c r="CR197">
        <v>1.81</v>
      </c>
      <c r="CS197">
        <v>5.0999999999999996</v>
      </c>
      <c r="CT197">
        <v>3.75</v>
      </c>
      <c r="CU197">
        <v>1.84</v>
      </c>
      <c r="CV197">
        <v>2.0499999999999998</v>
      </c>
      <c r="CW197">
        <v>1.88</v>
      </c>
      <c r="CX197">
        <v>2.02</v>
      </c>
      <c r="CY197">
        <v>1.88</v>
      </c>
      <c r="CZ197">
        <v>2.0499999999999998</v>
      </c>
      <c r="DA197">
        <v>2.13</v>
      </c>
      <c r="DB197">
        <v>1.97</v>
      </c>
      <c r="DC197">
        <v>1.87</v>
      </c>
      <c r="DD197">
        <v>2.08</v>
      </c>
      <c r="DE197">
        <v>1.91</v>
      </c>
      <c r="DF197">
        <v>0.75</v>
      </c>
      <c r="DG197">
        <v>1.88</v>
      </c>
      <c r="DH197">
        <v>2.0499999999999998</v>
      </c>
      <c r="DI197">
        <v>1.88</v>
      </c>
      <c r="DJ197">
        <v>2.0499999999999998</v>
      </c>
      <c r="DK197">
        <v>1.92</v>
      </c>
      <c r="DL197">
        <v>2.08</v>
      </c>
      <c r="DM197">
        <v>1.83</v>
      </c>
      <c r="DN197">
        <v>2.02</v>
      </c>
      <c r="DO197">
        <v>1.89</v>
      </c>
      <c r="DP197">
        <v>2.1</v>
      </c>
    </row>
    <row r="198" spans="1:120" x14ac:dyDescent="0.3">
      <c r="A198" t="s">
        <v>120</v>
      </c>
      <c r="B198" s="2">
        <v>45778</v>
      </c>
      <c r="C198" s="1">
        <v>0.58333333333333337</v>
      </c>
      <c r="D198" t="s">
        <v>123</v>
      </c>
      <c r="E198" t="s">
        <v>128</v>
      </c>
      <c r="F198">
        <v>2</v>
      </c>
      <c r="G198">
        <v>2</v>
      </c>
      <c r="H198" t="s">
        <v>125</v>
      </c>
      <c r="I198">
        <v>0</v>
      </c>
      <c r="J198">
        <v>1</v>
      </c>
      <c r="K198" t="s">
        <v>130</v>
      </c>
      <c r="L198" t="s">
        <v>159</v>
      </c>
      <c r="M198">
        <v>15</v>
      </c>
      <c r="N198">
        <v>7</v>
      </c>
      <c r="O198">
        <v>4</v>
      </c>
      <c r="P198">
        <v>3</v>
      </c>
      <c r="Q198">
        <v>10</v>
      </c>
      <c r="R198">
        <v>14</v>
      </c>
      <c r="S198">
        <v>9</v>
      </c>
      <c r="T198">
        <v>2</v>
      </c>
      <c r="U198">
        <v>1</v>
      </c>
      <c r="V198">
        <v>5</v>
      </c>
      <c r="W198">
        <v>0</v>
      </c>
      <c r="X198">
        <v>0</v>
      </c>
      <c r="Y198">
        <v>1.55</v>
      </c>
      <c r="Z198">
        <v>4.2</v>
      </c>
      <c r="AA198">
        <v>5.75</v>
      </c>
      <c r="AB198">
        <v>1.55</v>
      </c>
      <c r="AC198">
        <v>4.4000000000000004</v>
      </c>
      <c r="AD198">
        <v>5.75</v>
      </c>
      <c r="AE198">
        <v>1.57</v>
      </c>
      <c r="AF198">
        <v>4.33</v>
      </c>
      <c r="AG198">
        <v>5</v>
      </c>
      <c r="AH198">
        <v>1.56</v>
      </c>
      <c r="AI198">
        <v>4.46</v>
      </c>
      <c r="AJ198">
        <v>5.71</v>
      </c>
      <c r="AK198">
        <v>1.57</v>
      </c>
      <c r="AL198">
        <v>4.2</v>
      </c>
      <c r="AM198">
        <v>5.5</v>
      </c>
      <c r="AN198">
        <v>1.6</v>
      </c>
      <c r="AO198">
        <v>4.41</v>
      </c>
      <c r="AP198">
        <v>5.75</v>
      </c>
      <c r="AQ198">
        <v>1.6</v>
      </c>
      <c r="AR198">
        <v>4.46</v>
      </c>
      <c r="AS198">
        <v>6.25</v>
      </c>
      <c r="AT198">
        <v>1.56</v>
      </c>
      <c r="AU198">
        <v>4.34</v>
      </c>
      <c r="AV198">
        <v>5.68</v>
      </c>
      <c r="AW198">
        <v>1.59</v>
      </c>
      <c r="AX198">
        <v>4.5</v>
      </c>
      <c r="AY198">
        <v>6.2</v>
      </c>
      <c r="AZ198">
        <v>1.73</v>
      </c>
      <c r="BA198">
        <v>2.1</v>
      </c>
      <c r="BB198">
        <v>1.72</v>
      </c>
      <c r="BC198">
        <v>2.2000000000000002</v>
      </c>
      <c r="BD198">
        <v>1.76</v>
      </c>
      <c r="BE198">
        <v>2.2200000000000002</v>
      </c>
      <c r="BF198">
        <v>1.7</v>
      </c>
      <c r="BG198">
        <v>2.15</v>
      </c>
      <c r="BH198">
        <v>1.76</v>
      </c>
      <c r="BI198">
        <v>2.2400000000000002</v>
      </c>
      <c r="BJ198">
        <v>-1</v>
      </c>
      <c r="BK198">
        <v>1.97</v>
      </c>
      <c r="BL198">
        <v>1.93</v>
      </c>
      <c r="BM198">
        <v>1.96</v>
      </c>
      <c r="BN198">
        <v>1.94</v>
      </c>
      <c r="BO198">
        <v>1.97</v>
      </c>
      <c r="BP198">
        <v>1.94</v>
      </c>
      <c r="BQ198">
        <v>1.92</v>
      </c>
      <c r="BR198">
        <v>1.91</v>
      </c>
      <c r="BS198">
        <v>1.96</v>
      </c>
      <c r="BT198">
        <v>1.95</v>
      </c>
      <c r="BU198">
        <v>1.53</v>
      </c>
      <c r="BV198">
        <v>4.2</v>
      </c>
      <c r="BW198">
        <v>6</v>
      </c>
      <c r="BX198">
        <v>1.58</v>
      </c>
      <c r="BY198">
        <v>4.0999999999999996</v>
      </c>
      <c r="BZ198">
        <v>6</v>
      </c>
      <c r="CA198">
        <v>1.53</v>
      </c>
      <c r="CB198">
        <v>4</v>
      </c>
      <c r="CC198">
        <v>5</v>
      </c>
      <c r="CD198">
        <v>1.59</v>
      </c>
      <c r="CE198">
        <v>4.2</v>
      </c>
      <c r="CF198">
        <v>6.15</v>
      </c>
      <c r="CG198">
        <v>1.57</v>
      </c>
      <c r="CH198">
        <v>4</v>
      </c>
      <c r="CI198">
        <v>5.8</v>
      </c>
      <c r="CJ198">
        <v>1.58</v>
      </c>
      <c r="CK198">
        <v>4.3099999999999996</v>
      </c>
      <c r="CL198">
        <v>6.11</v>
      </c>
      <c r="CM198">
        <v>1.61</v>
      </c>
      <c r="CN198">
        <v>4.3099999999999996</v>
      </c>
      <c r="CO198">
        <v>6.4</v>
      </c>
      <c r="CP198">
        <v>1.56</v>
      </c>
      <c r="CQ198">
        <v>4.16</v>
      </c>
      <c r="CR198">
        <v>6.02</v>
      </c>
      <c r="CS198">
        <v>1.59</v>
      </c>
      <c r="CT198">
        <v>4.4000000000000004</v>
      </c>
      <c r="CU198">
        <v>6.8</v>
      </c>
      <c r="CV198">
        <v>1.8</v>
      </c>
      <c r="CW198">
        <v>2</v>
      </c>
      <c r="CX198">
        <v>1.82</v>
      </c>
      <c r="CY198">
        <v>2.08</v>
      </c>
      <c r="CZ198">
        <v>1.83</v>
      </c>
      <c r="DA198">
        <v>2.14</v>
      </c>
      <c r="DB198">
        <v>1.8</v>
      </c>
      <c r="DC198">
        <v>2.0299999999999998</v>
      </c>
      <c r="DD198">
        <v>1.87</v>
      </c>
      <c r="DE198">
        <v>2.14</v>
      </c>
      <c r="DF198">
        <v>-1</v>
      </c>
      <c r="DG198">
        <v>1.96</v>
      </c>
      <c r="DH198">
        <v>1.97</v>
      </c>
      <c r="DI198">
        <v>1.96</v>
      </c>
      <c r="DJ198">
        <v>1.96</v>
      </c>
      <c r="DK198">
        <v>1.99</v>
      </c>
      <c r="DL198">
        <v>1.99</v>
      </c>
      <c r="DM198">
        <v>1.94</v>
      </c>
      <c r="DN198">
        <v>1.92</v>
      </c>
      <c r="DO198">
        <v>2.0099999999999998</v>
      </c>
      <c r="DP198">
        <v>1.98</v>
      </c>
    </row>
    <row r="199" spans="1:120" x14ac:dyDescent="0.3">
      <c r="A199" t="s">
        <v>120</v>
      </c>
      <c r="B199" s="2">
        <v>45778</v>
      </c>
      <c r="C199" s="1">
        <v>0.6875</v>
      </c>
      <c r="D199" t="s">
        <v>129</v>
      </c>
      <c r="E199" t="s">
        <v>122</v>
      </c>
      <c r="F199">
        <v>2</v>
      </c>
      <c r="G199">
        <v>2</v>
      </c>
      <c r="H199" t="s">
        <v>125</v>
      </c>
      <c r="I199">
        <v>0</v>
      </c>
      <c r="J199">
        <v>0</v>
      </c>
      <c r="K199" t="s">
        <v>125</v>
      </c>
      <c r="L199" t="s">
        <v>143</v>
      </c>
      <c r="M199">
        <v>19</v>
      </c>
      <c r="N199">
        <v>13</v>
      </c>
      <c r="O199">
        <v>6</v>
      </c>
      <c r="P199">
        <v>4</v>
      </c>
      <c r="Q199">
        <v>10</v>
      </c>
      <c r="R199">
        <v>13</v>
      </c>
      <c r="S199">
        <v>6</v>
      </c>
      <c r="T199">
        <v>9</v>
      </c>
      <c r="U199">
        <v>2</v>
      </c>
      <c r="V199">
        <v>4</v>
      </c>
      <c r="W199">
        <v>0</v>
      </c>
      <c r="X199">
        <v>0</v>
      </c>
      <c r="Y199">
        <v>1.29</v>
      </c>
      <c r="Z199">
        <v>6.25</v>
      </c>
      <c r="AA199">
        <v>8</v>
      </c>
      <c r="AB199">
        <v>1.29</v>
      </c>
      <c r="AC199">
        <v>6</v>
      </c>
      <c r="AD199">
        <v>9.5</v>
      </c>
      <c r="AE199">
        <v>1.25</v>
      </c>
      <c r="AF199">
        <v>6.5</v>
      </c>
      <c r="AG199">
        <v>10</v>
      </c>
      <c r="AH199">
        <v>1.29</v>
      </c>
      <c r="AI199">
        <v>6.14</v>
      </c>
      <c r="AJ199">
        <v>9.3699999999999992</v>
      </c>
      <c r="AK199">
        <v>1.3</v>
      </c>
      <c r="AL199">
        <v>5.8</v>
      </c>
      <c r="AM199">
        <v>9.5</v>
      </c>
      <c r="AN199">
        <v>1.29</v>
      </c>
      <c r="AO199">
        <v>6.26</v>
      </c>
      <c r="AP199">
        <v>10.7</v>
      </c>
      <c r="AQ199">
        <v>1.3</v>
      </c>
      <c r="AR199">
        <v>6.5</v>
      </c>
      <c r="AS199">
        <v>11</v>
      </c>
      <c r="AT199">
        <v>1.29</v>
      </c>
      <c r="AU199">
        <v>6.05</v>
      </c>
      <c r="AV199">
        <v>9.49</v>
      </c>
      <c r="AW199">
        <v>1.31</v>
      </c>
      <c r="AX199">
        <v>6.6</v>
      </c>
      <c r="AY199">
        <v>11</v>
      </c>
      <c r="AZ199">
        <v>1.44</v>
      </c>
      <c r="BA199">
        <v>2.75</v>
      </c>
      <c r="BB199">
        <v>1.43</v>
      </c>
      <c r="BC199">
        <v>2.88</v>
      </c>
      <c r="BD199">
        <v>1.44</v>
      </c>
      <c r="BE199">
        <v>3</v>
      </c>
      <c r="BF199">
        <v>1.41</v>
      </c>
      <c r="BG199">
        <v>2.86</v>
      </c>
      <c r="BH199">
        <v>1.45</v>
      </c>
      <c r="BI199">
        <v>3.1</v>
      </c>
      <c r="BJ199">
        <v>-1.75</v>
      </c>
      <c r="BK199">
        <v>2.0299999999999998</v>
      </c>
      <c r="BL199">
        <v>1.78</v>
      </c>
      <c r="BM199">
        <v>2.08</v>
      </c>
      <c r="BN199">
        <v>1.81</v>
      </c>
      <c r="BO199">
        <v>2.08</v>
      </c>
      <c r="BP199">
        <v>1.85</v>
      </c>
      <c r="BQ199">
        <v>2</v>
      </c>
      <c r="BR199">
        <v>1.81</v>
      </c>
      <c r="BS199">
        <v>2.04</v>
      </c>
      <c r="BT199">
        <v>1.93</v>
      </c>
      <c r="BU199">
        <v>1.36</v>
      </c>
      <c r="BV199">
        <v>5.5</v>
      </c>
      <c r="BW199">
        <v>7.5</v>
      </c>
      <c r="BX199">
        <v>1.37</v>
      </c>
      <c r="BY199">
        <v>5.25</v>
      </c>
      <c r="BZ199">
        <v>7.75</v>
      </c>
      <c r="CA199">
        <v>1.33</v>
      </c>
      <c r="CB199">
        <v>5</v>
      </c>
      <c r="CC199">
        <v>8</v>
      </c>
      <c r="CD199">
        <v>1.36</v>
      </c>
      <c r="CE199">
        <v>5.55</v>
      </c>
      <c r="CF199">
        <v>8.5500000000000007</v>
      </c>
      <c r="CG199">
        <v>1.36</v>
      </c>
      <c r="CH199">
        <v>5</v>
      </c>
      <c r="CI199">
        <v>7.5</v>
      </c>
      <c r="CJ199">
        <v>1.4</v>
      </c>
      <c r="CK199">
        <v>5.59</v>
      </c>
      <c r="CL199">
        <v>7.19</v>
      </c>
      <c r="CM199">
        <v>1.4</v>
      </c>
      <c r="CN199">
        <v>5.7</v>
      </c>
      <c r="CO199">
        <v>8.6</v>
      </c>
      <c r="CP199">
        <v>1.36</v>
      </c>
      <c r="CQ199">
        <v>5.42</v>
      </c>
      <c r="CR199">
        <v>7.9</v>
      </c>
      <c r="CS199">
        <v>1.41</v>
      </c>
      <c r="CT199">
        <v>5.6</v>
      </c>
      <c r="CU199">
        <v>8.8000000000000007</v>
      </c>
      <c r="CV199">
        <v>1.5</v>
      </c>
      <c r="CW199">
        <v>2.63</v>
      </c>
      <c r="CX199">
        <v>1.53</v>
      </c>
      <c r="CY199">
        <v>2.62</v>
      </c>
      <c r="CZ199">
        <v>1.54</v>
      </c>
      <c r="DA199">
        <v>2.8</v>
      </c>
      <c r="DB199">
        <v>1.51</v>
      </c>
      <c r="DC199">
        <v>2.6</v>
      </c>
      <c r="DD199">
        <v>1.58</v>
      </c>
      <c r="DE199">
        <v>2.72</v>
      </c>
      <c r="DF199">
        <v>-1.5</v>
      </c>
      <c r="DG199">
        <v>2.0099999999999998</v>
      </c>
      <c r="DH199">
        <v>1.92</v>
      </c>
      <c r="DI199">
        <v>2.02</v>
      </c>
      <c r="DJ199">
        <v>1.91</v>
      </c>
      <c r="DK199">
        <v>2.1</v>
      </c>
      <c r="DL199">
        <v>1.93</v>
      </c>
      <c r="DM199">
        <v>2</v>
      </c>
      <c r="DN199">
        <v>1.86</v>
      </c>
      <c r="DO199">
        <v>2.0699999999999998</v>
      </c>
      <c r="DP199">
        <v>1.92</v>
      </c>
    </row>
    <row r="200" spans="1:120" x14ac:dyDescent="0.3">
      <c r="A200" t="s">
        <v>120</v>
      </c>
      <c r="B200" s="2">
        <v>45809</v>
      </c>
      <c r="C200" s="1">
        <v>0.83333333333333337</v>
      </c>
      <c r="D200" t="s">
        <v>133</v>
      </c>
      <c r="E200" t="s">
        <v>141</v>
      </c>
      <c r="F200">
        <v>0</v>
      </c>
      <c r="G200">
        <v>3</v>
      </c>
      <c r="H200" t="s">
        <v>130</v>
      </c>
      <c r="I200">
        <v>0</v>
      </c>
      <c r="J200">
        <v>2</v>
      </c>
      <c r="K200" t="s">
        <v>130</v>
      </c>
      <c r="L200" t="s">
        <v>171</v>
      </c>
      <c r="M200">
        <v>13</v>
      </c>
      <c r="N200">
        <v>11</v>
      </c>
      <c r="O200">
        <v>6</v>
      </c>
      <c r="P200">
        <v>3</v>
      </c>
      <c r="Q200">
        <v>10</v>
      </c>
      <c r="R200">
        <v>8</v>
      </c>
      <c r="S200">
        <v>5</v>
      </c>
      <c r="T200">
        <v>3</v>
      </c>
      <c r="U200">
        <v>1</v>
      </c>
      <c r="V200">
        <v>2</v>
      </c>
      <c r="W200">
        <v>0</v>
      </c>
      <c r="X200">
        <v>0</v>
      </c>
      <c r="Y200">
        <v>3.3</v>
      </c>
      <c r="Z200">
        <v>3.2</v>
      </c>
      <c r="AA200">
        <v>2.2999999999999998</v>
      </c>
      <c r="AB200">
        <v>3.1</v>
      </c>
      <c r="AC200">
        <v>3.3</v>
      </c>
      <c r="AD200">
        <v>2.35</v>
      </c>
      <c r="AE200">
        <v>3.25</v>
      </c>
      <c r="AF200">
        <v>3.2</v>
      </c>
      <c r="AG200">
        <v>2.25</v>
      </c>
      <c r="AH200">
        <v>3.44</v>
      </c>
      <c r="AI200">
        <v>3.22</v>
      </c>
      <c r="AJ200">
        <v>2.31</v>
      </c>
      <c r="AK200">
        <v>3.2</v>
      </c>
      <c r="AL200">
        <v>3.2</v>
      </c>
      <c r="AM200">
        <v>2.2999999999999998</v>
      </c>
      <c r="AN200">
        <v>3.34</v>
      </c>
      <c r="AO200">
        <v>3.3</v>
      </c>
      <c r="AP200">
        <v>2.36</v>
      </c>
      <c r="AQ200">
        <v>3.44</v>
      </c>
      <c r="AR200">
        <v>3.35</v>
      </c>
      <c r="AS200">
        <v>2.42</v>
      </c>
      <c r="AT200">
        <v>3.22</v>
      </c>
      <c r="AU200">
        <v>3.22</v>
      </c>
      <c r="AV200">
        <v>2.33</v>
      </c>
      <c r="AW200">
        <v>3.4</v>
      </c>
      <c r="AX200">
        <v>3.4</v>
      </c>
      <c r="AY200">
        <v>2.4</v>
      </c>
      <c r="AZ200">
        <v>2.1</v>
      </c>
      <c r="BA200">
        <v>1.73</v>
      </c>
      <c r="BB200">
        <v>2.09</v>
      </c>
      <c r="BC200">
        <v>1.8</v>
      </c>
      <c r="BD200">
        <v>2.1</v>
      </c>
      <c r="BE200">
        <v>1.85</v>
      </c>
      <c r="BF200">
        <v>2.04</v>
      </c>
      <c r="BG200">
        <v>1.78</v>
      </c>
      <c r="BH200">
        <v>2.16</v>
      </c>
      <c r="BI200">
        <v>1.84</v>
      </c>
      <c r="BJ200">
        <v>0.25</v>
      </c>
      <c r="BK200">
        <v>1.91</v>
      </c>
      <c r="BL200">
        <v>1.99</v>
      </c>
      <c r="BM200">
        <v>1.93</v>
      </c>
      <c r="BN200">
        <v>1.97</v>
      </c>
      <c r="BO200">
        <v>1.93</v>
      </c>
      <c r="BP200">
        <v>2.02</v>
      </c>
      <c r="BQ200">
        <v>1.85</v>
      </c>
      <c r="BR200">
        <v>1.96</v>
      </c>
      <c r="BS200">
        <v>1.95</v>
      </c>
      <c r="BT200">
        <v>2.04</v>
      </c>
      <c r="BU200">
        <v>3.9</v>
      </c>
      <c r="BV200">
        <v>3.5</v>
      </c>
      <c r="BW200">
        <v>1.95</v>
      </c>
      <c r="BX200">
        <v>3.9</v>
      </c>
      <c r="BY200">
        <v>3.4</v>
      </c>
      <c r="BZ200">
        <v>2</v>
      </c>
      <c r="CA200">
        <v>3.75</v>
      </c>
      <c r="CB200">
        <v>3.3</v>
      </c>
      <c r="CC200">
        <v>2</v>
      </c>
      <c r="CD200">
        <v>4.01</v>
      </c>
      <c r="CE200">
        <v>3.54</v>
      </c>
      <c r="CF200">
        <v>2.0099999999999998</v>
      </c>
      <c r="CG200">
        <v>3.8</v>
      </c>
      <c r="CH200">
        <v>3.4</v>
      </c>
      <c r="CI200">
        <v>2</v>
      </c>
      <c r="CJ200">
        <v>4.18</v>
      </c>
      <c r="CK200">
        <v>3.58</v>
      </c>
      <c r="CL200">
        <v>1.95</v>
      </c>
      <c r="CM200">
        <v>4.18</v>
      </c>
      <c r="CN200">
        <v>3.58</v>
      </c>
      <c r="CO200">
        <v>2.2200000000000002</v>
      </c>
      <c r="CP200">
        <v>3.86</v>
      </c>
      <c r="CQ200">
        <v>3.46</v>
      </c>
      <c r="CR200">
        <v>2.0099999999999998</v>
      </c>
      <c r="CS200">
        <v>4.0999999999999996</v>
      </c>
      <c r="CT200">
        <v>3.6</v>
      </c>
      <c r="CU200">
        <v>2.06</v>
      </c>
      <c r="CV200">
        <v>1.87</v>
      </c>
      <c r="CW200">
        <v>2.0299999999999998</v>
      </c>
      <c r="CX200">
        <v>1.87</v>
      </c>
      <c r="CY200">
        <v>2.04</v>
      </c>
      <c r="CZ200">
        <v>2.1</v>
      </c>
      <c r="DA200">
        <v>2.1</v>
      </c>
      <c r="DB200">
        <v>1.86</v>
      </c>
      <c r="DC200">
        <v>1.98</v>
      </c>
      <c r="DD200">
        <v>1.93</v>
      </c>
      <c r="DE200">
        <v>2.06</v>
      </c>
      <c r="DF200">
        <v>0.5</v>
      </c>
      <c r="DG200">
        <v>1.88</v>
      </c>
      <c r="DH200">
        <v>2.02</v>
      </c>
      <c r="DI200">
        <v>1.91</v>
      </c>
      <c r="DJ200">
        <v>2.02</v>
      </c>
      <c r="DK200">
        <v>1.91</v>
      </c>
      <c r="DL200">
        <v>2.06</v>
      </c>
      <c r="DM200">
        <v>1.85</v>
      </c>
      <c r="DN200">
        <v>2</v>
      </c>
      <c r="DO200">
        <v>1.92</v>
      </c>
      <c r="DP200">
        <v>2.06</v>
      </c>
    </row>
    <row r="201" spans="1:120" x14ac:dyDescent="0.3">
      <c r="A201" t="s">
        <v>120</v>
      </c>
      <c r="B201" t="s">
        <v>200</v>
      </c>
      <c r="C201" s="1">
        <v>0.8125</v>
      </c>
      <c r="D201" t="s">
        <v>148</v>
      </c>
      <c r="E201" t="s">
        <v>152</v>
      </c>
      <c r="F201">
        <v>2</v>
      </c>
      <c r="G201">
        <v>2</v>
      </c>
      <c r="H201" t="s">
        <v>125</v>
      </c>
      <c r="I201">
        <v>0</v>
      </c>
      <c r="J201">
        <v>0</v>
      </c>
      <c r="K201" t="s">
        <v>125</v>
      </c>
      <c r="L201" t="s">
        <v>153</v>
      </c>
      <c r="M201">
        <v>18</v>
      </c>
      <c r="N201">
        <v>21</v>
      </c>
      <c r="O201">
        <v>6</v>
      </c>
      <c r="P201">
        <v>8</v>
      </c>
      <c r="Q201">
        <v>4</v>
      </c>
      <c r="R201">
        <v>4</v>
      </c>
      <c r="S201">
        <v>4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4.75</v>
      </c>
      <c r="Z201">
        <v>4.2</v>
      </c>
      <c r="AA201">
        <v>1.62</v>
      </c>
      <c r="AB201">
        <v>4.5</v>
      </c>
      <c r="AC201">
        <v>4.5</v>
      </c>
      <c r="AD201">
        <v>1.65</v>
      </c>
      <c r="AE201">
        <v>4.75</v>
      </c>
      <c r="AF201">
        <v>4.4000000000000004</v>
      </c>
      <c r="AG201">
        <v>1.65</v>
      </c>
      <c r="AH201">
        <v>4.9000000000000004</v>
      </c>
      <c r="AI201">
        <v>4.5599999999999996</v>
      </c>
      <c r="AJ201">
        <v>1.65</v>
      </c>
      <c r="AK201">
        <v>4.5</v>
      </c>
      <c r="AL201">
        <v>4.4000000000000004</v>
      </c>
      <c r="AM201">
        <v>1.67</v>
      </c>
      <c r="AN201">
        <v>4.6900000000000004</v>
      </c>
      <c r="AO201">
        <v>4.74</v>
      </c>
      <c r="AP201">
        <v>1.66</v>
      </c>
      <c r="AQ201">
        <v>5.09</v>
      </c>
      <c r="AR201">
        <v>4.74</v>
      </c>
      <c r="AS201">
        <v>1.67</v>
      </c>
      <c r="AT201">
        <v>4.76</v>
      </c>
      <c r="AU201">
        <v>4.47</v>
      </c>
      <c r="AV201">
        <v>1.64</v>
      </c>
      <c r="AW201">
        <v>5.3</v>
      </c>
      <c r="AX201">
        <v>4.5999999999999996</v>
      </c>
      <c r="AY201">
        <v>1.67</v>
      </c>
      <c r="AZ201">
        <v>1.4</v>
      </c>
      <c r="BA201">
        <v>3</v>
      </c>
      <c r="BB201">
        <v>1.39</v>
      </c>
      <c r="BC201">
        <v>3.13</v>
      </c>
      <c r="BD201">
        <v>1.4</v>
      </c>
      <c r="BE201">
        <v>3.15</v>
      </c>
      <c r="BF201">
        <v>1.38</v>
      </c>
      <c r="BG201">
        <v>3.04</v>
      </c>
      <c r="BH201">
        <v>1.42</v>
      </c>
      <c r="BI201">
        <v>3.3</v>
      </c>
      <c r="BJ201">
        <v>1</v>
      </c>
      <c r="BK201">
        <v>1.87</v>
      </c>
      <c r="BL201">
        <v>2.0299999999999998</v>
      </c>
      <c r="BM201">
        <v>1.88</v>
      </c>
      <c r="BN201">
        <v>2.04</v>
      </c>
      <c r="BO201">
        <v>1.88</v>
      </c>
      <c r="BP201">
        <v>2.0499999999999998</v>
      </c>
      <c r="BQ201">
        <v>1.85</v>
      </c>
      <c r="BR201">
        <v>2</v>
      </c>
      <c r="BS201">
        <v>1.9</v>
      </c>
      <c r="BT201">
        <v>2.08</v>
      </c>
      <c r="BU201">
        <v>5.25</v>
      </c>
      <c r="BV201">
        <v>4.2</v>
      </c>
      <c r="BW201">
        <v>1.6</v>
      </c>
      <c r="BX201">
        <v>5</v>
      </c>
      <c r="BY201">
        <v>4.5</v>
      </c>
      <c r="BZ201">
        <v>1.6</v>
      </c>
      <c r="CA201">
        <v>5</v>
      </c>
      <c r="CB201">
        <v>4.4000000000000004</v>
      </c>
      <c r="CC201">
        <v>1.6</v>
      </c>
      <c r="CD201">
        <v>5.18</v>
      </c>
      <c r="CE201">
        <v>4.51</v>
      </c>
      <c r="CF201">
        <v>1.61</v>
      </c>
      <c r="CG201">
        <v>4.8</v>
      </c>
      <c r="CH201">
        <v>4.5</v>
      </c>
      <c r="CI201">
        <v>1.6</v>
      </c>
      <c r="CJ201">
        <v>5.62</v>
      </c>
      <c r="CK201">
        <v>4.29</v>
      </c>
      <c r="CL201">
        <v>1.62</v>
      </c>
      <c r="CM201">
        <v>5.62</v>
      </c>
      <c r="CN201">
        <v>4.6500000000000004</v>
      </c>
      <c r="CO201">
        <v>1.62</v>
      </c>
      <c r="CP201">
        <v>5.16</v>
      </c>
      <c r="CQ201">
        <v>4.47</v>
      </c>
      <c r="CR201">
        <v>1.6</v>
      </c>
      <c r="CS201">
        <v>5.6</v>
      </c>
      <c r="CT201">
        <v>4.7</v>
      </c>
      <c r="CU201">
        <v>1.63</v>
      </c>
      <c r="CV201">
        <v>1.44</v>
      </c>
      <c r="CW201">
        <v>2.75</v>
      </c>
      <c r="CX201">
        <v>1.44</v>
      </c>
      <c r="CY201">
        <v>2.9</v>
      </c>
      <c r="CZ201">
        <v>1.44</v>
      </c>
      <c r="DA201">
        <v>3.01</v>
      </c>
      <c r="DB201">
        <v>1.42</v>
      </c>
      <c r="DC201">
        <v>2.89</v>
      </c>
      <c r="DD201">
        <v>1.46</v>
      </c>
      <c r="DE201">
        <v>3.1</v>
      </c>
      <c r="DF201">
        <v>1</v>
      </c>
      <c r="DG201">
        <v>1.91</v>
      </c>
      <c r="DH201">
        <v>1.99</v>
      </c>
      <c r="DI201">
        <v>1.93</v>
      </c>
      <c r="DJ201">
        <v>2</v>
      </c>
      <c r="DK201">
        <v>1.95</v>
      </c>
      <c r="DL201">
        <v>2.02</v>
      </c>
      <c r="DM201">
        <v>1.91</v>
      </c>
      <c r="DN201">
        <v>1.95</v>
      </c>
      <c r="DO201">
        <v>1.95</v>
      </c>
      <c r="DP201">
        <v>2.04</v>
      </c>
    </row>
    <row r="202" spans="1:120" x14ac:dyDescent="0.3">
      <c r="A202" t="s">
        <v>120</v>
      </c>
      <c r="B202" t="s">
        <v>200</v>
      </c>
      <c r="C202" s="1">
        <v>0.8125</v>
      </c>
      <c r="D202" t="s">
        <v>151</v>
      </c>
      <c r="E202" t="s">
        <v>142</v>
      </c>
      <c r="F202">
        <v>2</v>
      </c>
      <c r="G202">
        <v>2</v>
      </c>
      <c r="H202" t="s">
        <v>125</v>
      </c>
      <c r="I202">
        <v>1</v>
      </c>
      <c r="J202">
        <v>0</v>
      </c>
      <c r="K202" t="s">
        <v>124</v>
      </c>
      <c r="L202" t="s">
        <v>126</v>
      </c>
      <c r="M202">
        <v>26</v>
      </c>
      <c r="N202">
        <v>7</v>
      </c>
      <c r="O202">
        <v>10</v>
      </c>
      <c r="P202">
        <v>3</v>
      </c>
      <c r="Q202">
        <v>15</v>
      </c>
      <c r="R202">
        <v>16</v>
      </c>
      <c r="S202">
        <v>9</v>
      </c>
      <c r="T202">
        <v>3</v>
      </c>
      <c r="U202">
        <v>2</v>
      </c>
      <c r="V202">
        <v>3</v>
      </c>
      <c r="W202">
        <v>0</v>
      </c>
      <c r="X202">
        <v>0</v>
      </c>
      <c r="Y202">
        <v>1.48</v>
      </c>
      <c r="Z202">
        <v>4.75</v>
      </c>
      <c r="AA202">
        <v>6</v>
      </c>
      <c r="AB202">
        <v>1.49</v>
      </c>
      <c r="AC202">
        <v>4.8</v>
      </c>
      <c r="AD202">
        <v>6</v>
      </c>
      <c r="AE202">
        <v>1.5</v>
      </c>
      <c r="AF202">
        <v>4.75</v>
      </c>
      <c r="AG202">
        <v>5.5</v>
      </c>
      <c r="AH202">
        <v>1.5</v>
      </c>
      <c r="AI202">
        <v>4.96</v>
      </c>
      <c r="AJ202">
        <v>6.17</v>
      </c>
      <c r="AK202">
        <v>1.44</v>
      </c>
      <c r="AL202">
        <v>4.5</v>
      </c>
      <c r="AM202">
        <v>5.5</v>
      </c>
      <c r="AN202">
        <v>1.52</v>
      </c>
      <c r="AO202">
        <v>4.99</v>
      </c>
      <c r="AP202">
        <v>6.01</v>
      </c>
      <c r="AQ202">
        <v>1.61</v>
      </c>
      <c r="AR202">
        <v>4.99</v>
      </c>
      <c r="AS202">
        <v>6.4</v>
      </c>
      <c r="AT202">
        <v>1.5</v>
      </c>
      <c r="AU202">
        <v>4.8099999999999996</v>
      </c>
      <c r="AV202">
        <v>5.92</v>
      </c>
      <c r="AW202">
        <v>1.55</v>
      </c>
      <c r="AX202">
        <v>5</v>
      </c>
      <c r="AY202">
        <v>6.2</v>
      </c>
      <c r="AZ202">
        <v>1.4</v>
      </c>
      <c r="BA202">
        <v>3</v>
      </c>
      <c r="BB202">
        <v>1.44</v>
      </c>
      <c r="BC202">
        <v>2.91</v>
      </c>
      <c r="BD202">
        <v>1.44</v>
      </c>
      <c r="BE202">
        <v>3</v>
      </c>
      <c r="BF202">
        <v>1.42</v>
      </c>
      <c r="BG202">
        <v>2.87</v>
      </c>
      <c r="BH202">
        <v>1.47</v>
      </c>
      <c r="BI202">
        <v>3.1</v>
      </c>
      <c r="BJ202">
        <v>-1.25</v>
      </c>
      <c r="BK202">
        <v>2.02</v>
      </c>
      <c r="BL202">
        <v>1.88</v>
      </c>
      <c r="BM202">
        <v>2.0299999999999998</v>
      </c>
      <c r="BN202">
        <v>1.9</v>
      </c>
      <c r="BO202">
        <v>2.14</v>
      </c>
      <c r="BP202">
        <v>1.9</v>
      </c>
      <c r="BQ202">
        <v>2</v>
      </c>
      <c r="BR202">
        <v>1.83</v>
      </c>
      <c r="BS202">
        <v>2.09</v>
      </c>
      <c r="BT202">
        <v>1.9</v>
      </c>
      <c r="BU202">
        <v>1.5</v>
      </c>
      <c r="BV202">
        <v>4.75</v>
      </c>
      <c r="BW202">
        <v>5.25</v>
      </c>
      <c r="BX202">
        <v>1.53</v>
      </c>
      <c r="BY202">
        <v>4.5999999999999996</v>
      </c>
      <c r="BZ202">
        <v>5.5</v>
      </c>
      <c r="CA202">
        <v>1.5</v>
      </c>
      <c r="CB202">
        <v>4.75</v>
      </c>
      <c r="CC202">
        <v>5.5</v>
      </c>
      <c r="CD202">
        <v>1.54</v>
      </c>
      <c r="CE202">
        <v>4.8</v>
      </c>
      <c r="CF202">
        <v>5.71</v>
      </c>
      <c r="CG202">
        <v>1.5</v>
      </c>
      <c r="CH202">
        <v>4.4000000000000004</v>
      </c>
      <c r="CI202">
        <v>5</v>
      </c>
      <c r="CJ202">
        <v>1.54</v>
      </c>
      <c r="CK202">
        <v>4.92</v>
      </c>
      <c r="CL202">
        <v>5.63</v>
      </c>
      <c r="CM202">
        <v>1.57</v>
      </c>
      <c r="CN202">
        <v>4.95</v>
      </c>
      <c r="CO202">
        <v>6</v>
      </c>
      <c r="CP202">
        <v>1.52</v>
      </c>
      <c r="CQ202">
        <v>4.75</v>
      </c>
      <c r="CR202">
        <v>5.54</v>
      </c>
      <c r="CS202">
        <v>1.56</v>
      </c>
      <c r="CT202">
        <v>5</v>
      </c>
      <c r="CU202">
        <v>6.2</v>
      </c>
      <c r="CV202">
        <v>1.4</v>
      </c>
      <c r="CW202">
        <v>3</v>
      </c>
      <c r="CX202">
        <v>1.44</v>
      </c>
      <c r="CY202">
        <v>2.89</v>
      </c>
      <c r="CZ202">
        <v>1.44</v>
      </c>
      <c r="DA202">
        <v>3.14</v>
      </c>
      <c r="DB202">
        <v>1.41</v>
      </c>
      <c r="DC202">
        <v>2.95</v>
      </c>
      <c r="DD202">
        <v>1.46</v>
      </c>
      <c r="DE202">
        <v>3.1</v>
      </c>
      <c r="DF202">
        <v>-1</v>
      </c>
      <c r="DG202">
        <v>1.86</v>
      </c>
      <c r="DH202">
        <v>2.04</v>
      </c>
      <c r="DI202">
        <v>1.86</v>
      </c>
      <c r="DJ202">
        <v>2.0699999999999998</v>
      </c>
      <c r="DK202">
        <v>1.86</v>
      </c>
      <c r="DL202">
        <v>2.13</v>
      </c>
      <c r="DM202">
        <v>1.81</v>
      </c>
      <c r="DN202">
        <v>2.0499999999999998</v>
      </c>
      <c r="DO202">
        <v>1.89</v>
      </c>
      <c r="DP202">
        <v>2.12</v>
      </c>
    </row>
    <row r="203" spans="1:120" x14ac:dyDescent="0.3">
      <c r="A203" t="s">
        <v>120</v>
      </c>
      <c r="B203" t="s">
        <v>200</v>
      </c>
      <c r="C203" s="1">
        <v>0.8125</v>
      </c>
      <c r="D203" t="s">
        <v>144</v>
      </c>
      <c r="E203" t="s">
        <v>123</v>
      </c>
      <c r="F203">
        <v>3</v>
      </c>
      <c r="G203">
        <v>2</v>
      </c>
      <c r="H203" t="s">
        <v>124</v>
      </c>
      <c r="I203">
        <v>2</v>
      </c>
      <c r="J203">
        <v>0</v>
      </c>
      <c r="K203" t="s">
        <v>124</v>
      </c>
      <c r="L203" t="s">
        <v>140</v>
      </c>
      <c r="M203">
        <v>4</v>
      </c>
      <c r="N203">
        <v>21</v>
      </c>
      <c r="O203">
        <v>3</v>
      </c>
      <c r="P203">
        <v>5</v>
      </c>
      <c r="Q203">
        <v>9</v>
      </c>
      <c r="R203">
        <v>18</v>
      </c>
      <c r="S203">
        <v>0</v>
      </c>
      <c r="T203">
        <v>3</v>
      </c>
      <c r="U203">
        <v>3</v>
      </c>
      <c r="V203">
        <v>3</v>
      </c>
      <c r="W203">
        <v>0</v>
      </c>
      <c r="X203">
        <v>0</v>
      </c>
      <c r="Y203">
        <v>3</v>
      </c>
      <c r="Z203">
        <v>3.4</v>
      </c>
      <c r="AA203">
        <v>2.38</v>
      </c>
      <c r="AB203">
        <v>2.95</v>
      </c>
      <c r="AC203">
        <v>3.4</v>
      </c>
      <c r="AD203">
        <v>2.4</v>
      </c>
      <c r="AE203">
        <v>3</v>
      </c>
      <c r="AF203">
        <v>3.4</v>
      </c>
      <c r="AG203">
        <v>2.4</v>
      </c>
      <c r="AH203">
        <v>3.03</v>
      </c>
      <c r="AI203">
        <v>3.54</v>
      </c>
      <c r="AJ203">
        <v>2.41</v>
      </c>
      <c r="AK203">
        <v>2.9</v>
      </c>
      <c r="AL203">
        <v>3.4</v>
      </c>
      <c r="AM203">
        <v>2.4</v>
      </c>
      <c r="AN203">
        <v>3.04</v>
      </c>
      <c r="AO203">
        <v>3.53</v>
      </c>
      <c r="AP203">
        <v>2.42</v>
      </c>
      <c r="AQ203">
        <v>3.05</v>
      </c>
      <c r="AR203">
        <v>3.54</v>
      </c>
      <c r="AS203">
        <v>2.4900000000000002</v>
      </c>
      <c r="AT203">
        <v>2.97</v>
      </c>
      <c r="AU203">
        <v>3.43</v>
      </c>
      <c r="AV203">
        <v>2.41</v>
      </c>
      <c r="AW203">
        <v>3.1</v>
      </c>
      <c r="AX203">
        <v>3.55</v>
      </c>
      <c r="AY203">
        <v>2.5</v>
      </c>
      <c r="AZ203">
        <v>1.86</v>
      </c>
      <c r="BA203">
        <v>2.04</v>
      </c>
      <c r="BB203">
        <v>1.86</v>
      </c>
      <c r="BC203">
        <v>2.0499999999999998</v>
      </c>
      <c r="BD203">
        <v>1.87</v>
      </c>
      <c r="BE203">
        <v>2.0499999999999998</v>
      </c>
      <c r="BF203">
        <v>1.83</v>
      </c>
      <c r="BG203">
        <v>2.0099999999999998</v>
      </c>
      <c r="BH203">
        <v>1.89</v>
      </c>
      <c r="BI203">
        <v>2.12</v>
      </c>
      <c r="BJ203">
        <v>0.25</v>
      </c>
      <c r="BK203">
        <v>1.83</v>
      </c>
      <c r="BL203">
        <v>2.0699999999999998</v>
      </c>
      <c r="BM203">
        <v>1.85</v>
      </c>
      <c r="BN203">
        <v>2.09</v>
      </c>
      <c r="BO203">
        <v>1.85</v>
      </c>
      <c r="BP203">
        <v>2.09</v>
      </c>
      <c r="BQ203">
        <v>1.8</v>
      </c>
      <c r="BR203">
        <v>2.04</v>
      </c>
      <c r="BS203">
        <v>1.85</v>
      </c>
      <c r="BT203">
        <v>2.14</v>
      </c>
      <c r="BU203">
        <v>3</v>
      </c>
      <c r="BV203">
        <v>3.3</v>
      </c>
      <c r="BW203">
        <v>2.35</v>
      </c>
      <c r="BX203">
        <v>3.1</v>
      </c>
      <c r="BY203">
        <v>3.3</v>
      </c>
      <c r="BZ203">
        <v>2.37</v>
      </c>
      <c r="CA203">
        <v>3.1</v>
      </c>
      <c r="CB203">
        <v>3.3</v>
      </c>
      <c r="CC203">
        <v>2.4</v>
      </c>
      <c r="CD203">
        <v>3.22</v>
      </c>
      <c r="CE203">
        <v>3.3</v>
      </c>
      <c r="CF203">
        <v>2.42</v>
      </c>
      <c r="CG203">
        <v>3</v>
      </c>
      <c r="CH203">
        <v>3.3</v>
      </c>
      <c r="CI203">
        <v>2.4</v>
      </c>
      <c r="CJ203">
        <v>3.2</v>
      </c>
      <c r="CK203">
        <v>3.4</v>
      </c>
      <c r="CL203">
        <v>2.36</v>
      </c>
      <c r="CM203">
        <v>3.22</v>
      </c>
      <c r="CN203">
        <v>3.43</v>
      </c>
      <c r="CO203">
        <v>2.57</v>
      </c>
      <c r="CP203">
        <v>3.07</v>
      </c>
      <c r="CQ203">
        <v>3.3</v>
      </c>
      <c r="CR203">
        <v>2.42</v>
      </c>
      <c r="CS203">
        <v>3.2</v>
      </c>
      <c r="CT203">
        <v>3.4</v>
      </c>
      <c r="CU203">
        <v>2.5</v>
      </c>
      <c r="CV203">
        <v>1.95</v>
      </c>
      <c r="CW203">
        <v>1.95</v>
      </c>
      <c r="CX203">
        <v>1.96</v>
      </c>
      <c r="CY203">
        <v>1.94</v>
      </c>
      <c r="CZ203">
        <v>1.99</v>
      </c>
      <c r="DA203">
        <v>2</v>
      </c>
      <c r="DB203">
        <v>1.91</v>
      </c>
      <c r="DC203">
        <v>1.92</v>
      </c>
      <c r="DD203">
        <v>2</v>
      </c>
      <c r="DE203">
        <v>1.99</v>
      </c>
      <c r="DF203">
        <v>0.25</v>
      </c>
      <c r="DG203">
        <v>1.85</v>
      </c>
      <c r="DH203">
        <v>2.0499999999999998</v>
      </c>
      <c r="DI203">
        <v>1.86</v>
      </c>
      <c r="DJ203">
        <v>2.0699999999999998</v>
      </c>
      <c r="DK203">
        <v>1.89</v>
      </c>
      <c r="DL203">
        <v>2.08</v>
      </c>
      <c r="DM203">
        <v>1.81</v>
      </c>
      <c r="DN203">
        <v>2.0499999999999998</v>
      </c>
      <c r="DO203">
        <v>1.86</v>
      </c>
      <c r="DP203">
        <v>2.13</v>
      </c>
    </row>
    <row r="204" spans="1:120" x14ac:dyDescent="0.3">
      <c r="A204" t="s">
        <v>120</v>
      </c>
      <c r="B204" t="s">
        <v>200</v>
      </c>
      <c r="C204" s="1">
        <v>0.83333333333333337</v>
      </c>
      <c r="D204" t="s">
        <v>141</v>
      </c>
      <c r="E204" t="s">
        <v>129</v>
      </c>
      <c r="F204">
        <v>1</v>
      </c>
      <c r="G204">
        <v>1</v>
      </c>
      <c r="H204" t="s">
        <v>125</v>
      </c>
      <c r="I204">
        <v>1</v>
      </c>
      <c r="J204">
        <v>0</v>
      </c>
      <c r="K204" t="s">
        <v>124</v>
      </c>
      <c r="L204" t="s">
        <v>157</v>
      </c>
      <c r="M204">
        <v>6</v>
      </c>
      <c r="N204">
        <v>23</v>
      </c>
      <c r="O204">
        <v>3</v>
      </c>
      <c r="P204">
        <v>7</v>
      </c>
      <c r="Q204">
        <v>7</v>
      </c>
      <c r="R204">
        <v>10</v>
      </c>
      <c r="S204">
        <v>0</v>
      </c>
      <c r="T204">
        <v>9</v>
      </c>
      <c r="U204">
        <v>2</v>
      </c>
      <c r="V204">
        <v>1</v>
      </c>
      <c r="W204">
        <v>0</v>
      </c>
      <c r="X204">
        <v>0</v>
      </c>
      <c r="Y204">
        <v>5.25</v>
      </c>
      <c r="Z204">
        <v>4.0999999999999996</v>
      </c>
      <c r="AA204">
        <v>1.62</v>
      </c>
      <c r="AB204">
        <v>5</v>
      </c>
      <c r="AC204">
        <v>4.0999999999999996</v>
      </c>
      <c r="AD204">
        <v>1.66</v>
      </c>
      <c r="AE204">
        <v>5</v>
      </c>
      <c r="AF204">
        <v>4</v>
      </c>
      <c r="AG204">
        <v>1.65</v>
      </c>
      <c r="AH204">
        <v>5.28</v>
      </c>
      <c r="AI204">
        <v>4.24</v>
      </c>
      <c r="AJ204">
        <v>1.65</v>
      </c>
      <c r="AK204">
        <v>4.8</v>
      </c>
      <c r="AL204">
        <v>4</v>
      </c>
      <c r="AM204">
        <v>1.67</v>
      </c>
      <c r="AN204">
        <v>5.14</v>
      </c>
      <c r="AO204">
        <v>4.38</v>
      </c>
      <c r="AP204">
        <v>1.66</v>
      </c>
      <c r="AQ204">
        <v>5.4</v>
      </c>
      <c r="AR204">
        <v>4.38</v>
      </c>
      <c r="AS204">
        <v>1.67</v>
      </c>
      <c r="AT204">
        <v>5.14</v>
      </c>
      <c r="AU204">
        <v>4.16</v>
      </c>
      <c r="AV204">
        <v>1.64</v>
      </c>
      <c r="AW204">
        <v>5.6</v>
      </c>
      <c r="AX204">
        <v>4.3</v>
      </c>
      <c r="AY204">
        <v>1.68</v>
      </c>
      <c r="AZ204">
        <v>1.62</v>
      </c>
      <c r="BA204">
        <v>2.2999999999999998</v>
      </c>
      <c r="BB204">
        <v>1.66</v>
      </c>
      <c r="BC204">
        <v>2.33</v>
      </c>
      <c r="BD204">
        <v>1.68</v>
      </c>
      <c r="BE204">
        <v>2.36</v>
      </c>
      <c r="BF204">
        <v>1.63</v>
      </c>
      <c r="BG204">
        <v>2.2999999999999998</v>
      </c>
      <c r="BH204">
        <v>1.68</v>
      </c>
      <c r="BI204">
        <v>2.44</v>
      </c>
      <c r="BJ204">
        <v>1</v>
      </c>
      <c r="BK204">
        <v>1.75</v>
      </c>
      <c r="BL204">
        <v>2.0499999999999998</v>
      </c>
      <c r="BM204">
        <v>1.83</v>
      </c>
      <c r="BN204">
        <v>2.11</v>
      </c>
      <c r="BO204">
        <v>1.83</v>
      </c>
      <c r="BP204">
        <v>2.11</v>
      </c>
      <c r="BQ204">
        <v>1.79</v>
      </c>
      <c r="BR204">
        <v>2.06</v>
      </c>
      <c r="BS204">
        <v>1.83</v>
      </c>
      <c r="BT204">
        <v>2.16</v>
      </c>
      <c r="BU204">
        <v>5.25</v>
      </c>
      <c r="BV204">
        <v>4.0999999999999996</v>
      </c>
      <c r="BW204">
        <v>1.62</v>
      </c>
      <c r="BX204">
        <v>5.25</v>
      </c>
      <c r="BY204">
        <v>4.2</v>
      </c>
      <c r="BZ204">
        <v>1.61</v>
      </c>
      <c r="CA204">
        <v>5.5</v>
      </c>
      <c r="CB204">
        <v>4.0999999999999996</v>
      </c>
      <c r="CC204">
        <v>1.57</v>
      </c>
      <c r="CD204">
        <v>5.7</v>
      </c>
      <c r="CE204">
        <v>4.3</v>
      </c>
      <c r="CF204">
        <v>1.62</v>
      </c>
      <c r="CG204">
        <v>5</v>
      </c>
      <c r="CH204">
        <v>4.2</v>
      </c>
      <c r="CI204">
        <v>1.62</v>
      </c>
      <c r="CJ204">
        <v>5.36</v>
      </c>
      <c r="CK204">
        <v>4.1900000000000004</v>
      </c>
      <c r="CL204">
        <v>1.65</v>
      </c>
      <c r="CM204">
        <v>5.7</v>
      </c>
      <c r="CN204">
        <v>4.3499999999999996</v>
      </c>
      <c r="CO204">
        <v>1.67</v>
      </c>
      <c r="CP204">
        <v>5.37</v>
      </c>
      <c r="CQ204">
        <v>4.2</v>
      </c>
      <c r="CR204">
        <v>1.61</v>
      </c>
      <c r="CS204">
        <v>5.9</v>
      </c>
      <c r="CT204">
        <v>4.4000000000000004</v>
      </c>
      <c r="CU204">
        <v>1.64</v>
      </c>
      <c r="CV204">
        <v>1.62</v>
      </c>
      <c r="CW204">
        <v>2.2999999999999998</v>
      </c>
      <c r="CX204">
        <v>1.64</v>
      </c>
      <c r="CY204">
        <v>2.44</v>
      </c>
      <c r="CZ204">
        <v>1.64</v>
      </c>
      <c r="DA204">
        <v>2.4900000000000002</v>
      </c>
      <c r="DB204">
        <v>1.59</v>
      </c>
      <c r="DC204">
        <v>2.41</v>
      </c>
      <c r="DD204">
        <v>1.64</v>
      </c>
      <c r="DE204">
        <v>2.54</v>
      </c>
      <c r="DF204">
        <v>1</v>
      </c>
      <c r="DG204">
        <v>1.86</v>
      </c>
      <c r="DH204">
        <v>2.04</v>
      </c>
      <c r="DI204">
        <v>1.88</v>
      </c>
      <c r="DJ204">
        <v>2.04</v>
      </c>
      <c r="DK204">
        <v>1.89</v>
      </c>
      <c r="DL204">
        <v>2.06</v>
      </c>
      <c r="DM204">
        <v>1.85</v>
      </c>
      <c r="DN204">
        <v>2.0099999999999998</v>
      </c>
      <c r="DO204">
        <v>1.94</v>
      </c>
      <c r="DP204">
        <v>2.04</v>
      </c>
    </row>
    <row r="205" spans="1:120" x14ac:dyDescent="0.3">
      <c r="A205" t="s">
        <v>120</v>
      </c>
      <c r="B205" t="s">
        <v>201</v>
      </c>
      <c r="C205" s="1">
        <v>0.8125</v>
      </c>
      <c r="D205" t="s">
        <v>135</v>
      </c>
      <c r="E205" t="s">
        <v>145</v>
      </c>
      <c r="F205">
        <v>0</v>
      </c>
      <c r="G205">
        <v>1</v>
      </c>
      <c r="H205" t="s">
        <v>130</v>
      </c>
      <c r="I205">
        <v>0</v>
      </c>
      <c r="J205">
        <v>0</v>
      </c>
      <c r="K205" t="s">
        <v>125</v>
      </c>
      <c r="L205" t="s">
        <v>150</v>
      </c>
      <c r="M205">
        <v>10</v>
      </c>
      <c r="N205">
        <v>11</v>
      </c>
      <c r="O205">
        <v>3</v>
      </c>
      <c r="P205">
        <v>3</v>
      </c>
      <c r="Q205">
        <v>17</v>
      </c>
      <c r="R205">
        <v>10</v>
      </c>
      <c r="S205">
        <v>8</v>
      </c>
      <c r="T205">
        <v>5</v>
      </c>
      <c r="U205">
        <v>2</v>
      </c>
      <c r="V205">
        <v>1</v>
      </c>
      <c r="W205">
        <v>0</v>
      </c>
      <c r="X205">
        <v>0</v>
      </c>
      <c r="Y205">
        <v>3.25</v>
      </c>
      <c r="Z205">
        <v>3.2</v>
      </c>
      <c r="AA205">
        <v>2.2999999999999998</v>
      </c>
      <c r="AB205">
        <v>3.1</v>
      </c>
      <c r="AC205">
        <v>3.25</v>
      </c>
      <c r="AD205">
        <v>2.37</v>
      </c>
      <c r="AE205">
        <v>3.3</v>
      </c>
      <c r="AF205">
        <v>3.25</v>
      </c>
      <c r="AG205">
        <v>2.2999999999999998</v>
      </c>
      <c r="AH205">
        <v>3.26</v>
      </c>
      <c r="AI205">
        <v>3.31</v>
      </c>
      <c r="AJ205">
        <v>2.36</v>
      </c>
      <c r="AK205">
        <v>3.2</v>
      </c>
      <c r="AL205">
        <v>3.1</v>
      </c>
      <c r="AM205">
        <v>2.2999999999999998</v>
      </c>
      <c r="AN205">
        <v>3.28</v>
      </c>
      <c r="AO205">
        <v>3.31</v>
      </c>
      <c r="AP205">
        <v>2.39</v>
      </c>
      <c r="AQ205">
        <v>3.3</v>
      </c>
      <c r="AR205">
        <v>3.35</v>
      </c>
      <c r="AS205">
        <v>2.39</v>
      </c>
      <c r="AT205">
        <v>3.2</v>
      </c>
      <c r="AU205">
        <v>3.24</v>
      </c>
      <c r="AV205">
        <v>2.35</v>
      </c>
      <c r="AW205">
        <v>3.35</v>
      </c>
      <c r="AX205">
        <v>3.35</v>
      </c>
      <c r="AY205">
        <v>2.46</v>
      </c>
      <c r="AZ205">
        <v>2.08</v>
      </c>
      <c r="BA205">
        <v>1.82</v>
      </c>
      <c r="BB205">
        <v>2.09</v>
      </c>
      <c r="BC205">
        <v>1.8</v>
      </c>
      <c r="BD205">
        <v>2.14</v>
      </c>
      <c r="BE205">
        <v>1.82</v>
      </c>
      <c r="BF205">
        <v>2.06</v>
      </c>
      <c r="BG205">
        <v>1.78</v>
      </c>
      <c r="BH205">
        <v>2.1800000000000002</v>
      </c>
      <c r="BI205">
        <v>1.81</v>
      </c>
      <c r="BJ205">
        <v>0.25</v>
      </c>
      <c r="BK205">
        <v>1.87</v>
      </c>
      <c r="BL205">
        <v>2.0299999999999998</v>
      </c>
      <c r="BM205">
        <v>1.88</v>
      </c>
      <c r="BN205">
        <v>2.02</v>
      </c>
      <c r="BO205">
        <v>1.88</v>
      </c>
      <c r="BP205">
        <v>2.0499999999999998</v>
      </c>
      <c r="BQ205">
        <v>1.84</v>
      </c>
      <c r="BR205">
        <v>1.98</v>
      </c>
      <c r="BS205">
        <v>1.9</v>
      </c>
      <c r="BT205">
        <v>2.09</v>
      </c>
      <c r="BU205">
        <v>3.4</v>
      </c>
      <c r="BV205">
        <v>3.1</v>
      </c>
      <c r="BW205">
        <v>2.25</v>
      </c>
      <c r="BX205">
        <v>3.5</v>
      </c>
      <c r="BY205">
        <v>3.1</v>
      </c>
      <c r="BZ205">
        <v>2.2000000000000002</v>
      </c>
      <c r="CA205">
        <v>3.3</v>
      </c>
      <c r="CB205">
        <v>3</v>
      </c>
      <c r="CC205">
        <v>2.25</v>
      </c>
      <c r="CD205">
        <v>3.55</v>
      </c>
      <c r="CE205">
        <v>3.13</v>
      </c>
      <c r="CF205">
        <v>2.35</v>
      </c>
      <c r="CG205">
        <v>3.4</v>
      </c>
      <c r="CH205">
        <v>3.1</v>
      </c>
      <c r="CI205">
        <v>2.2999999999999998</v>
      </c>
      <c r="CJ205">
        <v>3.63</v>
      </c>
      <c r="CK205">
        <v>3.19</v>
      </c>
      <c r="CL205">
        <v>2.2599999999999998</v>
      </c>
      <c r="CM205">
        <v>3.63</v>
      </c>
      <c r="CN205">
        <v>3.21</v>
      </c>
      <c r="CO205">
        <v>2.35</v>
      </c>
      <c r="CP205">
        <v>3.48</v>
      </c>
      <c r="CQ205">
        <v>3.11</v>
      </c>
      <c r="CR205">
        <v>2.29</v>
      </c>
      <c r="CS205">
        <v>3.55</v>
      </c>
      <c r="CT205">
        <v>3.25</v>
      </c>
      <c r="CU205">
        <v>2.42</v>
      </c>
      <c r="CV205">
        <v>2.2999999999999998</v>
      </c>
      <c r="CW205">
        <v>1.62</v>
      </c>
      <c r="CX205">
        <v>2.35</v>
      </c>
      <c r="CY205">
        <v>1.65</v>
      </c>
      <c r="CZ205">
        <v>2.35</v>
      </c>
      <c r="DA205">
        <v>1.69</v>
      </c>
      <c r="DB205">
        <v>2.2599999999999998</v>
      </c>
      <c r="DC205">
        <v>1.66</v>
      </c>
      <c r="DD205">
        <v>2.38</v>
      </c>
      <c r="DE205">
        <v>1.72</v>
      </c>
      <c r="DF205">
        <v>0.25</v>
      </c>
      <c r="DG205">
        <v>1.97</v>
      </c>
      <c r="DH205">
        <v>1.96</v>
      </c>
      <c r="DI205">
        <v>1.93</v>
      </c>
      <c r="DJ205">
        <v>1.99</v>
      </c>
      <c r="DK205">
        <v>1.97</v>
      </c>
      <c r="DL205">
        <v>2</v>
      </c>
      <c r="DM205">
        <v>1.92</v>
      </c>
      <c r="DN205">
        <v>1.93</v>
      </c>
      <c r="DO205">
        <v>1.94</v>
      </c>
      <c r="DP205">
        <v>2.04</v>
      </c>
    </row>
    <row r="206" spans="1:120" x14ac:dyDescent="0.3">
      <c r="A206" t="s">
        <v>120</v>
      </c>
      <c r="B206" t="s">
        <v>201</v>
      </c>
      <c r="C206" s="1">
        <v>0.8125</v>
      </c>
      <c r="D206" t="s">
        <v>155</v>
      </c>
      <c r="E206" t="s">
        <v>149</v>
      </c>
      <c r="F206">
        <v>0</v>
      </c>
      <c r="G206">
        <v>2</v>
      </c>
      <c r="H206" t="s">
        <v>130</v>
      </c>
      <c r="I206">
        <v>0</v>
      </c>
      <c r="J206">
        <v>0</v>
      </c>
      <c r="K206" t="s">
        <v>125</v>
      </c>
      <c r="L206" t="s">
        <v>176</v>
      </c>
      <c r="M206">
        <v>21</v>
      </c>
      <c r="N206">
        <v>9</v>
      </c>
      <c r="O206">
        <v>4</v>
      </c>
      <c r="P206">
        <v>4</v>
      </c>
      <c r="Q206">
        <v>7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0</v>
      </c>
      <c r="Y206">
        <v>3.9</v>
      </c>
      <c r="Z206">
        <v>3.6</v>
      </c>
      <c r="AA206">
        <v>1.91</v>
      </c>
      <c r="AB206">
        <v>3.75</v>
      </c>
      <c r="AC206">
        <v>3.7</v>
      </c>
      <c r="AD206">
        <v>1.95</v>
      </c>
      <c r="AE206">
        <v>3.9</v>
      </c>
      <c r="AF206">
        <v>3.7</v>
      </c>
      <c r="AG206">
        <v>1.95</v>
      </c>
      <c r="AH206">
        <v>4.01</v>
      </c>
      <c r="AI206">
        <v>3.76</v>
      </c>
      <c r="AJ206">
        <v>1.93</v>
      </c>
      <c r="AK206">
        <v>3.75</v>
      </c>
      <c r="AL206">
        <v>3.7</v>
      </c>
      <c r="AM206">
        <v>1.95</v>
      </c>
      <c r="AN206">
        <v>3.96</v>
      </c>
      <c r="AO206">
        <v>3.94</v>
      </c>
      <c r="AP206">
        <v>1.93</v>
      </c>
      <c r="AQ206">
        <v>4.01</v>
      </c>
      <c r="AR206">
        <v>3.94</v>
      </c>
      <c r="AS206">
        <v>1.96</v>
      </c>
      <c r="AT206">
        <v>3.88</v>
      </c>
      <c r="AU206">
        <v>3.73</v>
      </c>
      <c r="AV206">
        <v>1.92</v>
      </c>
      <c r="AW206">
        <v>4</v>
      </c>
      <c r="AX206">
        <v>3.85</v>
      </c>
      <c r="AY206">
        <v>2</v>
      </c>
      <c r="AZ206">
        <v>1.73</v>
      </c>
      <c r="BA206">
        <v>2.1</v>
      </c>
      <c r="BB206">
        <v>1.76</v>
      </c>
      <c r="BC206">
        <v>2.15</v>
      </c>
      <c r="BD206">
        <v>1.78</v>
      </c>
      <c r="BE206">
        <v>2.16</v>
      </c>
      <c r="BF206">
        <v>1.74</v>
      </c>
      <c r="BG206">
        <v>2.11</v>
      </c>
      <c r="BH206">
        <v>1.79</v>
      </c>
      <c r="BI206">
        <v>2.2200000000000002</v>
      </c>
      <c r="BJ206">
        <v>0.5</v>
      </c>
      <c r="BK206">
        <v>1.97</v>
      </c>
      <c r="BL206">
        <v>1.93</v>
      </c>
      <c r="BM206">
        <v>1.97</v>
      </c>
      <c r="BN206">
        <v>1.93</v>
      </c>
      <c r="BO206">
        <v>1.97</v>
      </c>
      <c r="BP206">
        <v>1.94</v>
      </c>
      <c r="BQ206">
        <v>1.92</v>
      </c>
      <c r="BR206">
        <v>1.91</v>
      </c>
      <c r="BS206">
        <v>1.98</v>
      </c>
      <c r="BT206">
        <v>2.0099999999999998</v>
      </c>
      <c r="BU206">
        <v>3.8</v>
      </c>
      <c r="BV206">
        <v>3.7</v>
      </c>
      <c r="BW206">
        <v>1.91</v>
      </c>
      <c r="BX206">
        <v>3.9</v>
      </c>
      <c r="BY206">
        <v>3.6</v>
      </c>
      <c r="BZ206">
        <v>1.95</v>
      </c>
      <c r="CA206">
        <v>3.9</v>
      </c>
      <c r="CB206">
        <v>3.6</v>
      </c>
      <c r="CC206">
        <v>1.91</v>
      </c>
      <c r="CD206">
        <v>4.07</v>
      </c>
      <c r="CE206">
        <v>3.63</v>
      </c>
      <c r="CF206">
        <v>1.97</v>
      </c>
      <c r="CG206">
        <v>3.8</v>
      </c>
      <c r="CH206">
        <v>3.5</v>
      </c>
      <c r="CI206">
        <v>1.95</v>
      </c>
      <c r="CJ206">
        <v>3.9</v>
      </c>
      <c r="CK206">
        <v>3.79</v>
      </c>
      <c r="CL206">
        <v>1.96</v>
      </c>
      <c r="CM206">
        <v>4.0999999999999996</v>
      </c>
      <c r="CN206">
        <v>3.79</v>
      </c>
      <c r="CO206">
        <v>2</v>
      </c>
      <c r="CP206">
        <v>3.93</v>
      </c>
      <c r="CQ206">
        <v>3.61</v>
      </c>
      <c r="CR206">
        <v>1.95</v>
      </c>
      <c r="CS206">
        <v>4</v>
      </c>
      <c r="CT206">
        <v>3.85</v>
      </c>
      <c r="CU206">
        <v>2</v>
      </c>
      <c r="CV206">
        <v>1.9</v>
      </c>
      <c r="CW206">
        <v>2</v>
      </c>
      <c r="CX206">
        <v>1.91</v>
      </c>
      <c r="CY206">
        <v>1.99</v>
      </c>
      <c r="CZ206">
        <v>1.91</v>
      </c>
      <c r="DA206">
        <v>2.1</v>
      </c>
      <c r="DB206">
        <v>1.84</v>
      </c>
      <c r="DC206">
        <v>2</v>
      </c>
      <c r="DD206">
        <v>1.91</v>
      </c>
      <c r="DE206">
        <v>2.08</v>
      </c>
      <c r="DF206">
        <v>0.5</v>
      </c>
      <c r="DG206">
        <v>1.94</v>
      </c>
      <c r="DH206">
        <v>1.99</v>
      </c>
      <c r="DI206">
        <v>1.94</v>
      </c>
      <c r="DJ206">
        <v>1.98</v>
      </c>
      <c r="DK206">
        <v>1.95</v>
      </c>
      <c r="DL206">
        <v>1.99</v>
      </c>
      <c r="DM206">
        <v>1.9</v>
      </c>
      <c r="DN206">
        <v>1.95</v>
      </c>
      <c r="DO206">
        <v>1.98</v>
      </c>
      <c r="DP206">
        <v>2</v>
      </c>
    </row>
    <row r="207" spans="1:120" x14ac:dyDescent="0.3">
      <c r="A207" t="s">
        <v>120</v>
      </c>
      <c r="B207" t="s">
        <v>201</v>
      </c>
      <c r="C207" s="1">
        <v>0.8125</v>
      </c>
      <c r="D207" t="s">
        <v>138</v>
      </c>
      <c r="E207" t="s">
        <v>133</v>
      </c>
      <c r="F207">
        <v>3</v>
      </c>
      <c r="G207">
        <v>0</v>
      </c>
      <c r="H207" t="s">
        <v>124</v>
      </c>
      <c r="I207">
        <v>1</v>
      </c>
      <c r="J207">
        <v>0</v>
      </c>
      <c r="K207" t="s">
        <v>124</v>
      </c>
      <c r="L207" t="s">
        <v>163</v>
      </c>
      <c r="M207">
        <v>17</v>
      </c>
      <c r="N207">
        <v>13</v>
      </c>
      <c r="O207">
        <v>5</v>
      </c>
      <c r="P207">
        <v>7</v>
      </c>
      <c r="Q207">
        <v>10</v>
      </c>
      <c r="R207">
        <v>13</v>
      </c>
      <c r="S207">
        <v>4</v>
      </c>
      <c r="T207">
        <v>2</v>
      </c>
      <c r="U207">
        <v>0</v>
      </c>
      <c r="V207">
        <v>2</v>
      </c>
      <c r="W207">
        <v>0</v>
      </c>
      <c r="X207">
        <v>0</v>
      </c>
      <c r="Y207">
        <v>1.36</v>
      </c>
      <c r="Z207">
        <v>5.5</v>
      </c>
      <c r="AA207">
        <v>8</v>
      </c>
      <c r="AB207">
        <v>1.36</v>
      </c>
      <c r="AC207">
        <v>5.5</v>
      </c>
      <c r="AD207">
        <v>7.75</v>
      </c>
      <c r="AE207">
        <v>1.33</v>
      </c>
      <c r="AF207">
        <v>5.5</v>
      </c>
      <c r="AG207">
        <v>8.5</v>
      </c>
      <c r="AH207">
        <v>1.36</v>
      </c>
      <c r="AI207">
        <v>5.73</v>
      </c>
      <c r="AJ207">
        <v>7.91</v>
      </c>
      <c r="AK207">
        <v>1.36</v>
      </c>
      <c r="AL207">
        <v>5</v>
      </c>
      <c r="AM207">
        <v>7.5</v>
      </c>
      <c r="AN207">
        <v>1.38</v>
      </c>
      <c r="AO207">
        <v>5.66</v>
      </c>
      <c r="AP207">
        <v>8.15</v>
      </c>
      <c r="AQ207">
        <v>1.38</v>
      </c>
      <c r="AR207">
        <v>5.9</v>
      </c>
      <c r="AS207">
        <v>9</v>
      </c>
      <c r="AT207">
        <v>1.35</v>
      </c>
      <c r="AU207">
        <v>5.54</v>
      </c>
      <c r="AV207">
        <v>8.08</v>
      </c>
      <c r="AW207">
        <v>1.37</v>
      </c>
      <c r="AX207">
        <v>5.9</v>
      </c>
      <c r="AY207">
        <v>9.4</v>
      </c>
      <c r="AZ207">
        <v>1.44</v>
      </c>
      <c r="BA207">
        <v>2.75</v>
      </c>
      <c r="BB207">
        <v>1.42</v>
      </c>
      <c r="BC207">
        <v>2.93</v>
      </c>
      <c r="BD207">
        <v>1.44</v>
      </c>
      <c r="BE207">
        <v>2.94</v>
      </c>
      <c r="BF207">
        <v>1.42</v>
      </c>
      <c r="BG207">
        <v>2.82</v>
      </c>
      <c r="BH207">
        <v>1.48</v>
      </c>
      <c r="BI207">
        <v>2.98</v>
      </c>
      <c r="BJ207">
        <v>-1.5</v>
      </c>
      <c r="BK207">
        <v>1.95</v>
      </c>
      <c r="BL207">
        <v>1.95</v>
      </c>
      <c r="BM207">
        <v>1.94</v>
      </c>
      <c r="BN207">
        <v>1.96</v>
      </c>
      <c r="BO207">
        <v>1.97</v>
      </c>
      <c r="BP207">
        <v>2.0299999999999998</v>
      </c>
      <c r="BQ207">
        <v>1.91</v>
      </c>
      <c r="BR207">
        <v>1.93</v>
      </c>
      <c r="BS207">
        <v>2</v>
      </c>
      <c r="BT207">
        <v>1.96</v>
      </c>
      <c r="BU207">
        <v>1.36</v>
      </c>
      <c r="BV207">
        <v>5</v>
      </c>
      <c r="BW207">
        <v>7.5</v>
      </c>
      <c r="BX207">
        <v>1.4</v>
      </c>
      <c r="BY207">
        <v>5.25</v>
      </c>
      <c r="BZ207">
        <v>7.25</v>
      </c>
      <c r="CA207">
        <v>1.33</v>
      </c>
      <c r="CB207">
        <v>5</v>
      </c>
      <c r="CC207">
        <v>8</v>
      </c>
      <c r="CD207">
        <v>1.37</v>
      </c>
      <c r="CE207">
        <v>5.4</v>
      </c>
      <c r="CF207">
        <v>8.5</v>
      </c>
      <c r="CG207">
        <v>1.4</v>
      </c>
      <c r="CH207">
        <v>5</v>
      </c>
      <c r="CI207">
        <v>7.5</v>
      </c>
      <c r="CJ207">
        <v>1.39</v>
      </c>
      <c r="CK207">
        <v>5.26</v>
      </c>
      <c r="CL207">
        <v>8.18</v>
      </c>
      <c r="CM207">
        <v>1.4</v>
      </c>
      <c r="CN207">
        <v>5.6</v>
      </c>
      <c r="CO207">
        <v>8.73</v>
      </c>
      <c r="CP207">
        <v>1.37</v>
      </c>
      <c r="CQ207">
        <v>5.26</v>
      </c>
      <c r="CR207">
        <v>7.88</v>
      </c>
      <c r="CS207">
        <v>1.42</v>
      </c>
      <c r="CT207">
        <v>5.5</v>
      </c>
      <c r="CU207">
        <v>8.6</v>
      </c>
      <c r="CV207">
        <v>1.5</v>
      </c>
      <c r="CW207">
        <v>2.63</v>
      </c>
      <c r="CX207">
        <v>1.51</v>
      </c>
      <c r="CY207">
        <v>2.66</v>
      </c>
      <c r="CZ207">
        <v>1.53</v>
      </c>
      <c r="DA207">
        <v>2.75</v>
      </c>
      <c r="DB207">
        <v>1.49</v>
      </c>
      <c r="DC207">
        <v>2.65</v>
      </c>
      <c r="DD207">
        <v>1.57</v>
      </c>
      <c r="DE207">
        <v>2.74</v>
      </c>
      <c r="DF207">
        <v>-1.5</v>
      </c>
      <c r="DG207">
        <v>2.08</v>
      </c>
      <c r="DH207">
        <v>1.85</v>
      </c>
      <c r="DI207">
        <v>2.09</v>
      </c>
      <c r="DJ207">
        <v>1.85</v>
      </c>
      <c r="DK207">
        <v>2.09</v>
      </c>
      <c r="DL207">
        <v>1.9</v>
      </c>
      <c r="DM207">
        <v>2.0299999999999998</v>
      </c>
      <c r="DN207">
        <v>1.84</v>
      </c>
      <c r="DO207">
        <v>2.14</v>
      </c>
      <c r="DP207">
        <v>1.86</v>
      </c>
    </row>
    <row r="208" spans="1:120" x14ac:dyDescent="0.3">
      <c r="A208" t="s">
        <v>120</v>
      </c>
      <c r="B208" t="s">
        <v>201</v>
      </c>
      <c r="C208" s="1">
        <v>0.83333333333333337</v>
      </c>
      <c r="D208" t="s">
        <v>132</v>
      </c>
      <c r="E208" t="s">
        <v>156</v>
      </c>
      <c r="F208">
        <v>2</v>
      </c>
      <c r="G208">
        <v>1</v>
      </c>
      <c r="H208" t="s">
        <v>124</v>
      </c>
      <c r="I208">
        <v>2</v>
      </c>
      <c r="J208">
        <v>1</v>
      </c>
      <c r="K208" t="s">
        <v>124</v>
      </c>
      <c r="L208" t="s">
        <v>137</v>
      </c>
      <c r="M208">
        <v>14</v>
      </c>
      <c r="N208">
        <v>10</v>
      </c>
      <c r="O208">
        <v>4</v>
      </c>
      <c r="P208">
        <v>2</v>
      </c>
      <c r="Q208">
        <v>16</v>
      </c>
      <c r="R208">
        <v>9</v>
      </c>
      <c r="S208">
        <v>10</v>
      </c>
      <c r="T208">
        <v>4</v>
      </c>
      <c r="U208">
        <v>3</v>
      </c>
      <c r="V208">
        <v>1</v>
      </c>
      <c r="W208">
        <v>0</v>
      </c>
      <c r="X208">
        <v>0</v>
      </c>
      <c r="Y208">
        <v>1.4</v>
      </c>
      <c r="Z208">
        <v>5.25</v>
      </c>
      <c r="AA208">
        <v>7</v>
      </c>
      <c r="AB208">
        <v>1.41</v>
      </c>
      <c r="AC208">
        <v>5.25</v>
      </c>
      <c r="AD208">
        <v>6.25</v>
      </c>
      <c r="AE208">
        <v>1.4</v>
      </c>
      <c r="AF208">
        <v>5</v>
      </c>
      <c r="AG208">
        <v>7</v>
      </c>
      <c r="AH208">
        <v>1.4</v>
      </c>
      <c r="AI208">
        <v>5.54</v>
      </c>
      <c r="AJ208">
        <v>6.88</v>
      </c>
      <c r="AK208">
        <v>1.4</v>
      </c>
      <c r="AL208">
        <v>5</v>
      </c>
      <c r="AM208">
        <v>7</v>
      </c>
      <c r="AN208">
        <v>1.43</v>
      </c>
      <c r="AO208">
        <v>5.35</v>
      </c>
      <c r="AP208">
        <v>7.23</v>
      </c>
      <c r="AQ208">
        <v>1.43</v>
      </c>
      <c r="AR208">
        <v>5.6</v>
      </c>
      <c r="AS208">
        <v>7.23</v>
      </c>
      <c r="AT208">
        <v>1.4</v>
      </c>
      <c r="AU208">
        <v>5.29</v>
      </c>
      <c r="AV208">
        <v>6.86</v>
      </c>
      <c r="AW208">
        <v>1.45</v>
      </c>
      <c r="AX208">
        <v>5.5</v>
      </c>
      <c r="AY208">
        <v>7.6</v>
      </c>
      <c r="AZ208">
        <v>1.44</v>
      </c>
      <c r="BA208">
        <v>2.75</v>
      </c>
      <c r="BB208">
        <v>1.43</v>
      </c>
      <c r="BC208">
        <v>2.92</v>
      </c>
      <c r="BD208">
        <v>1.44</v>
      </c>
      <c r="BE208">
        <v>2.92</v>
      </c>
      <c r="BF208">
        <v>1.43</v>
      </c>
      <c r="BG208">
        <v>2.8</v>
      </c>
      <c r="BH208">
        <v>1.47</v>
      </c>
      <c r="BI208">
        <v>3</v>
      </c>
      <c r="BJ208">
        <v>-1.25</v>
      </c>
      <c r="BK208">
        <v>1.85</v>
      </c>
      <c r="BL208">
        <v>2.0499999999999998</v>
      </c>
      <c r="BM208">
        <v>1.85</v>
      </c>
      <c r="BN208">
        <v>2.06</v>
      </c>
      <c r="BO208">
        <v>1.86</v>
      </c>
      <c r="BP208">
        <v>2.06</v>
      </c>
      <c r="BQ208">
        <v>1.83</v>
      </c>
      <c r="BR208">
        <v>1.99</v>
      </c>
      <c r="BS208">
        <v>1.91</v>
      </c>
      <c r="BT208">
        <v>2.0299999999999998</v>
      </c>
      <c r="BU208">
        <v>1.36</v>
      </c>
      <c r="BV208">
        <v>5.5</v>
      </c>
      <c r="BW208">
        <v>7.5</v>
      </c>
      <c r="BX208">
        <v>1.4</v>
      </c>
      <c r="BY208">
        <v>5.25</v>
      </c>
      <c r="BZ208">
        <v>6.25</v>
      </c>
      <c r="CA208">
        <v>1.36</v>
      </c>
      <c r="CB208">
        <v>5</v>
      </c>
      <c r="CC208">
        <v>7.5</v>
      </c>
      <c r="CD208">
        <v>1.38</v>
      </c>
      <c r="CE208">
        <v>5.35</v>
      </c>
      <c r="CF208">
        <v>8.1999999999999993</v>
      </c>
      <c r="CG208">
        <v>1.36</v>
      </c>
      <c r="CH208">
        <v>5</v>
      </c>
      <c r="CI208">
        <v>7.5</v>
      </c>
      <c r="CJ208">
        <v>1.4</v>
      </c>
      <c r="CK208">
        <v>5.59</v>
      </c>
      <c r="CL208">
        <v>7.3</v>
      </c>
      <c r="CM208">
        <v>1.41</v>
      </c>
      <c r="CN208">
        <v>5.75</v>
      </c>
      <c r="CO208">
        <v>8.1999999999999993</v>
      </c>
      <c r="CP208">
        <v>1.38</v>
      </c>
      <c r="CQ208">
        <v>5.31</v>
      </c>
      <c r="CR208">
        <v>7.55</v>
      </c>
      <c r="CS208">
        <v>1.42</v>
      </c>
      <c r="CT208">
        <v>5.5</v>
      </c>
      <c r="CU208">
        <v>8.1999999999999993</v>
      </c>
      <c r="CV208">
        <v>1.5</v>
      </c>
      <c r="CW208">
        <v>2.63</v>
      </c>
      <c r="CX208">
        <v>1.54</v>
      </c>
      <c r="CY208">
        <v>2.6</v>
      </c>
      <c r="CZ208">
        <v>1.58</v>
      </c>
      <c r="DA208">
        <v>2.7</v>
      </c>
      <c r="DB208">
        <v>1.52</v>
      </c>
      <c r="DC208">
        <v>2.57</v>
      </c>
      <c r="DD208">
        <v>1.56</v>
      </c>
      <c r="DE208">
        <v>2.76</v>
      </c>
      <c r="DF208">
        <v>-1.25</v>
      </c>
      <c r="DG208">
        <v>1.87</v>
      </c>
      <c r="DH208">
        <v>2.06</v>
      </c>
      <c r="DI208">
        <v>1.85</v>
      </c>
      <c r="DJ208">
        <v>2.09</v>
      </c>
      <c r="DK208">
        <v>1.9</v>
      </c>
      <c r="DL208">
        <v>2.14</v>
      </c>
      <c r="DM208">
        <v>1.81</v>
      </c>
      <c r="DN208">
        <v>2.04</v>
      </c>
      <c r="DO208">
        <v>1.89</v>
      </c>
      <c r="DP208">
        <v>2.09</v>
      </c>
    </row>
    <row r="209" spans="1:120" x14ac:dyDescent="0.3">
      <c r="A209" t="s">
        <v>120</v>
      </c>
      <c r="B209" t="s">
        <v>202</v>
      </c>
      <c r="C209" s="1">
        <v>0.8125</v>
      </c>
      <c r="D209" t="s">
        <v>128</v>
      </c>
      <c r="E209" t="s">
        <v>136</v>
      </c>
      <c r="F209">
        <v>0</v>
      </c>
      <c r="G209">
        <v>2</v>
      </c>
      <c r="H209" t="s">
        <v>130</v>
      </c>
      <c r="I209">
        <v>0</v>
      </c>
      <c r="J209">
        <v>0</v>
      </c>
      <c r="K209" t="s">
        <v>125</v>
      </c>
      <c r="L209" t="s">
        <v>146</v>
      </c>
      <c r="M209">
        <v>5</v>
      </c>
      <c r="N209">
        <v>11</v>
      </c>
      <c r="O209">
        <v>3</v>
      </c>
      <c r="P209">
        <v>5</v>
      </c>
      <c r="Q209">
        <v>13</v>
      </c>
      <c r="R209">
        <v>14</v>
      </c>
      <c r="S209">
        <v>1</v>
      </c>
      <c r="T209">
        <v>9</v>
      </c>
      <c r="U209">
        <v>2</v>
      </c>
      <c r="V209">
        <v>2</v>
      </c>
      <c r="W209">
        <v>0</v>
      </c>
      <c r="X209">
        <v>0</v>
      </c>
      <c r="Y209">
        <v>3.9</v>
      </c>
      <c r="Z209">
        <v>3.7</v>
      </c>
      <c r="AA209">
        <v>1.91</v>
      </c>
      <c r="AB209">
        <v>3.9</v>
      </c>
      <c r="AC209">
        <v>3.75</v>
      </c>
      <c r="AD209">
        <v>1.9</v>
      </c>
      <c r="AE209">
        <v>3.8</v>
      </c>
      <c r="AF209">
        <v>3.7</v>
      </c>
      <c r="AG209">
        <v>1.95</v>
      </c>
      <c r="AH209">
        <v>3.84</v>
      </c>
      <c r="AI209">
        <v>3.78</v>
      </c>
      <c r="AJ209">
        <v>1.96</v>
      </c>
      <c r="AK209">
        <v>3.75</v>
      </c>
      <c r="AL209">
        <v>3.75</v>
      </c>
      <c r="AM209">
        <v>1.91</v>
      </c>
      <c r="AN209">
        <v>3.85</v>
      </c>
      <c r="AO209">
        <v>3.92</v>
      </c>
      <c r="AP209">
        <v>1.96</v>
      </c>
      <c r="AQ209">
        <v>3.9</v>
      </c>
      <c r="AR209">
        <v>3.92</v>
      </c>
      <c r="AS209">
        <v>1.98</v>
      </c>
      <c r="AT209">
        <v>3.8</v>
      </c>
      <c r="AU209">
        <v>3.73</v>
      </c>
      <c r="AV209">
        <v>1.94</v>
      </c>
      <c r="AW209">
        <v>4</v>
      </c>
      <c r="AX209">
        <v>3.8</v>
      </c>
      <c r="AY209">
        <v>2.02</v>
      </c>
      <c r="AZ209">
        <v>1.73</v>
      </c>
      <c r="BA209">
        <v>2.1</v>
      </c>
      <c r="BB209">
        <v>1.73</v>
      </c>
      <c r="BC209">
        <v>2.2000000000000002</v>
      </c>
      <c r="BD209">
        <v>1.75</v>
      </c>
      <c r="BE209">
        <v>2.2799999999999998</v>
      </c>
      <c r="BF209">
        <v>1.71</v>
      </c>
      <c r="BG209">
        <v>2.15</v>
      </c>
      <c r="BH209">
        <v>1.76</v>
      </c>
      <c r="BI209">
        <v>2.2599999999999998</v>
      </c>
      <c r="BJ209">
        <v>0.5</v>
      </c>
      <c r="BK209">
        <v>1.95</v>
      </c>
      <c r="BL209">
        <v>1.95</v>
      </c>
      <c r="BM209">
        <v>1.93</v>
      </c>
      <c r="BN209">
        <v>1.97</v>
      </c>
      <c r="BO209">
        <v>1.98</v>
      </c>
      <c r="BP209">
        <v>1.97</v>
      </c>
      <c r="BQ209">
        <v>1.91</v>
      </c>
      <c r="BR209">
        <v>1.93</v>
      </c>
      <c r="BS209">
        <v>1.96</v>
      </c>
      <c r="BT209">
        <v>2.02</v>
      </c>
      <c r="BU209">
        <v>3.7</v>
      </c>
      <c r="BV209">
        <v>3.6</v>
      </c>
      <c r="BW209">
        <v>1.95</v>
      </c>
      <c r="BX209">
        <v>3.75</v>
      </c>
      <c r="BY209">
        <v>3.6</v>
      </c>
      <c r="BZ209">
        <v>1.98</v>
      </c>
      <c r="CA209">
        <v>3.75</v>
      </c>
      <c r="CB209">
        <v>3.6</v>
      </c>
      <c r="CC209">
        <v>1.91</v>
      </c>
      <c r="CD209">
        <v>3.94</v>
      </c>
      <c r="CE209">
        <v>3.75</v>
      </c>
      <c r="CF209">
        <v>1.97</v>
      </c>
      <c r="CG209">
        <v>3.75</v>
      </c>
      <c r="CH209">
        <v>3.6</v>
      </c>
      <c r="CI209">
        <v>1.95</v>
      </c>
      <c r="CJ209">
        <v>3.81</v>
      </c>
      <c r="CK209">
        <v>3.7</v>
      </c>
      <c r="CL209">
        <v>2.0099999999999998</v>
      </c>
      <c r="CM209">
        <v>3.95</v>
      </c>
      <c r="CN209">
        <v>3.8</v>
      </c>
      <c r="CO209">
        <v>2.0299999999999998</v>
      </c>
      <c r="CP209">
        <v>3.81</v>
      </c>
      <c r="CQ209">
        <v>3.66</v>
      </c>
      <c r="CR209">
        <v>1.97</v>
      </c>
      <c r="CS209">
        <v>4</v>
      </c>
      <c r="CT209">
        <v>3.85</v>
      </c>
      <c r="CU209">
        <v>2.02</v>
      </c>
      <c r="CV209">
        <v>1.8</v>
      </c>
      <c r="CW209">
        <v>2</v>
      </c>
      <c r="CX209">
        <v>1.79</v>
      </c>
      <c r="CY209">
        <v>2.12</v>
      </c>
      <c r="CZ209">
        <v>1.85</v>
      </c>
      <c r="DA209">
        <v>2.14</v>
      </c>
      <c r="DB209">
        <v>1.77</v>
      </c>
      <c r="DC209">
        <v>2.09</v>
      </c>
      <c r="DD209">
        <v>1.85</v>
      </c>
      <c r="DE209">
        <v>2.16</v>
      </c>
      <c r="DF209">
        <v>0.5</v>
      </c>
      <c r="DG209">
        <v>1.94</v>
      </c>
      <c r="DH209">
        <v>1.99</v>
      </c>
      <c r="DI209">
        <v>1.94</v>
      </c>
      <c r="DJ209">
        <v>1.98</v>
      </c>
      <c r="DK209">
        <v>1.95</v>
      </c>
      <c r="DL209">
        <v>1.99</v>
      </c>
      <c r="DM209">
        <v>1.89</v>
      </c>
      <c r="DN209">
        <v>1.96</v>
      </c>
      <c r="DO209">
        <v>1.97</v>
      </c>
      <c r="DP209">
        <v>2.02</v>
      </c>
    </row>
    <row r="210" spans="1:120" x14ac:dyDescent="0.3">
      <c r="A210" t="s">
        <v>120</v>
      </c>
      <c r="B210" t="s">
        <v>202</v>
      </c>
      <c r="C210" s="1">
        <v>0.83333333333333337</v>
      </c>
      <c r="D210" t="s">
        <v>122</v>
      </c>
      <c r="E210" t="s">
        <v>139</v>
      </c>
      <c r="F210">
        <v>3</v>
      </c>
      <c r="G210">
        <v>1</v>
      </c>
      <c r="H210" t="s">
        <v>124</v>
      </c>
      <c r="I210">
        <v>0</v>
      </c>
      <c r="J210">
        <v>1</v>
      </c>
      <c r="K210" t="s">
        <v>130</v>
      </c>
      <c r="L210" t="s">
        <v>173</v>
      </c>
      <c r="M210">
        <v>23</v>
      </c>
      <c r="N210">
        <v>13</v>
      </c>
      <c r="O210">
        <v>9</v>
      </c>
      <c r="P210">
        <v>5</v>
      </c>
      <c r="Q210">
        <v>7</v>
      </c>
      <c r="R210">
        <v>10</v>
      </c>
      <c r="S210">
        <v>5</v>
      </c>
      <c r="T210">
        <v>4</v>
      </c>
      <c r="U210">
        <v>1</v>
      </c>
      <c r="V210">
        <v>3</v>
      </c>
      <c r="W210">
        <v>0</v>
      </c>
      <c r="X210">
        <v>0</v>
      </c>
      <c r="Y210">
        <v>1.29</v>
      </c>
      <c r="Z210">
        <v>6</v>
      </c>
      <c r="AA210">
        <v>9.5</v>
      </c>
      <c r="AB210">
        <v>1.3</v>
      </c>
      <c r="AC210">
        <v>6</v>
      </c>
      <c r="AD210">
        <v>9.25</v>
      </c>
      <c r="AE210">
        <v>1.3</v>
      </c>
      <c r="AF210">
        <v>5.5</v>
      </c>
      <c r="AG210">
        <v>9.5</v>
      </c>
      <c r="AH210">
        <v>1.31</v>
      </c>
      <c r="AI210">
        <v>5.97</v>
      </c>
      <c r="AJ210">
        <v>9.23</v>
      </c>
      <c r="AK210">
        <v>1.3</v>
      </c>
      <c r="AL210">
        <v>5.5</v>
      </c>
      <c r="AM210">
        <v>9.5</v>
      </c>
      <c r="AN210">
        <v>1.33</v>
      </c>
      <c r="AO210">
        <v>5.86</v>
      </c>
      <c r="AP210">
        <v>9.9499999999999993</v>
      </c>
      <c r="AQ210">
        <v>1.33</v>
      </c>
      <c r="AR210">
        <v>6</v>
      </c>
      <c r="AS210">
        <v>10.5</v>
      </c>
      <c r="AT210">
        <v>1.3</v>
      </c>
      <c r="AU210">
        <v>5.79</v>
      </c>
      <c r="AV210">
        <v>9.4</v>
      </c>
      <c r="AW210">
        <v>1.32</v>
      </c>
      <c r="AX210">
        <v>6.4</v>
      </c>
      <c r="AY210">
        <v>11</v>
      </c>
      <c r="AZ210">
        <v>1.53</v>
      </c>
      <c r="BA210">
        <v>2.5</v>
      </c>
      <c r="BB210">
        <v>1.55</v>
      </c>
      <c r="BC210">
        <v>2.57</v>
      </c>
      <c r="BD210">
        <v>1.55</v>
      </c>
      <c r="BE210">
        <v>2.63</v>
      </c>
      <c r="BF210">
        <v>1.52</v>
      </c>
      <c r="BG210">
        <v>2.52</v>
      </c>
      <c r="BH210">
        <v>1.55</v>
      </c>
      <c r="BI210">
        <v>2.7</v>
      </c>
      <c r="BJ210">
        <v>-1.5</v>
      </c>
      <c r="BK210">
        <v>1.9</v>
      </c>
      <c r="BL210">
        <v>2</v>
      </c>
      <c r="BM210">
        <v>1.92</v>
      </c>
      <c r="BN210">
        <v>1.99</v>
      </c>
      <c r="BO210">
        <v>1.92</v>
      </c>
      <c r="BP210">
        <v>2</v>
      </c>
      <c r="BQ210">
        <v>1.87</v>
      </c>
      <c r="BR210">
        <v>1.97</v>
      </c>
      <c r="BS210">
        <v>1.9</v>
      </c>
      <c r="BT210">
        <v>2.0299999999999998</v>
      </c>
      <c r="BU210">
        <v>1.27</v>
      </c>
      <c r="BV210">
        <v>6</v>
      </c>
      <c r="BW210">
        <v>10</v>
      </c>
      <c r="BX210">
        <v>1.27</v>
      </c>
      <c r="BY210">
        <v>6</v>
      </c>
      <c r="BZ210">
        <v>10.5</v>
      </c>
      <c r="CA210">
        <v>1.25</v>
      </c>
      <c r="CB210">
        <v>5.5</v>
      </c>
      <c r="CC210">
        <v>11</v>
      </c>
      <c r="CD210">
        <v>1.29</v>
      </c>
      <c r="CE210">
        <v>6.1</v>
      </c>
      <c r="CF210">
        <v>11</v>
      </c>
      <c r="CG210">
        <v>1.29</v>
      </c>
      <c r="CH210">
        <v>5.8</v>
      </c>
      <c r="CI210">
        <v>10</v>
      </c>
      <c r="CJ210">
        <v>1.3</v>
      </c>
      <c r="CK210">
        <v>6.16</v>
      </c>
      <c r="CL210">
        <v>9.91</v>
      </c>
      <c r="CM210">
        <v>1.31</v>
      </c>
      <c r="CN210">
        <v>6.2</v>
      </c>
      <c r="CO210">
        <v>12</v>
      </c>
      <c r="CP210">
        <v>1.28</v>
      </c>
      <c r="CQ210">
        <v>5.94</v>
      </c>
      <c r="CR210">
        <v>10.77</v>
      </c>
      <c r="CS210">
        <v>1.32</v>
      </c>
      <c r="CT210">
        <v>6.2</v>
      </c>
      <c r="CU210">
        <v>11.5</v>
      </c>
      <c r="CV210">
        <v>1.57</v>
      </c>
      <c r="CW210">
        <v>2.38</v>
      </c>
      <c r="CX210">
        <v>1.58</v>
      </c>
      <c r="CY210">
        <v>2.4700000000000002</v>
      </c>
      <c r="CZ210">
        <v>1.58</v>
      </c>
      <c r="DA210">
        <v>2.5299999999999998</v>
      </c>
      <c r="DB210">
        <v>1.56</v>
      </c>
      <c r="DC210">
        <v>2.46</v>
      </c>
      <c r="DD210">
        <v>1.62</v>
      </c>
      <c r="DE210">
        <v>2.6</v>
      </c>
      <c r="DF210">
        <v>-1.75</v>
      </c>
      <c r="DG210">
        <v>2.0499999999999998</v>
      </c>
      <c r="DH210">
        <v>1.88</v>
      </c>
      <c r="DI210">
        <v>2.04</v>
      </c>
      <c r="DJ210">
        <v>1.87</v>
      </c>
      <c r="DK210">
        <v>2.0699999999999998</v>
      </c>
      <c r="DL210">
        <v>1.88</v>
      </c>
      <c r="DM210">
        <v>2.02</v>
      </c>
      <c r="DN210">
        <v>1.83</v>
      </c>
      <c r="DO210">
        <v>2.09</v>
      </c>
      <c r="DP210">
        <v>1.9</v>
      </c>
    </row>
    <row r="211" spans="1:120" x14ac:dyDescent="0.3">
      <c r="A211" t="s">
        <v>120</v>
      </c>
      <c r="B211" t="s">
        <v>203</v>
      </c>
      <c r="C211" s="1">
        <v>0.52083333333333337</v>
      </c>
      <c r="D211" t="s">
        <v>138</v>
      </c>
      <c r="E211" t="s">
        <v>142</v>
      </c>
      <c r="F211">
        <v>1</v>
      </c>
      <c r="G211">
        <v>4</v>
      </c>
      <c r="H211" t="s">
        <v>130</v>
      </c>
      <c r="I211">
        <v>1</v>
      </c>
      <c r="J211">
        <v>2</v>
      </c>
      <c r="K211" t="s">
        <v>130</v>
      </c>
      <c r="L211" t="s">
        <v>164</v>
      </c>
      <c r="M211">
        <v>13</v>
      </c>
      <c r="N211">
        <v>19</v>
      </c>
      <c r="O211">
        <v>5</v>
      </c>
      <c r="P211">
        <v>10</v>
      </c>
      <c r="Q211">
        <v>7</v>
      </c>
      <c r="R211">
        <v>18</v>
      </c>
      <c r="S211">
        <v>7</v>
      </c>
      <c r="T211">
        <v>6</v>
      </c>
      <c r="U211">
        <v>1</v>
      </c>
      <c r="V211">
        <v>6</v>
      </c>
      <c r="W211">
        <v>0</v>
      </c>
      <c r="X211">
        <v>0</v>
      </c>
      <c r="Y211">
        <v>1.62</v>
      </c>
      <c r="Z211">
        <v>4.2</v>
      </c>
      <c r="AA211">
        <v>5</v>
      </c>
      <c r="AB211">
        <v>1.65</v>
      </c>
      <c r="AC211">
        <v>4.2</v>
      </c>
      <c r="AD211">
        <v>4.8</v>
      </c>
      <c r="AE211">
        <v>1.62</v>
      </c>
      <c r="AF211">
        <v>4.2</v>
      </c>
      <c r="AG211">
        <v>5</v>
      </c>
      <c r="AH211">
        <v>1.65</v>
      </c>
      <c r="AI211">
        <v>4.33</v>
      </c>
      <c r="AJ211">
        <v>4.99</v>
      </c>
      <c r="AK211">
        <v>1.65</v>
      </c>
      <c r="AL211">
        <v>4.2</v>
      </c>
      <c r="AM211">
        <v>4.8</v>
      </c>
      <c r="AN211">
        <v>1.67</v>
      </c>
      <c r="AO211">
        <v>4.49</v>
      </c>
      <c r="AP211">
        <v>4.8899999999999997</v>
      </c>
      <c r="AQ211">
        <v>1.67</v>
      </c>
      <c r="AR211">
        <v>4.49</v>
      </c>
      <c r="AS211">
        <v>5.2</v>
      </c>
      <c r="AT211">
        <v>1.64</v>
      </c>
      <c r="AU211">
        <v>4.3</v>
      </c>
      <c r="AV211">
        <v>4.93</v>
      </c>
      <c r="AW211">
        <v>1.69</v>
      </c>
      <c r="AX211">
        <v>4.4000000000000004</v>
      </c>
      <c r="AY211">
        <v>5.4</v>
      </c>
      <c r="AZ211">
        <v>1.53</v>
      </c>
      <c r="BA211">
        <v>2.5</v>
      </c>
      <c r="BB211">
        <v>1.56</v>
      </c>
      <c r="BC211">
        <v>2.54</v>
      </c>
      <c r="BD211">
        <v>1.56</v>
      </c>
      <c r="BE211">
        <v>2.54</v>
      </c>
      <c r="BF211">
        <v>1.54</v>
      </c>
      <c r="BG211">
        <v>2.4700000000000002</v>
      </c>
      <c r="BH211">
        <v>1.61</v>
      </c>
      <c r="BI211">
        <v>2.6</v>
      </c>
      <c r="BJ211">
        <v>-0.75</v>
      </c>
      <c r="BK211">
        <v>1.78</v>
      </c>
      <c r="BL211">
        <v>2.0299999999999998</v>
      </c>
      <c r="BM211">
        <v>1.81</v>
      </c>
      <c r="BN211">
        <v>2.08</v>
      </c>
      <c r="BO211">
        <v>1.83</v>
      </c>
      <c r="BP211">
        <v>2.09</v>
      </c>
      <c r="BQ211">
        <v>1.77</v>
      </c>
      <c r="BR211">
        <v>2.0499999999999998</v>
      </c>
      <c r="BS211">
        <v>1.86</v>
      </c>
      <c r="BT211">
        <v>2.14</v>
      </c>
      <c r="BU211">
        <v>1.65</v>
      </c>
      <c r="BV211">
        <v>4.2</v>
      </c>
      <c r="BW211">
        <v>5</v>
      </c>
      <c r="BX211">
        <v>1.62</v>
      </c>
      <c r="BY211">
        <v>4.33</v>
      </c>
      <c r="BZ211">
        <v>5</v>
      </c>
      <c r="CA211">
        <v>1.62</v>
      </c>
      <c r="CB211">
        <v>4.0999999999999996</v>
      </c>
      <c r="CC211">
        <v>5</v>
      </c>
      <c r="CD211">
        <v>1.66</v>
      </c>
      <c r="CE211">
        <v>4.25</v>
      </c>
      <c r="CF211">
        <v>5.2</v>
      </c>
      <c r="CG211">
        <v>1.62</v>
      </c>
      <c r="CH211">
        <v>4.2</v>
      </c>
      <c r="CI211">
        <v>4.8</v>
      </c>
      <c r="CJ211">
        <v>1.65</v>
      </c>
      <c r="CK211">
        <v>4.25</v>
      </c>
      <c r="CL211">
        <v>5.3</v>
      </c>
      <c r="CM211">
        <v>1.67</v>
      </c>
      <c r="CN211">
        <v>4.4000000000000004</v>
      </c>
      <c r="CO211">
        <v>5.5</v>
      </c>
      <c r="CP211">
        <v>1.64</v>
      </c>
      <c r="CQ211">
        <v>4.2300000000000004</v>
      </c>
      <c r="CR211">
        <v>5.05</v>
      </c>
      <c r="CS211">
        <v>1.69</v>
      </c>
      <c r="CT211">
        <v>4.4000000000000004</v>
      </c>
      <c r="CU211">
        <v>5.4</v>
      </c>
      <c r="CV211">
        <v>1.53</v>
      </c>
      <c r="CW211">
        <v>2.5</v>
      </c>
      <c r="CX211">
        <v>1.54</v>
      </c>
      <c r="CY211">
        <v>2.61</v>
      </c>
      <c r="CZ211">
        <v>1.54</v>
      </c>
      <c r="DA211">
        <v>2.77</v>
      </c>
      <c r="DB211">
        <v>1.51</v>
      </c>
      <c r="DC211">
        <v>2.61</v>
      </c>
      <c r="DD211">
        <v>1.56</v>
      </c>
      <c r="DE211">
        <v>2.76</v>
      </c>
      <c r="DF211">
        <v>-1</v>
      </c>
      <c r="DG211">
        <v>2.0499999999999998</v>
      </c>
      <c r="DH211">
        <v>1.75</v>
      </c>
      <c r="DI211">
        <v>2.0699999999999998</v>
      </c>
      <c r="DJ211">
        <v>1.86</v>
      </c>
      <c r="DK211">
        <v>2.13</v>
      </c>
      <c r="DL211">
        <v>1.89</v>
      </c>
      <c r="DM211">
        <v>2.04</v>
      </c>
      <c r="DN211">
        <v>1.81</v>
      </c>
      <c r="DO211">
        <v>2.14</v>
      </c>
      <c r="DP211">
        <v>1.86</v>
      </c>
    </row>
    <row r="212" spans="1:120" x14ac:dyDescent="0.3">
      <c r="A212" t="s">
        <v>120</v>
      </c>
      <c r="B212" t="s">
        <v>203</v>
      </c>
      <c r="C212" s="1">
        <v>0.625</v>
      </c>
      <c r="D212" t="s">
        <v>148</v>
      </c>
      <c r="E212" t="s">
        <v>129</v>
      </c>
      <c r="F212">
        <v>0</v>
      </c>
      <c r="G212">
        <v>2</v>
      </c>
      <c r="H212" t="s">
        <v>130</v>
      </c>
      <c r="I212">
        <v>0</v>
      </c>
      <c r="J212">
        <v>0</v>
      </c>
      <c r="K212" t="s">
        <v>125</v>
      </c>
      <c r="L212" t="s">
        <v>176</v>
      </c>
      <c r="M212">
        <v>11</v>
      </c>
      <c r="N212">
        <v>37</v>
      </c>
      <c r="O212">
        <v>6</v>
      </c>
      <c r="P212">
        <v>8</v>
      </c>
      <c r="Q212">
        <v>6</v>
      </c>
      <c r="R212">
        <v>14</v>
      </c>
      <c r="S212">
        <v>2</v>
      </c>
      <c r="T212">
        <v>15</v>
      </c>
      <c r="U212">
        <v>2</v>
      </c>
      <c r="V212">
        <v>3</v>
      </c>
      <c r="W212">
        <v>0</v>
      </c>
      <c r="X212">
        <v>0</v>
      </c>
      <c r="Y212">
        <v>6.5</v>
      </c>
      <c r="Z212">
        <v>5</v>
      </c>
      <c r="AA212">
        <v>1.42</v>
      </c>
      <c r="AB212">
        <v>6</v>
      </c>
      <c r="AC212">
        <v>5.25</v>
      </c>
      <c r="AD212">
        <v>1.46</v>
      </c>
      <c r="AE212">
        <v>6.5</v>
      </c>
      <c r="AF212">
        <v>5</v>
      </c>
      <c r="AG212">
        <v>1.4</v>
      </c>
      <c r="AH212">
        <v>6.49</v>
      </c>
      <c r="AI212">
        <v>5.33</v>
      </c>
      <c r="AJ212">
        <v>1.43</v>
      </c>
      <c r="AK212">
        <v>6</v>
      </c>
      <c r="AL212">
        <v>5</v>
      </c>
      <c r="AM212">
        <v>1.44</v>
      </c>
      <c r="AN212">
        <v>6.42</v>
      </c>
      <c r="AO212">
        <v>5.3</v>
      </c>
      <c r="AP212">
        <v>1.47</v>
      </c>
      <c r="AQ212">
        <v>7</v>
      </c>
      <c r="AR212">
        <v>5.35</v>
      </c>
      <c r="AS212">
        <v>1.49</v>
      </c>
      <c r="AT212">
        <v>6.43</v>
      </c>
      <c r="AU212">
        <v>5.15</v>
      </c>
      <c r="AV212">
        <v>1.43</v>
      </c>
      <c r="AW212">
        <v>7.2</v>
      </c>
      <c r="AX212">
        <v>5.5</v>
      </c>
      <c r="AY212">
        <v>1.46</v>
      </c>
      <c r="AZ212">
        <v>1.36</v>
      </c>
      <c r="BA212">
        <v>3.2</v>
      </c>
      <c r="BB212">
        <v>1.36</v>
      </c>
      <c r="BC212">
        <v>3.25</v>
      </c>
      <c r="BD212">
        <v>1.37</v>
      </c>
      <c r="BE212">
        <v>3.35</v>
      </c>
      <c r="BF212">
        <v>1.35</v>
      </c>
      <c r="BG212">
        <v>3.16</v>
      </c>
      <c r="BH212">
        <v>1.39</v>
      </c>
      <c r="BI212">
        <v>3.4</v>
      </c>
      <c r="BJ212">
        <v>1.25</v>
      </c>
      <c r="BK212">
        <v>2.0099999999999998</v>
      </c>
      <c r="BL212">
        <v>1.89</v>
      </c>
      <c r="BM212">
        <v>2.0299999999999998</v>
      </c>
      <c r="BN212">
        <v>1.88</v>
      </c>
      <c r="BO212">
        <v>2.0299999999999998</v>
      </c>
      <c r="BP212">
        <v>1.89</v>
      </c>
      <c r="BQ212">
        <v>1.97</v>
      </c>
      <c r="BR212">
        <v>1.85</v>
      </c>
      <c r="BS212">
        <v>2.0299999999999998</v>
      </c>
      <c r="BT212">
        <v>1.92</v>
      </c>
      <c r="BU212">
        <v>5.75</v>
      </c>
      <c r="BV212">
        <v>5</v>
      </c>
      <c r="BW212">
        <v>1.48</v>
      </c>
      <c r="BX212">
        <v>5.75</v>
      </c>
      <c r="BY212">
        <v>5</v>
      </c>
      <c r="BZ212">
        <v>1.47</v>
      </c>
      <c r="CA212">
        <v>6</v>
      </c>
      <c r="CB212">
        <v>4.75</v>
      </c>
      <c r="CC212">
        <v>1.44</v>
      </c>
      <c r="CD212">
        <v>6.33</v>
      </c>
      <c r="CE212">
        <v>5</v>
      </c>
      <c r="CF212">
        <v>1.49</v>
      </c>
      <c r="CG212">
        <v>5.8</v>
      </c>
      <c r="CH212">
        <v>4.8</v>
      </c>
      <c r="CI212">
        <v>1.44</v>
      </c>
      <c r="CJ212">
        <v>6.15</v>
      </c>
      <c r="CK212">
        <v>5.12</v>
      </c>
      <c r="CL212">
        <v>1.49</v>
      </c>
      <c r="CM212">
        <v>6.5</v>
      </c>
      <c r="CN212">
        <v>5.3</v>
      </c>
      <c r="CO212">
        <v>1.53</v>
      </c>
      <c r="CP212">
        <v>6.04</v>
      </c>
      <c r="CQ212">
        <v>4.97</v>
      </c>
      <c r="CR212">
        <v>1.48</v>
      </c>
      <c r="CS212">
        <v>6.8</v>
      </c>
      <c r="CT212">
        <v>5.3</v>
      </c>
      <c r="CU212">
        <v>1.49</v>
      </c>
      <c r="CV212">
        <v>1.33</v>
      </c>
      <c r="CW212">
        <v>3.4</v>
      </c>
      <c r="CX212">
        <v>1.35</v>
      </c>
      <c r="CY212">
        <v>3.36</v>
      </c>
      <c r="CZ212">
        <v>1.35</v>
      </c>
      <c r="DA212">
        <v>3.56</v>
      </c>
      <c r="DB212">
        <v>1.33</v>
      </c>
      <c r="DC212">
        <v>3.36</v>
      </c>
      <c r="DD212">
        <v>1.37</v>
      </c>
      <c r="DE212">
        <v>3.65</v>
      </c>
      <c r="DF212">
        <v>1.25</v>
      </c>
      <c r="DG212">
        <v>1.91</v>
      </c>
      <c r="DH212">
        <v>1.99</v>
      </c>
      <c r="DI212">
        <v>1.94</v>
      </c>
      <c r="DJ212">
        <v>1.98</v>
      </c>
      <c r="DK212">
        <v>1.94</v>
      </c>
      <c r="DL212">
        <v>2.02</v>
      </c>
      <c r="DM212">
        <v>1.91</v>
      </c>
      <c r="DN212">
        <v>1.94</v>
      </c>
      <c r="DO212">
        <v>1.98</v>
      </c>
      <c r="DP212">
        <v>1.99</v>
      </c>
    </row>
    <row r="213" spans="1:120" x14ac:dyDescent="0.3">
      <c r="A213" t="s">
        <v>120</v>
      </c>
      <c r="B213" t="s">
        <v>203</v>
      </c>
      <c r="C213" s="1">
        <v>0.625</v>
      </c>
      <c r="D213" t="s">
        <v>155</v>
      </c>
      <c r="E213" t="s">
        <v>123</v>
      </c>
      <c r="F213">
        <v>0</v>
      </c>
      <c r="G213">
        <v>2</v>
      </c>
      <c r="H213" t="s">
        <v>130</v>
      </c>
      <c r="I213">
        <v>0</v>
      </c>
      <c r="J213">
        <v>0</v>
      </c>
      <c r="K213" t="s">
        <v>125</v>
      </c>
      <c r="L213" t="s">
        <v>160</v>
      </c>
      <c r="M213">
        <v>8</v>
      </c>
      <c r="N213">
        <v>17</v>
      </c>
      <c r="O213">
        <v>4</v>
      </c>
      <c r="P213">
        <v>2</v>
      </c>
      <c r="Q213">
        <v>8</v>
      </c>
      <c r="R213">
        <v>8</v>
      </c>
      <c r="S213">
        <v>5</v>
      </c>
      <c r="T213">
        <v>2</v>
      </c>
      <c r="U213">
        <v>3</v>
      </c>
      <c r="V213">
        <v>1</v>
      </c>
      <c r="W213">
        <v>0</v>
      </c>
      <c r="X213">
        <v>0</v>
      </c>
      <c r="Y213">
        <v>4.33</v>
      </c>
      <c r="Z213">
        <v>3.7</v>
      </c>
      <c r="AA213">
        <v>1.8</v>
      </c>
      <c r="AB213">
        <v>4</v>
      </c>
      <c r="AC213">
        <v>3.7</v>
      </c>
      <c r="AD213">
        <v>1.9</v>
      </c>
      <c r="AE213">
        <v>4.33</v>
      </c>
      <c r="AF213">
        <v>3.75</v>
      </c>
      <c r="AG213">
        <v>1.85</v>
      </c>
      <c r="AH213">
        <v>4.38</v>
      </c>
      <c r="AI213">
        <v>3.91</v>
      </c>
      <c r="AJ213">
        <v>1.81</v>
      </c>
      <c r="AK213">
        <v>3.9</v>
      </c>
      <c r="AL213">
        <v>3.75</v>
      </c>
      <c r="AM213">
        <v>1.85</v>
      </c>
      <c r="AN213">
        <v>4.2300000000000004</v>
      </c>
      <c r="AO213">
        <v>4</v>
      </c>
      <c r="AP213">
        <v>1.86</v>
      </c>
      <c r="AQ213">
        <v>4.4000000000000004</v>
      </c>
      <c r="AR213">
        <v>4.05</v>
      </c>
      <c r="AS213">
        <v>1.9</v>
      </c>
      <c r="AT213">
        <v>4.17</v>
      </c>
      <c r="AU213">
        <v>3.81</v>
      </c>
      <c r="AV213">
        <v>1.84</v>
      </c>
      <c r="AW213">
        <v>4.5</v>
      </c>
      <c r="AX213">
        <v>3.9</v>
      </c>
      <c r="AY213">
        <v>1.91</v>
      </c>
      <c r="AZ213">
        <v>1.73</v>
      </c>
      <c r="BA213">
        <v>2.1</v>
      </c>
      <c r="BB213">
        <v>1.73</v>
      </c>
      <c r="BC213">
        <v>2.2000000000000002</v>
      </c>
      <c r="BD213">
        <v>1.76</v>
      </c>
      <c r="BE213">
        <v>2.2200000000000002</v>
      </c>
      <c r="BF213">
        <v>1.71</v>
      </c>
      <c r="BG213">
        <v>2.14</v>
      </c>
      <c r="BH213">
        <v>1.8</v>
      </c>
      <c r="BI213">
        <v>2.2200000000000002</v>
      </c>
      <c r="BJ213">
        <v>0.5</v>
      </c>
      <c r="BK213">
        <v>2.0699999999999998</v>
      </c>
      <c r="BL213">
        <v>1.83</v>
      </c>
      <c r="BM213">
        <v>2.09</v>
      </c>
      <c r="BN213">
        <v>1.81</v>
      </c>
      <c r="BO213">
        <v>2.08</v>
      </c>
      <c r="BP213">
        <v>1.87</v>
      </c>
      <c r="BQ213">
        <v>2.0099999999999998</v>
      </c>
      <c r="BR213">
        <v>1.82</v>
      </c>
      <c r="BS213">
        <v>2.08</v>
      </c>
      <c r="BT213">
        <v>1.91</v>
      </c>
      <c r="BU213">
        <v>4.5</v>
      </c>
      <c r="BV213">
        <v>3.7</v>
      </c>
      <c r="BW213">
        <v>1.8</v>
      </c>
      <c r="BX213">
        <v>4.5</v>
      </c>
      <c r="BY213">
        <v>3.8</v>
      </c>
      <c r="BZ213">
        <v>1.78</v>
      </c>
      <c r="CA213">
        <v>4.33</v>
      </c>
      <c r="CB213">
        <v>3.7</v>
      </c>
      <c r="CC213">
        <v>1.75</v>
      </c>
      <c r="CD213">
        <v>4.6500000000000004</v>
      </c>
      <c r="CE213">
        <v>3.79</v>
      </c>
      <c r="CF213">
        <v>1.81</v>
      </c>
      <c r="CG213">
        <v>4.33</v>
      </c>
      <c r="CH213">
        <v>3.75</v>
      </c>
      <c r="CI213">
        <v>1.8</v>
      </c>
      <c r="CJ213">
        <v>4.57</v>
      </c>
      <c r="CK213">
        <v>3.76</v>
      </c>
      <c r="CL213">
        <v>1.83</v>
      </c>
      <c r="CM213">
        <v>4.7</v>
      </c>
      <c r="CN213">
        <v>3.85</v>
      </c>
      <c r="CO213">
        <v>1.86</v>
      </c>
      <c r="CP213">
        <v>4.5</v>
      </c>
      <c r="CQ213">
        <v>3.74</v>
      </c>
      <c r="CR213">
        <v>1.8</v>
      </c>
      <c r="CS213">
        <v>4.7</v>
      </c>
      <c r="CT213">
        <v>4</v>
      </c>
      <c r="CU213">
        <v>1.84</v>
      </c>
      <c r="CV213">
        <v>1.84</v>
      </c>
      <c r="CW213">
        <v>2.06</v>
      </c>
      <c r="CX213">
        <v>1.85</v>
      </c>
      <c r="CY213">
        <v>2.06</v>
      </c>
      <c r="CZ213">
        <v>1.85</v>
      </c>
      <c r="DA213">
        <v>2.11</v>
      </c>
      <c r="DB213">
        <v>1.8</v>
      </c>
      <c r="DC213">
        <v>2.0499999999999998</v>
      </c>
      <c r="DD213">
        <v>1.87</v>
      </c>
      <c r="DE213">
        <v>2.14</v>
      </c>
      <c r="DF213">
        <v>0.75</v>
      </c>
      <c r="DG213">
        <v>1.85</v>
      </c>
      <c r="DH213">
        <v>2.0499999999999998</v>
      </c>
      <c r="DI213">
        <v>1.87</v>
      </c>
      <c r="DJ213">
        <v>2.06</v>
      </c>
      <c r="DK213">
        <v>1.88</v>
      </c>
      <c r="DL213">
        <v>2.06</v>
      </c>
      <c r="DM213">
        <v>1.83</v>
      </c>
      <c r="DN213">
        <v>2.0299999999999998</v>
      </c>
      <c r="DO213">
        <v>1.9</v>
      </c>
      <c r="DP213">
        <v>2.09</v>
      </c>
    </row>
    <row r="214" spans="1:120" x14ac:dyDescent="0.3">
      <c r="A214" t="s">
        <v>120</v>
      </c>
      <c r="B214" t="s">
        <v>203</v>
      </c>
      <c r="C214" s="1">
        <v>0.625</v>
      </c>
      <c r="D214" t="s">
        <v>144</v>
      </c>
      <c r="E214" t="s">
        <v>149</v>
      </c>
      <c r="F214">
        <v>0</v>
      </c>
      <c r="G214">
        <v>2</v>
      </c>
      <c r="H214" t="s">
        <v>130</v>
      </c>
      <c r="I214">
        <v>0</v>
      </c>
      <c r="J214">
        <v>0</v>
      </c>
      <c r="K214" t="s">
        <v>125</v>
      </c>
      <c r="L214" t="s">
        <v>185</v>
      </c>
      <c r="M214">
        <v>7</v>
      </c>
      <c r="N214">
        <v>12</v>
      </c>
      <c r="O214">
        <v>0</v>
      </c>
      <c r="P214">
        <v>7</v>
      </c>
      <c r="Q214">
        <v>13</v>
      </c>
      <c r="R214">
        <v>10</v>
      </c>
      <c r="S214">
        <v>2</v>
      </c>
      <c r="T214">
        <v>4</v>
      </c>
      <c r="U214">
        <v>1</v>
      </c>
      <c r="V214">
        <v>0</v>
      </c>
      <c r="W214">
        <v>1</v>
      </c>
      <c r="X214">
        <v>0</v>
      </c>
      <c r="Y214">
        <v>2.6</v>
      </c>
      <c r="Z214">
        <v>3.5</v>
      </c>
      <c r="AA214">
        <v>2.63</v>
      </c>
      <c r="AB214">
        <v>2.5499999999999998</v>
      </c>
      <c r="AC214">
        <v>3.4</v>
      </c>
      <c r="AD214">
        <v>2.7</v>
      </c>
      <c r="AE214">
        <v>2.63</v>
      </c>
      <c r="AF214">
        <v>3.4</v>
      </c>
      <c r="AG214">
        <v>2.7</v>
      </c>
      <c r="AH214">
        <v>2.65</v>
      </c>
      <c r="AI214">
        <v>3.49</v>
      </c>
      <c r="AJ214">
        <v>2.7</v>
      </c>
      <c r="AK214">
        <v>2.62</v>
      </c>
      <c r="AL214">
        <v>3.3</v>
      </c>
      <c r="AM214">
        <v>2.62</v>
      </c>
      <c r="AN214">
        <v>2.71</v>
      </c>
      <c r="AO214">
        <v>3.44</v>
      </c>
      <c r="AP214">
        <v>2.73</v>
      </c>
      <c r="AQ214">
        <v>2.71</v>
      </c>
      <c r="AR214">
        <v>3.53</v>
      </c>
      <c r="AS214">
        <v>2.75</v>
      </c>
      <c r="AT214">
        <v>2.62</v>
      </c>
      <c r="AU214">
        <v>3.41</v>
      </c>
      <c r="AV214">
        <v>2.69</v>
      </c>
      <c r="AW214">
        <v>2.74</v>
      </c>
      <c r="AX214">
        <v>3.5</v>
      </c>
      <c r="AY214">
        <v>2.82</v>
      </c>
      <c r="AZ214">
        <v>1.8</v>
      </c>
      <c r="BA214">
        <v>2</v>
      </c>
      <c r="BB214">
        <v>1.79</v>
      </c>
      <c r="BC214">
        <v>2.1</v>
      </c>
      <c r="BD214">
        <v>1.83</v>
      </c>
      <c r="BE214">
        <v>2.1</v>
      </c>
      <c r="BF214">
        <v>1.79</v>
      </c>
      <c r="BG214">
        <v>2.04</v>
      </c>
      <c r="BH214">
        <v>1.84</v>
      </c>
      <c r="BI214">
        <v>2.14</v>
      </c>
      <c r="BJ214">
        <v>0</v>
      </c>
      <c r="BK214">
        <v>1.92</v>
      </c>
      <c r="BL214">
        <v>1.98</v>
      </c>
      <c r="BM214">
        <v>1.93</v>
      </c>
      <c r="BN214">
        <v>1.97</v>
      </c>
      <c r="BO214">
        <v>1.95</v>
      </c>
      <c r="BP214">
        <v>1.99</v>
      </c>
      <c r="BQ214">
        <v>1.91</v>
      </c>
      <c r="BR214">
        <v>1.94</v>
      </c>
      <c r="BS214">
        <v>1.95</v>
      </c>
      <c r="BT214">
        <v>2.04</v>
      </c>
      <c r="BU214">
        <v>2.75</v>
      </c>
      <c r="BV214">
        <v>3.3</v>
      </c>
      <c r="BW214">
        <v>2.5499999999999998</v>
      </c>
      <c r="BX214">
        <v>2.75</v>
      </c>
      <c r="BY214">
        <v>3.25</v>
      </c>
      <c r="BZ214">
        <v>2.65</v>
      </c>
      <c r="CA214">
        <v>2.75</v>
      </c>
      <c r="CB214">
        <v>3.1</v>
      </c>
      <c r="CC214">
        <v>2.6</v>
      </c>
      <c r="CD214">
        <v>2.86</v>
      </c>
      <c r="CE214">
        <v>3.32</v>
      </c>
      <c r="CF214">
        <v>2.66</v>
      </c>
      <c r="CG214">
        <v>2.8</v>
      </c>
      <c r="CH214">
        <v>3.1</v>
      </c>
      <c r="CI214">
        <v>2.62</v>
      </c>
      <c r="CJ214">
        <v>2.72</v>
      </c>
      <c r="CK214">
        <v>3.39</v>
      </c>
      <c r="CL214">
        <v>2.72</v>
      </c>
      <c r="CM214">
        <v>2.86</v>
      </c>
      <c r="CN214">
        <v>3.39</v>
      </c>
      <c r="CO214">
        <v>2.72</v>
      </c>
      <c r="CP214">
        <v>2.78</v>
      </c>
      <c r="CQ214">
        <v>3.26</v>
      </c>
      <c r="CR214">
        <v>2.64</v>
      </c>
      <c r="CS214">
        <v>2.94</v>
      </c>
      <c r="CT214">
        <v>3.35</v>
      </c>
      <c r="CU214">
        <v>2.74</v>
      </c>
      <c r="CV214">
        <v>2.06</v>
      </c>
      <c r="CW214">
        <v>1.84</v>
      </c>
      <c r="CX214">
        <v>2.06</v>
      </c>
      <c r="CY214">
        <v>1.85</v>
      </c>
      <c r="CZ214">
        <v>2.11</v>
      </c>
      <c r="DA214">
        <v>1.95</v>
      </c>
      <c r="DB214">
        <v>2</v>
      </c>
      <c r="DC214">
        <v>1.84</v>
      </c>
      <c r="DD214">
        <v>2.1</v>
      </c>
      <c r="DE214">
        <v>1.89</v>
      </c>
      <c r="DF214">
        <v>0</v>
      </c>
      <c r="DG214">
        <v>2.02</v>
      </c>
      <c r="DH214">
        <v>1.88</v>
      </c>
      <c r="DI214">
        <v>2.04</v>
      </c>
      <c r="DJ214">
        <v>1.89</v>
      </c>
      <c r="DK214">
        <v>2.04</v>
      </c>
      <c r="DL214">
        <v>1.93</v>
      </c>
      <c r="DM214">
        <v>1.99</v>
      </c>
      <c r="DN214">
        <v>1.88</v>
      </c>
      <c r="DO214">
        <v>2.0699999999999998</v>
      </c>
      <c r="DP214">
        <v>1.92</v>
      </c>
    </row>
    <row r="215" spans="1:120" x14ac:dyDescent="0.3">
      <c r="A215" t="s">
        <v>120</v>
      </c>
      <c r="B215" t="s">
        <v>203</v>
      </c>
      <c r="C215" s="1">
        <v>0.72916666666666663</v>
      </c>
      <c r="D215" t="s">
        <v>132</v>
      </c>
      <c r="E215" t="s">
        <v>145</v>
      </c>
      <c r="F215">
        <v>2</v>
      </c>
      <c r="G215">
        <v>2</v>
      </c>
      <c r="H215" t="s">
        <v>125</v>
      </c>
      <c r="I215">
        <v>1</v>
      </c>
      <c r="J215">
        <v>0</v>
      </c>
      <c r="K215" t="s">
        <v>124</v>
      </c>
      <c r="L215" t="s">
        <v>157</v>
      </c>
      <c r="M215">
        <v>18</v>
      </c>
      <c r="N215">
        <v>8</v>
      </c>
      <c r="O215">
        <v>6</v>
      </c>
      <c r="P215">
        <v>4</v>
      </c>
      <c r="Q215">
        <v>10</v>
      </c>
      <c r="R215">
        <v>18</v>
      </c>
      <c r="S215">
        <v>10</v>
      </c>
      <c r="T215">
        <v>1</v>
      </c>
      <c r="U215">
        <v>2</v>
      </c>
      <c r="V215">
        <v>3</v>
      </c>
      <c r="W215">
        <v>0</v>
      </c>
      <c r="X215">
        <v>0</v>
      </c>
      <c r="Y215">
        <v>1.5</v>
      </c>
      <c r="Z215">
        <v>4.0999999999999996</v>
      </c>
      <c r="AA215">
        <v>7</v>
      </c>
      <c r="AB215">
        <v>1.49</v>
      </c>
      <c r="AC215">
        <v>4.5</v>
      </c>
      <c r="AD215">
        <v>6.5</v>
      </c>
      <c r="AE215">
        <v>1.5</v>
      </c>
      <c r="AF215">
        <v>4.33</v>
      </c>
      <c r="AG215">
        <v>7</v>
      </c>
      <c r="AH215">
        <v>1.53</v>
      </c>
      <c r="AI215">
        <v>4.4000000000000004</v>
      </c>
      <c r="AJ215">
        <v>6.38</v>
      </c>
      <c r="AK215">
        <v>1.53</v>
      </c>
      <c r="AL215">
        <v>4.2</v>
      </c>
      <c r="AM215">
        <v>6</v>
      </c>
      <c r="AN215">
        <v>1.55</v>
      </c>
      <c r="AO215">
        <v>4.41</v>
      </c>
      <c r="AP215">
        <v>6.52</v>
      </c>
      <c r="AQ215">
        <v>1.55</v>
      </c>
      <c r="AR215">
        <v>4.5</v>
      </c>
      <c r="AS215">
        <v>7</v>
      </c>
      <c r="AT215">
        <v>1.51</v>
      </c>
      <c r="AU215">
        <v>4.3499999999999996</v>
      </c>
      <c r="AV215">
        <v>6.45</v>
      </c>
      <c r="AW215">
        <v>1.55</v>
      </c>
      <c r="AX215">
        <v>4.5</v>
      </c>
      <c r="AY215">
        <v>7.2</v>
      </c>
      <c r="AZ215">
        <v>1.87</v>
      </c>
      <c r="BA215">
        <v>2.0299999999999998</v>
      </c>
      <c r="BB215">
        <v>1.88</v>
      </c>
      <c r="BC215">
        <v>2.0099999999999998</v>
      </c>
      <c r="BD215">
        <v>1.89</v>
      </c>
      <c r="BE215">
        <v>2.06</v>
      </c>
      <c r="BF215">
        <v>1.82</v>
      </c>
      <c r="BG215">
        <v>2.0099999999999998</v>
      </c>
      <c r="BH215">
        <v>1.91</v>
      </c>
      <c r="BI215">
        <v>2.06</v>
      </c>
      <c r="BJ215">
        <v>-1</v>
      </c>
      <c r="BK215">
        <v>1.87</v>
      </c>
      <c r="BL215">
        <v>2.0299999999999998</v>
      </c>
      <c r="BM215">
        <v>1.91</v>
      </c>
      <c r="BN215">
        <v>2</v>
      </c>
      <c r="BO215">
        <v>1.91</v>
      </c>
      <c r="BP215">
        <v>2.0299999999999998</v>
      </c>
      <c r="BQ215">
        <v>1.87</v>
      </c>
      <c r="BR215">
        <v>1.97</v>
      </c>
      <c r="BS215">
        <v>1.94</v>
      </c>
      <c r="BT215">
        <v>2.04</v>
      </c>
      <c r="BU215">
        <v>1.53</v>
      </c>
      <c r="BV215">
        <v>4.0999999999999996</v>
      </c>
      <c r="BW215">
        <v>6.25</v>
      </c>
      <c r="BX215">
        <v>1.57</v>
      </c>
      <c r="BY215">
        <v>4.2</v>
      </c>
      <c r="BZ215">
        <v>5.75</v>
      </c>
      <c r="CA215">
        <v>1.53</v>
      </c>
      <c r="CB215">
        <v>3.9</v>
      </c>
      <c r="CC215">
        <v>6</v>
      </c>
      <c r="CD215">
        <v>1.57</v>
      </c>
      <c r="CE215">
        <v>4.3499999999999996</v>
      </c>
      <c r="CF215">
        <v>6.1</v>
      </c>
      <c r="CG215">
        <v>1.57</v>
      </c>
      <c r="CH215">
        <v>4</v>
      </c>
      <c r="CI215">
        <v>5.8</v>
      </c>
      <c r="CJ215">
        <v>1.59</v>
      </c>
      <c r="CK215">
        <v>4.2</v>
      </c>
      <c r="CL215">
        <v>6.04</v>
      </c>
      <c r="CM215">
        <v>1.65</v>
      </c>
      <c r="CN215">
        <v>4.3499999999999996</v>
      </c>
      <c r="CO215">
        <v>6.4</v>
      </c>
      <c r="CP215">
        <v>1.57</v>
      </c>
      <c r="CQ215">
        <v>4.1399999999999997</v>
      </c>
      <c r="CR215">
        <v>6.06</v>
      </c>
      <c r="CS215">
        <v>1.6</v>
      </c>
      <c r="CT215">
        <v>4.4000000000000004</v>
      </c>
      <c r="CU215">
        <v>6.4</v>
      </c>
      <c r="CV215">
        <v>1.73</v>
      </c>
      <c r="CW215">
        <v>2.1</v>
      </c>
      <c r="CX215">
        <v>1.76</v>
      </c>
      <c r="CY215">
        <v>2.14</v>
      </c>
      <c r="CZ215">
        <v>2.0299999999999998</v>
      </c>
      <c r="DA215">
        <v>2.2000000000000002</v>
      </c>
      <c r="DB215">
        <v>1.77</v>
      </c>
      <c r="DC215">
        <v>2.08</v>
      </c>
      <c r="DD215">
        <v>1.82</v>
      </c>
      <c r="DE215">
        <v>2.2000000000000002</v>
      </c>
      <c r="DF215">
        <v>-1</v>
      </c>
      <c r="DG215">
        <v>1.98</v>
      </c>
      <c r="DH215">
        <v>1.92</v>
      </c>
      <c r="DI215">
        <v>1.98</v>
      </c>
      <c r="DJ215">
        <v>1.94</v>
      </c>
      <c r="DK215">
        <v>2.0099999999999998</v>
      </c>
      <c r="DL215">
        <v>1.97</v>
      </c>
      <c r="DM215">
        <v>1.95</v>
      </c>
      <c r="DN215">
        <v>1.9</v>
      </c>
      <c r="DO215">
        <v>2.0099999999999998</v>
      </c>
      <c r="DP215">
        <v>1.98</v>
      </c>
    </row>
    <row r="216" spans="1:120" x14ac:dyDescent="0.3">
      <c r="A216" t="s">
        <v>120</v>
      </c>
      <c r="B216" t="s">
        <v>204</v>
      </c>
      <c r="C216" s="1">
        <v>0.58333333333333337</v>
      </c>
      <c r="D216" t="s">
        <v>135</v>
      </c>
      <c r="E216" t="s">
        <v>156</v>
      </c>
      <c r="F216">
        <v>3</v>
      </c>
      <c r="G216">
        <v>2</v>
      </c>
      <c r="H216" t="s">
        <v>124</v>
      </c>
      <c r="I216">
        <v>3</v>
      </c>
      <c r="J216">
        <v>0</v>
      </c>
      <c r="K216" t="s">
        <v>124</v>
      </c>
      <c r="L216" t="s">
        <v>163</v>
      </c>
      <c r="M216">
        <v>12</v>
      </c>
      <c r="N216">
        <v>11</v>
      </c>
      <c r="O216">
        <v>6</v>
      </c>
      <c r="P216">
        <v>6</v>
      </c>
      <c r="Q216">
        <v>14</v>
      </c>
      <c r="R216">
        <v>14</v>
      </c>
      <c r="S216">
        <v>3</v>
      </c>
      <c r="T216">
        <v>8</v>
      </c>
      <c r="U216">
        <v>2</v>
      </c>
      <c r="V216">
        <v>1</v>
      </c>
      <c r="W216">
        <v>0</v>
      </c>
      <c r="X216">
        <v>0</v>
      </c>
      <c r="Y216">
        <v>2.8</v>
      </c>
      <c r="Z216">
        <v>3.5</v>
      </c>
      <c r="AA216">
        <v>2.4500000000000002</v>
      </c>
      <c r="AB216">
        <v>2.87</v>
      </c>
      <c r="AC216">
        <v>3.5</v>
      </c>
      <c r="AD216">
        <v>2.4</v>
      </c>
      <c r="AE216">
        <v>2.8</v>
      </c>
      <c r="AF216">
        <v>3.5</v>
      </c>
      <c r="AG216">
        <v>2.5</v>
      </c>
      <c r="AH216">
        <v>2.97</v>
      </c>
      <c r="AI216">
        <v>3.45</v>
      </c>
      <c r="AJ216">
        <v>2.46</v>
      </c>
      <c r="AK216">
        <v>2.88</v>
      </c>
      <c r="AL216">
        <v>3.6</v>
      </c>
      <c r="AM216">
        <v>2.38</v>
      </c>
      <c r="AN216">
        <v>2.97</v>
      </c>
      <c r="AO216">
        <v>3.77</v>
      </c>
      <c r="AP216">
        <v>2.36</v>
      </c>
      <c r="AQ216">
        <v>3</v>
      </c>
      <c r="AR216">
        <v>3.77</v>
      </c>
      <c r="AS216">
        <v>2.5</v>
      </c>
      <c r="AT216">
        <v>2.91</v>
      </c>
      <c r="AU216">
        <v>3.51</v>
      </c>
      <c r="AV216">
        <v>2.41</v>
      </c>
      <c r="AW216">
        <v>2.9</v>
      </c>
      <c r="AX216">
        <v>3.7</v>
      </c>
      <c r="AY216">
        <v>2.56</v>
      </c>
      <c r="AZ216">
        <v>1.67</v>
      </c>
      <c r="BA216">
        <v>2.2000000000000002</v>
      </c>
      <c r="BB216">
        <v>1.74</v>
      </c>
      <c r="BC216">
        <v>2.1800000000000002</v>
      </c>
      <c r="BD216">
        <v>1.74</v>
      </c>
      <c r="BE216">
        <v>2.25</v>
      </c>
      <c r="BF216">
        <v>1.69</v>
      </c>
      <c r="BG216">
        <v>2.19</v>
      </c>
      <c r="BH216">
        <v>1.76</v>
      </c>
      <c r="BI216">
        <v>2.2799999999999998</v>
      </c>
      <c r="BJ216">
        <v>0.25</v>
      </c>
      <c r="BK216">
        <v>1.82</v>
      </c>
      <c r="BL216">
        <v>2.08</v>
      </c>
      <c r="BM216">
        <v>1.84</v>
      </c>
      <c r="BN216">
        <v>2.08</v>
      </c>
      <c r="BO216">
        <v>1.82</v>
      </c>
      <c r="BP216">
        <v>2.08</v>
      </c>
      <c r="BQ216">
        <v>1.79</v>
      </c>
      <c r="BR216">
        <v>2.0299999999999998</v>
      </c>
      <c r="BS216">
        <v>1.8</v>
      </c>
      <c r="BT216">
        <v>2.21</v>
      </c>
      <c r="BU216">
        <v>2.5</v>
      </c>
      <c r="BV216">
        <v>3.3</v>
      </c>
      <c r="BW216">
        <v>2.8</v>
      </c>
      <c r="BX216">
        <v>2.5</v>
      </c>
      <c r="BY216">
        <v>3.3</v>
      </c>
      <c r="BZ216">
        <v>2.85</v>
      </c>
      <c r="CA216">
        <v>2.6</v>
      </c>
      <c r="CB216">
        <v>3.4</v>
      </c>
      <c r="CC216">
        <v>2.75</v>
      </c>
      <c r="CD216">
        <v>2.56</v>
      </c>
      <c r="CE216">
        <v>3.51</v>
      </c>
      <c r="CF216">
        <v>2.85</v>
      </c>
      <c r="CG216">
        <v>2.5</v>
      </c>
      <c r="CH216">
        <v>3.3</v>
      </c>
      <c r="CI216">
        <v>2.8</v>
      </c>
      <c r="CJ216">
        <v>2.72</v>
      </c>
      <c r="CK216">
        <v>3.39</v>
      </c>
      <c r="CL216">
        <v>2.72</v>
      </c>
      <c r="CM216">
        <v>2.72</v>
      </c>
      <c r="CN216">
        <v>3.55</v>
      </c>
      <c r="CO216">
        <v>2.85</v>
      </c>
      <c r="CP216">
        <v>2.57</v>
      </c>
      <c r="CQ216">
        <v>3.39</v>
      </c>
      <c r="CR216">
        <v>2.79</v>
      </c>
      <c r="CS216">
        <v>2.64</v>
      </c>
      <c r="CT216">
        <v>3.55</v>
      </c>
      <c r="CU216">
        <v>2.9</v>
      </c>
      <c r="CV216">
        <v>1.87</v>
      </c>
      <c r="CW216">
        <v>2.0299999999999998</v>
      </c>
      <c r="CX216">
        <v>1.88</v>
      </c>
      <c r="CY216">
        <v>2.02</v>
      </c>
      <c r="CZ216">
        <v>1.88</v>
      </c>
      <c r="DA216">
        <v>2.1</v>
      </c>
      <c r="DB216">
        <v>1.84</v>
      </c>
      <c r="DC216">
        <v>2</v>
      </c>
      <c r="DD216">
        <v>1.91</v>
      </c>
      <c r="DE216">
        <v>2.08</v>
      </c>
      <c r="DF216">
        <v>0</v>
      </c>
      <c r="DG216">
        <v>1.85</v>
      </c>
      <c r="DH216">
        <v>2.08</v>
      </c>
      <c r="DI216">
        <v>1.86</v>
      </c>
      <c r="DJ216">
        <v>2.0699999999999998</v>
      </c>
      <c r="DK216">
        <v>1.91</v>
      </c>
      <c r="DL216">
        <v>2.08</v>
      </c>
      <c r="DM216">
        <v>1.85</v>
      </c>
      <c r="DN216">
        <v>2.02</v>
      </c>
      <c r="DO216">
        <v>1.9</v>
      </c>
      <c r="DP216">
        <v>2.09</v>
      </c>
    </row>
    <row r="217" spans="1:120" x14ac:dyDescent="0.3">
      <c r="A217" t="s">
        <v>120</v>
      </c>
      <c r="B217" t="s">
        <v>204</v>
      </c>
      <c r="C217" s="1">
        <v>0.58333333333333337</v>
      </c>
      <c r="D217" t="s">
        <v>122</v>
      </c>
      <c r="E217" t="s">
        <v>136</v>
      </c>
      <c r="F217">
        <v>1</v>
      </c>
      <c r="G217">
        <v>3</v>
      </c>
      <c r="H217" t="s">
        <v>130</v>
      </c>
      <c r="I217">
        <v>1</v>
      </c>
      <c r="J217">
        <v>1</v>
      </c>
      <c r="K217" t="s">
        <v>125</v>
      </c>
      <c r="L217" t="s">
        <v>171</v>
      </c>
      <c r="M217">
        <v>10</v>
      </c>
      <c r="N217">
        <v>6</v>
      </c>
      <c r="O217">
        <v>1</v>
      </c>
      <c r="P217">
        <v>3</v>
      </c>
      <c r="Q217">
        <v>13</v>
      </c>
      <c r="R217">
        <v>12</v>
      </c>
      <c r="S217">
        <v>4</v>
      </c>
      <c r="T217">
        <v>2</v>
      </c>
      <c r="U217">
        <v>3</v>
      </c>
      <c r="V217">
        <v>3</v>
      </c>
      <c r="W217">
        <v>0</v>
      </c>
      <c r="X217">
        <v>0</v>
      </c>
      <c r="Y217">
        <v>2.1</v>
      </c>
      <c r="Z217">
        <v>3.6</v>
      </c>
      <c r="AA217">
        <v>3.3</v>
      </c>
      <c r="AB217">
        <v>2.0499999999999998</v>
      </c>
      <c r="AC217">
        <v>3.7</v>
      </c>
      <c r="AD217">
        <v>3.4</v>
      </c>
      <c r="AE217">
        <v>2.0499999999999998</v>
      </c>
      <c r="AF217">
        <v>3.7</v>
      </c>
      <c r="AG217">
        <v>3.5</v>
      </c>
      <c r="AH217">
        <v>2.11</v>
      </c>
      <c r="AI217">
        <v>3.77</v>
      </c>
      <c r="AJ217">
        <v>3.39</v>
      </c>
      <c r="AK217">
        <v>2.0499999999999998</v>
      </c>
      <c r="AL217">
        <v>3.6</v>
      </c>
      <c r="AM217">
        <v>3.3</v>
      </c>
      <c r="AN217">
        <v>2.13</v>
      </c>
      <c r="AO217">
        <v>3.83</v>
      </c>
      <c r="AP217">
        <v>3.39</v>
      </c>
      <c r="AQ217">
        <v>2.13</v>
      </c>
      <c r="AR217">
        <v>3.85</v>
      </c>
      <c r="AS217">
        <v>3.5</v>
      </c>
      <c r="AT217">
        <v>2.09</v>
      </c>
      <c r="AU217">
        <v>3.71</v>
      </c>
      <c r="AV217">
        <v>3.36</v>
      </c>
      <c r="AW217">
        <v>2.12</v>
      </c>
      <c r="AX217">
        <v>3.85</v>
      </c>
      <c r="AY217">
        <v>3.65</v>
      </c>
      <c r="AZ217">
        <v>1.67</v>
      </c>
      <c r="BA217">
        <v>2.2000000000000002</v>
      </c>
      <c r="BB217">
        <v>1.67</v>
      </c>
      <c r="BC217">
        <v>2.2999999999999998</v>
      </c>
      <c r="BD217">
        <v>1.7</v>
      </c>
      <c r="BE217">
        <v>2.31</v>
      </c>
      <c r="BF217">
        <v>1.66</v>
      </c>
      <c r="BG217">
        <v>2.23</v>
      </c>
      <c r="BH217">
        <v>1.73</v>
      </c>
      <c r="BI217">
        <v>2.34</v>
      </c>
      <c r="BJ217">
        <v>-0.25</v>
      </c>
      <c r="BK217">
        <v>1.85</v>
      </c>
      <c r="BL217">
        <v>2.0499999999999998</v>
      </c>
      <c r="BM217">
        <v>1.85</v>
      </c>
      <c r="BN217">
        <v>2.0699999999999998</v>
      </c>
      <c r="BO217">
        <v>1.85</v>
      </c>
      <c r="BP217">
        <v>2.0699999999999998</v>
      </c>
      <c r="BQ217">
        <v>1.8</v>
      </c>
      <c r="BR217">
        <v>2.02</v>
      </c>
      <c r="BS217">
        <v>1.84</v>
      </c>
      <c r="BT217">
        <v>2.15</v>
      </c>
      <c r="BU217">
        <v>2.25</v>
      </c>
      <c r="BV217">
        <v>3.4</v>
      </c>
      <c r="BW217">
        <v>3.1</v>
      </c>
      <c r="BX217">
        <v>2.2999999999999998</v>
      </c>
      <c r="BY217">
        <v>3.3</v>
      </c>
      <c r="BZ217">
        <v>3.2</v>
      </c>
      <c r="CA217">
        <v>2.2999999999999998</v>
      </c>
      <c r="CB217">
        <v>3.4</v>
      </c>
      <c r="CC217">
        <v>3.2</v>
      </c>
      <c r="CD217">
        <v>2.34</v>
      </c>
      <c r="CE217">
        <v>3.45</v>
      </c>
      <c r="CF217">
        <v>3.25</v>
      </c>
      <c r="CG217">
        <v>2.2999999999999998</v>
      </c>
      <c r="CH217">
        <v>3.3</v>
      </c>
      <c r="CI217">
        <v>3.1</v>
      </c>
      <c r="CJ217">
        <v>2.29</v>
      </c>
      <c r="CK217">
        <v>3.5</v>
      </c>
      <c r="CL217">
        <v>3.24</v>
      </c>
      <c r="CM217">
        <v>2.35</v>
      </c>
      <c r="CN217">
        <v>3.5</v>
      </c>
      <c r="CO217">
        <v>3.35</v>
      </c>
      <c r="CP217">
        <v>2.31</v>
      </c>
      <c r="CQ217">
        <v>3.4</v>
      </c>
      <c r="CR217">
        <v>3.18</v>
      </c>
      <c r="CS217">
        <v>2.38</v>
      </c>
      <c r="CT217">
        <v>3.5</v>
      </c>
      <c r="CU217">
        <v>3.35</v>
      </c>
      <c r="CV217">
        <v>1.8</v>
      </c>
      <c r="CW217">
        <v>2</v>
      </c>
      <c r="CX217">
        <v>1.83</v>
      </c>
      <c r="CY217">
        <v>2.08</v>
      </c>
      <c r="CZ217">
        <v>1.84</v>
      </c>
      <c r="DA217">
        <v>2.13</v>
      </c>
      <c r="DB217">
        <v>1.79</v>
      </c>
      <c r="DC217">
        <v>2.0499999999999998</v>
      </c>
      <c r="DD217">
        <v>1.84</v>
      </c>
      <c r="DE217">
        <v>2.16</v>
      </c>
      <c r="DF217">
        <v>-0.25</v>
      </c>
      <c r="DG217">
        <v>2.02</v>
      </c>
      <c r="DH217">
        <v>1.91</v>
      </c>
      <c r="DI217">
        <v>2.02</v>
      </c>
      <c r="DJ217">
        <v>1.91</v>
      </c>
      <c r="DK217">
        <v>2.02</v>
      </c>
      <c r="DL217">
        <v>1.94</v>
      </c>
      <c r="DM217">
        <v>1.97</v>
      </c>
      <c r="DN217">
        <v>1.88</v>
      </c>
      <c r="DO217">
        <v>2.0499999999999998</v>
      </c>
      <c r="DP217">
        <v>1.95</v>
      </c>
    </row>
    <row r="218" spans="1:120" x14ac:dyDescent="0.3">
      <c r="A218" t="s">
        <v>120</v>
      </c>
      <c r="B218" t="s">
        <v>204</v>
      </c>
      <c r="C218" s="1">
        <v>0.58333333333333337</v>
      </c>
      <c r="D218" t="s">
        <v>141</v>
      </c>
      <c r="E218" t="s">
        <v>139</v>
      </c>
      <c r="F218">
        <v>3</v>
      </c>
      <c r="G218">
        <v>2</v>
      </c>
      <c r="H218" t="s">
        <v>124</v>
      </c>
      <c r="I218">
        <v>3</v>
      </c>
      <c r="J218">
        <v>0</v>
      </c>
      <c r="K218" t="s">
        <v>124</v>
      </c>
      <c r="L218" t="s">
        <v>153</v>
      </c>
      <c r="M218">
        <v>14</v>
      </c>
      <c r="N218">
        <v>10</v>
      </c>
      <c r="O218">
        <v>5</v>
      </c>
      <c r="P218">
        <v>4</v>
      </c>
      <c r="Q218">
        <v>4</v>
      </c>
      <c r="R218">
        <v>18</v>
      </c>
      <c r="S218">
        <v>2</v>
      </c>
      <c r="T218">
        <v>8</v>
      </c>
      <c r="U218">
        <v>0</v>
      </c>
      <c r="V218">
        <v>4</v>
      </c>
      <c r="W218">
        <v>0</v>
      </c>
      <c r="X218">
        <v>0</v>
      </c>
      <c r="Y218">
        <v>1.38</v>
      </c>
      <c r="Z218">
        <v>4.75</v>
      </c>
      <c r="AA218">
        <v>8</v>
      </c>
      <c r="AB218">
        <v>1.41</v>
      </c>
      <c r="AC218">
        <v>4.8</v>
      </c>
      <c r="AD218">
        <v>7.75</v>
      </c>
      <c r="AE218">
        <v>1.4</v>
      </c>
      <c r="AF218">
        <v>4.5999999999999996</v>
      </c>
      <c r="AG218">
        <v>8</v>
      </c>
      <c r="AH218">
        <v>1.4</v>
      </c>
      <c r="AI218">
        <v>4.92</v>
      </c>
      <c r="AJ218">
        <v>8.27</v>
      </c>
      <c r="AK218">
        <v>1.4</v>
      </c>
      <c r="AL218">
        <v>4.5999999999999996</v>
      </c>
      <c r="AM218">
        <v>7.5</v>
      </c>
      <c r="AN218">
        <v>1.42</v>
      </c>
      <c r="AO218">
        <v>5</v>
      </c>
      <c r="AP218">
        <v>8.35</v>
      </c>
      <c r="AQ218">
        <v>1.42</v>
      </c>
      <c r="AR218">
        <v>5.0999999999999996</v>
      </c>
      <c r="AS218">
        <v>8.5</v>
      </c>
      <c r="AT218">
        <v>1.39</v>
      </c>
      <c r="AU218">
        <v>4.8600000000000003</v>
      </c>
      <c r="AV218">
        <v>8.0299999999999994</v>
      </c>
      <c r="AW218">
        <v>1.44</v>
      </c>
      <c r="AX218">
        <v>5.0999999999999996</v>
      </c>
      <c r="AY218">
        <v>8.6</v>
      </c>
      <c r="AZ218">
        <v>1.73</v>
      </c>
      <c r="BA218">
        <v>2.1</v>
      </c>
      <c r="BB218">
        <v>1.75</v>
      </c>
      <c r="BC218">
        <v>2.15</v>
      </c>
      <c r="BD218">
        <v>1.8</v>
      </c>
      <c r="BE218">
        <v>2.16</v>
      </c>
      <c r="BF218">
        <v>1.75</v>
      </c>
      <c r="BG218">
        <v>2.09</v>
      </c>
      <c r="BH218">
        <v>1.8</v>
      </c>
      <c r="BI218">
        <v>2.1800000000000002</v>
      </c>
      <c r="BJ218">
        <v>-1.25</v>
      </c>
      <c r="BK218">
        <v>1.9</v>
      </c>
      <c r="BL218">
        <v>2</v>
      </c>
      <c r="BM218">
        <v>1.9</v>
      </c>
      <c r="BN218">
        <v>2.0099999999999998</v>
      </c>
      <c r="BO218">
        <v>1.95</v>
      </c>
      <c r="BP218">
        <v>2.0099999999999998</v>
      </c>
      <c r="BQ218">
        <v>1.87</v>
      </c>
      <c r="BR218">
        <v>1.95</v>
      </c>
      <c r="BS218">
        <v>1.95</v>
      </c>
      <c r="BT218">
        <v>2</v>
      </c>
      <c r="BU218">
        <v>1.38</v>
      </c>
      <c r="BV218">
        <v>4.75</v>
      </c>
      <c r="BW218">
        <v>8</v>
      </c>
      <c r="BX218">
        <v>1.4</v>
      </c>
      <c r="BY218">
        <v>5</v>
      </c>
      <c r="BZ218">
        <v>7.75</v>
      </c>
      <c r="CA218">
        <v>1.4</v>
      </c>
      <c r="CB218">
        <v>4.5999999999999996</v>
      </c>
      <c r="CC218">
        <v>7.5</v>
      </c>
      <c r="CD218">
        <v>1.37</v>
      </c>
      <c r="CE218">
        <v>5.15</v>
      </c>
      <c r="CF218">
        <v>9.23</v>
      </c>
      <c r="CG218">
        <v>1.4</v>
      </c>
      <c r="CH218">
        <v>4.8</v>
      </c>
      <c r="CI218">
        <v>8</v>
      </c>
      <c r="CJ218">
        <v>1.44</v>
      </c>
      <c r="CK218">
        <v>4.87</v>
      </c>
      <c r="CL218">
        <v>7.7</v>
      </c>
      <c r="CM218">
        <v>1.5</v>
      </c>
      <c r="CN218">
        <v>5.2</v>
      </c>
      <c r="CO218">
        <v>9.23</v>
      </c>
      <c r="CP218">
        <v>1.4</v>
      </c>
      <c r="CQ218">
        <v>4.88</v>
      </c>
      <c r="CR218">
        <v>8.1300000000000008</v>
      </c>
      <c r="CS218">
        <v>1.42</v>
      </c>
      <c r="CT218">
        <v>5.0999999999999996</v>
      </c>
      <c r="CU218">
        <v>9.1999999999999993</v>
      </c>
      <c r="CV218">
        <v>1.67</v>
      </c>
      <c r="CW218">
        <v>2.2000000000000002</v>
      </c>
      <c r="CX218">
        <v>1.69</v>
      </c>
      <c r="CY218">
        <v>2.25</v>
      </c>
      <c r="CZ218">
        <v>1.75</v>
      </c>
      <c r="DA218">
        <v>2.2999999999999998</v>
      </c>
      <c r="DB218">
        <v>1.69</v>
      </c>
      <c r="DC218">
        <v>2.2000000000000002</v>
      </c>
      <c r="DD218">
        <v>1.75</v>
      </c>
      <c r="DE218">
        <v>2.2999999999999998</v>
      </c>
      <c r="DF218">
        <v>-1.25</v>
      </c>
      <c r="DG218">
        <v>1.88</v>
      </c>
      <c r="DH218">
        <v>2.0499999999999998</v>
      </c>
      <c r="DI218">
        <v>1.87</v>
      </c>
      <c r="DJ218">
        <v>2.06</v>
      </c>
      <c r="DK218">
        <v>1.94</v>
      </c>
      <c r="DL218">
        <v>2.06</v>
      </c>
      <c r="DM218">
        <v>1.88</v>
      </c>
      <c r="DN218">
        <v>1.97</v>
      </c>
      <c r="DO218">
        <v>1.92</v>
      </c>
      <c r="DP218">
        <v>2.08</v>
      </c>
    </row>
    <row r="219" spans="1:120" x14ac:dyDescent="0.3">
      <c r="A219" t="s">
        <v>120</v>
      </c>
      <c r="B219" t="s">
        <v>204</v>
      </c>
      <c r="C219" s="1">
        <v>0.6875</v>
      </c>
      <c r="D219" t="s">
        <v>128</v>
      </c>
      <c r="E219" t="s">
        <v>152</v>
      </c>
      <c r="F219">
        <v>0</v>
      </c>
      <c r="G219">
        <v>6</v>
      </c>
      <c r="H219" t="s">
        <v>130</v>
      </c>
      <c r="I219">
        <v>0</v>
      </c>
      <c r="J219">
        <v>3</v>
      </c>
      <c r="K219" t="s">
        <v>130</v>
      </c>
      <c r="L219" t="s">
        <v>150</v>
      </c>
      <c r="M219">
        <v>8</v>
      </c>
      <c r="N219">
        <v>17</v>
      </c>
      <c r="O219">
        <v>4</v>
      </c>
      <c r="P219">
        <v>9</v>
      </c>
      <c r="Q219">
        <v>4</v>
      </c>
      <c r="R219">
        <v>7</v>
      </c>
      <c r="S219">
        <v>4</v>
      </c>
      <c r="T219">
        <v>7</v>
      </c>
      <c r="U219">
        <v>0</v>
      </c>
      <c r="V219">
        <v>1</v>
      </c>
      <c r="W219">
        <v>0</v>
      </c>
      <c r="X219">
        <v>0</v>
      </c>
      <c r="Y219">
        <v>7.5</v>
      </c>
      <c r="Z219">
        <v>5.25</v>
      </c>
      <c r="AA219">
        <v>1.36</v>
      </c>
      <c r="AB219">
        <v>8</v>
      </c>
      <c r="AC219">
        <v>5.5</v>
      </c>
      <c r="AD219">
        <v>1.35</v>
      </c>
      <c r="AE219">
        <v>8</v>
      </c>
      <c r="AF219">
        <v>5</v>
      </c>
      <c r="AG219">
        <v>1.36</v>
      </c>
      <c r="AH219">
        <v>7.76</v>
      </c>
      <c r="AI219">
        <v>5.51</v>
      </c>
      <c r="AJ219">
        <v>1.37</v>
      </c>
      <c r="AK219">
        <v>7.5</v>
      </c>
      <c r="AL219">
        <v>5</v>
      </c>
      <c r="AM219">
        <v>1.36</v>
      </c>
      <c r="AN219">
        <v>7.7</v>
      </c>
      <c r="AO219">
        <v>5.39</v>
      </c>
      <c r="AP219">
        <v>1.41</v>
      </c>
      <c r="AQ219">
        <v>9</v>
      </c>
      <c r="AR219">
        <v>5.6</v>
      </c>
      <c r="AS219">
        <v>1.41</v>
      </c>
      <c r="AT219">
        <v>7.72</v>
      </c>
      <c r="AU219">
        <v>5.36</v>
      </c>
      <c r="AV219">
        <v>1.36</v>
      </c>
      <c r="AW219">
        <v>8.8000000000000007</v>
      </c>
      <c r="AX219">
        <v>5.7</v>
      </c>
      <c r="AY219">
        <v>1.39</v>
      </c>
      <c r="AZ219">
        <v>1.44</v>
      </c>
      <c r="BA219">
        <v>2.75</v>
      </c>
      <c r="BB219">
        <v>1.47</v>
      </c>
      <c r="BC219">
        <v>2.75</v>
      </c>
      <c r="BD219">
        <v>1.47</v>
      </c>
      <c r="BE219">
        <v>2.8</v>
      </c>
      <c r="BF219">
        <v>1.44</v>
      </c>
      <c r="BG219">
        <v>2.74</v>
      </c>
      <c r="BH219">
        <v>1.49</v>
      </c>
      <c r="BI219">
        <v>2.92</v>
      </c>
      <c r="BJ219">
        <v>1.5</v>
      </c>
      <c r="BK219">
        <v>1.9</v>
      </c>
      <c r="BL219">
        <v>2</v>
      </c>
      <c r="BM219">
        <v>1.88</v>
      </c>
      <c r="BN219">
        <v>2.0299999999999998</v>
      </c>
      <c r="BO219">
        <v>1.93</v>
      </c>
      <c r="BP219">
        <v>2.0299999999999998</v>
      </c>
      <c r="BQ219">
        <v>1.86</v>
      </c>
      <c r="BR219">
        <v>1.98</v>
      </c>
      <c r="BS219">
        <v>1.91</v>
      </c>
      <c r="BT219">
        <v>2.06</v>
      </c>
      <c r="BU219">
        <v>7</v>
      </c>
      <c r="BV219">
        <v>5</v>
      </c>
      <c r="BW219">
        <v>1.4</v>
      </c>
      <c r="BX219">
        <v>7.5</v>
      </c>
      <c r="BY219">
        <v>5.25</v>
      </c>
      <c r="BZ219">
        <v>1.38</v>
      </c>
      <c r="CA219">
        <v>8</v>
      </c>
      <c r="CB219">
        <v>5</v>
      </c>
      <c r="CC219">
        <v>1.36</v>
      </c>
      <c r="CD219">
        <v>8.5</v>
      </c>
      <c r="CE219">
        <v>5.5</v>
      </c>
      <c r="CF219">
        <v>1.37</v>
      </c>
      <c r="CG219">
        <v>7.5</v>
      </c>
      <c r="CH219">
        <v>5</v>
      </c>
      <c r="CI219">
        <v>1.4</v>
      </c>
      <c r="CJ219">
        <v>8.1</v>
      </c>
      <c r="CK219">
        <v>5.13</v>
      </c>
      <c r="CL219">
        <v>1.41</v>
      </c>
      <c r="CM219">
        <v>8.5</v>
      </c>
      <c r="CN219">
        <v>5.7</v>
      </c>
      <c r="CO219">
        <v>1.51</v>
      </c>
      <c r="CP219">
        <v>7.72</v>
      </c>
      <c r="CQ219">
        <v>5.21</v>
      </c>
      <c r="CR219">
        <v>1.39</v>
      </c>
      <c r="CS219">
        <v>9</v>
      </c>
      <c r="CT219">
        <v>5.7</v>
      </c>
      <c r="CU219">
        <v>1.39</v>
      </c>
      <c r="CV219">
        <v>1.5</v>
      </c>
      <c r="CW219">
        <v>2.63</v>
      </c>
      <c r="CX219">
        <v>1.51</v>
      </c>
      <c r="CY219">
        <v>2.66</v>
      </c>
      <c r="CZ219">
        <v>1.57</v>
      </c>
      <c r="DA219">
        <v>2.74</v>
      </c>
      <c r="DB219">
        <v>1.51</v>
      </c>
      <c r="DC219">
        <v>2.62</v>
      </c>
      <c r="DD219">
        <v>1.55</v>
      </c>
      <c r="DE219">
        <v>2.8</v>
      </c>
      <c r="DF219">
        <v>1.5</v>
      </c>
      <c r="DG219">
        <v>1.78</v>
      </c>
      <c r="DH219">
        <v>2.0299999999999998</v>
      </c>
      <c r="DI219">
        <v>1.86</v>
      </c>
      <c r="DJ219">
        <v>2.0699999999999998</v>
      </c>
      <c r="DK219">
        <v>1.91</v>
      </c>
      <c r="DL219">
        <v>2.31</v>
      </c>
      <c r="DM219">
        <v>1.82</v>
      </c>
      <c r="DN219">
        <v>2.0299999999999998</v>
      </c>
      <c r="DO219">
        <v>1.9</v>
      </c>
      <c r="DP219">
        <v>2.08</v>
      </c>
    </row>
    <row r="220" spans="1:120" x14ac:dyDescent="0.3">
      <c r="A220" t="s">
        <v>120</v>
      </c>
      <c r="B220" t="s">
        <v>205</v>
      </c>
      <c r="C220" s="1">
        <v>0.83333333333333337</v>
      </c>
      <c r="D220" t="s">
        <v>151</v>
      </c>
      <c r="E220" t="s">
        <v>133</v>
      </c>
      <c r="F220">
        <v>3</v>
      </c>
      <c r="G220">
        <v>1</v>
      </c>
      <c r="H220" t="s">
        <v>124</v>
      </c>
      <c r="I220">
        <v>1</v>
      </c>
      <c r="J220">
        <v>1</v>
      </c>
      <c r="K220" t="s">
        <v>125</v>
      </c>
      <c r="L220" t="s">
        <v>137</v>
      </c>
      <c r="M220">
        <v>19</v>
      </c>
      <c r="N220">
        <v>9</v>
      </c>
      <c r="O220">
        <v>7</v>
      </c>
      <c r="P220">
        <v>4</v>
      </c>
      <c r="Q220">
        <v>8</v>
      </c>
      <c r="R220">
        <v>14</v>
      </c>
      <c r="S220">
        <v>3</v>
      </c>
      <c r="T220">
        <v>6</v>
      </c>
      <c r="U220">
        <v>4</v>
      </c>
      <c r="V220">
        <v>2</v>
      </c>
      <c r="W220">
        <v>0</v>
      </c>
      <c r="X220">
        <v>0</v>
      </c>
      <c r="Y220">
        <v>1.36</v>
      </c>
      <c r="Z220">
        <v>5.75</v>
      </c>
      <c r="AA220">
        <v>6.5</v>
      </c>
      <c r="AB220">
        <v>1.34</v>
      </c>
      <c r="AC220">
        <v>5.75</v>
      </c>
      <c r="AD220">
        <v>8</v>
      </c>
      <c r="AE220">
        <v>1.33</v>
      </c>
      <c r="AF220">
        <v>5</v>
      </c>
      <c r="AG220">
        <v>7.5</v>
      </c>
      <c r="AH220">
        <v>1.38</v>
      </c>
      <c r="AI220">
        <v>5.69</v>
      </c>
      <c r="AJ220">
        <v>7.16</v>
      </c>
      <c r="AK220">
        <v>1.36</v>
      </c>
      <c r="AL220">
        <v>5</v>
      </c>
      <c r="AM220">
        <v>7</v>
      </c>
      <c r="AN220">
        <v>1.41</v>
      </c>
      <c r="AO220">
        <v>5.55</v>
      </c>
      <c r="AP220">
        <v>7.43</v>
      </c>
      <c r="AQ220">
        <v>1.41</v>
      </c>
      <c r="AR220">
        <v>5.8</v>
      </c>
      <c r="AS220">
        <v>8.5</v>
      </c>
      <c r="AT220">
        <v>1.37</v>
      </c>
      <c r="AU220">
        <v>5.51</v>
      </c>
      <c r="AV220">
        <v>7.3</v>
      </c>
      <c r="AW220">
        <v>1.42</v>
      </c>
      <c r="AX220">
        <v>5.7</v>
      </c>
      <c r="AY220">
        <v>8.1999999999999993</v>
      </c>
      <c r="AZ220">
        <v>1.36</v>
      </c>
      <c r="BA220">
        <v>3.2</v>
      </c>
      <c r="BB220">
        <v>1.39</v>
      </c>
      <c r="BC220">
        <v>3.07</v>
      </c>
      <c r="BD220">
        <v>1.4</v>
      </c>
      <c r="BE220">
        <v>3.2</v>
      </c>
      <c r="BF220">
        <v>1.37</v>
      </c>
      <c r="BG220">
        <v>3.06</v>
      </c>
      <c r="BH220">
        <v>1.37</v>
      </c>
      <c r="BI220">
        <v>3.05</v>
      </c>
      <c r="BJ220">
        <v>-1.5</v>
      </c>
      <c r="BK220">
        <v>1.98</v>
      </c>
      <c r="BL220">
        <v>1.92</v>
      </c>
      <c r="BM220">
        <v>2</v>
      </c>
      <c r="BN220">
        <v>1.9</v>
      </c>
      <c r="BO220">
        <v>2</v>
      </c>
      <c r="BP220">
        <v>1.94</v>
      </c>
      <c r="BQ220">
        <v>1.96</v>
      </c>
      <c r="BR220">
        <v>1.89</v>
      </c>
      <c r="BS220">
        <v>2.06</v>
      </c>
      <c r="BT220">
        <v>1.84</v>
      </c>
      <c r="BU220">
        <v>1.45</v>
      </c>
      <c r="BV220">
        <v>5</v>
      </c>
      <c r="BW220">
        <v>6.25</v>
      </c>
      <c r="BX220">
        <v>1.44</v>
      </c>
      <c r="BY220">
        <v>5.25</v>
      </c>
      <c r="BZ220">
        <v>6.25</v>
      </c>
      <c r="CA220">
        <v>1.4</v>
      </c>
      <c r="CB220">
        <v>5</v>
      </c>
      <c r="CC220">
        <v>6.5</v>
      </c>
      <c r="CD220">
        <v>1.44</v>
      </c>
      <c r="CE220">
        <v>5.25</v>
      </c>
      <c r="CF220">
        <v>6.8</v>
      </c>
      <c r="CG220">
        <v>1.44</v>
      </c>
      <c r="CH220">
        <v>5</v>
      </c>
      <c r="CI220">
        <v>6.5</v>
      </c>
      <c r="CJ220">
        <v>1.45</v>
      </c>
      <c r="CK220">
        <v>5.07</v>
      </c>
      <c r="CL220">
        <v>6.94</v>
      </c>
      <c r="CM220">
        <v>1.45</v>
      </c>
      <c r="CN220">
        <v>5.43</v>
      </c>
      <c r="CO220">
        <v>7.5</v>
      </c>
      <c r="CP220">
        <v>1.43</v>
      </c>
      <c r="CQ220">
        <v>5.16</v>
      </c>
      <c r="CR220">
        <v>6.64</v>
      </c>
      <c r="CS220">
        <v>1.47</v>
      </c>
      <c r="CT220">
        <v>5.4</v>
      </c>
      <c r="CU220">
        <v>7.2</v>
      </c>
      <c r="CV220">
        <v>1.4</v>
      </c>
      <c r="CW220">
        <v>3</v>
      </c>
      <c r="CX220">
        <v>1.41</v>
      </c>
      <c r="CY220">
        <v>3.03</v>
      </c>
      <c r="CZ220">
        <v>1.41</v>
      </c>
      <c r="DA220">
        <v>3.16</v>
      </c>
      <c r="DB220">
        <v>1.4</v>
      </c>
      <c r="DC220">
        <v>2.97</v>
      </c>
      <c r="DD220">
        <v>1.44</v>
      </c>
      <c r="DE220">
        <v>3.2</v>
      </c>
      <c r="DF220">
        <v>-1.25</v>
      </c>
      <c r="DG220">
        <v>1.95</v>
      </c>
      <c r="DH220">
        <v>1.95</v>
      </c>
      <c r="DI220">
        <v>1.94</v>
      </c>
      <c r="DJ220">
        <v>1.98</v>
      </c>
      <c r="DK220">
        <v>1.95</v>
      </c>
      <c r="DL220">
        <v>2.0499999999999998</v>
      </c>
      <c r="DM220">
        <v>1.87</v>
      </c>
      <c r="DN220">
        <v>1.97</v>
      </c>
      <c r="DO220">
        <v>1.95</v>
      </c>
      <c r="DP220">
        <v>2.0299999999999998</v>
      </c>
    </row>
    <row r="221" spans="1:120" x14ac:dyDescent="0.3">
      <c r="A221" t="s">
        <v>120</v>
      </c>
      <c r="B221" t="s">
        <v>206</v>
      </c>
      <c r="C221" s="1">
        <v>0.625</v>
      </c>
      <c r="D221" t="s">
        <v>142</v>
      </c>
      <c r="E221" t="s">
        <v>141</v>
      </c>
      <c r="F221">
        <v>5</v>
      </c>
      <c r="G221">
        <v>0</v>
      </c>
      <c r="H221" t="s">
        <v>124</v>
      </c>
      <c r="I221">
        <v>1</v>
      </c>
      <c r="J221">
        <v>0</v>
      </c>
      <c r="K221" t="s">
        <v>124</v>
      </c>
      <c r="L221" t="s">
        <v>140</v>
      </c>
      <c r="M221">
        <v>16</v>
      </c>
      <c r="N221">
        <v>18</v>
      </c>
      <c r="O221">
        <v>10</v>
      </c>
      <c r="P221">
        <v>4</v>
      </c>
      <c r="Q221">
        <v>9</v>
      </c>
      <c r="R221">
        <v>12</v>
      </c>
      <c r="S221">
        <v>3</v>
      </c>
      <c r="T221">
        <v>9</v>
      </c>
      <c r="U221">
        <v>2</v>
      </c>
      <c r="V221">
        <v>3</v>
      </c>
      <c r="W221">
        <v>0</v>
      </c>
      <c r="X221">
        <v>0</v>
      </c>
      <c r="Y221">
        <v>2.0499999999999998</v>
      </c>
      <c r="Z221">
        <v>3.7</v>
      </c>
      <c r="AA221">
        <v>3.4</v>
      </c>
      <c r="AB221">
        <v>2.0499999999999998</v>
      </c>
      <c r="AC221">
        <v>3.6</v>
      </c>
      <c r="AD221">
        <v>3.5</v>
      </c>
      <c r="AE221">
        <v>2.0499999999999998</v>
      </c>
      <c r="AF221">
        <v>3.6</v>
      </c>
      <c r="AG221">
        <v>3.5</v>
      </c>
      <c r="AH221">
        <v>2.11</v>
      </c>
      <c r="AI221">
        <v>3.7</v>
      </c>
      <c r="AJ221">
        <v>3.45</v>
      </c>
      <c r="AK221">
        <v>2.0499999999999998</v>
      </c>
      <c r="AL221">
        <v>3.5</v>
      </c>
      <c r="AM221">
        <v>3.4</v>
      </c>
      <c r="AN221">
        <v>2.13</v>
      </c>
      <c r="AO221">
        <v>3.71</v>
      </c>
      <c r="AP221">
        <v>3.49</v>
      </c>
      <c r="AQ221">
        <v>2.14</v>
      </c>
      <c r="AR221">
        <v>3.75</v>
      </c>
      <c r="AS221">
        <v>3.5</v>
      </c>
      <c r="AT221">
        <v>2.09</v>
      </c>
      <c r="AU221">
        <v>3.64</v>
      </c>
      <c r="AV221">
        <v>3.42</v>
      </c>
      <c r="AW221">
        <v>2.14</v>
      </c>
      <c r="AX221">
        <v>3.75</v>
      </c>
      <c r="AY221">
        <v>3.65</v>
      </c>
      <c r="AZ221">
        <v>1.85</v>
      </c>
      <c r="BA221">
        <v>2.0499999999999998</v>
      </c>
      <c r="BB221">
        <v>1.83</v>
      </c>
      <c r="BC221">
        <v>2.06</v>
      </c>
      <c r="BD221">
        <v>1.86</v>
      </c>
      <c r="BE221">
        <v>2.0699999999999998</v>
      </c>
      <c r="BF221">
        <v>1.82</v>
      </c>
      <c r="BG221">
        <v>2.02</v>
      </c>
      <c r="BH221">
        <v>1.88</v>
      </c>
      <c r="BI221">
        <v>2.1</v>
      </c>
      <c r="BJ221">
        <v>-0.25</v>
      </c>
      <c r="BK221">
        <v>1.82</v>
      </c>
      <c r="BL221">
        <v>2.08</v>
      </c>
      <c r="BM221">
        <v>1.85</v>
      </c>
      <c r="BN221">
        <v>2.0699999999999998</v>
      </c>
      <c r="BO221">
        <v>1.85</v>
      </c>
      <c r="BP221">
        <v>2.09</v>
      </c>
      <c r="BQ221">
        <v>1.8</v>
      </c>
      <c r="BR221">
        <v>2.0299999999999998</v>
      </c>
      <c r="BS221">
        <v>1.86</v>
      </c>
      <c r="BT221">
        <v>2.14</v>
      </c>
      <c r="BU221">
        <v>1.91</v>
      </c>
      <c r="BV221">
        <v>3.7</v>
      </c>
      <c r="BW221">
        <v>3.8</v>
      </c>
      <c r="BX221">
        <v>2.0499999999999998</v>
      </c>
      <c r="BY221">
        <v>3.5</v>
      </c>
      <c r="BZ221">
        <v>3.6</v>
      </c>
      <c r="CA221">
        <v>1.95</v>
      </c>
      <c r="CB221">
        <v>3.5</v>
      </c>
      <c r="CC221">
        <v>3.9</v>
      </c>
      <c r="CD221">
        <v>1.97</v>
      </c>
      <c r="CE221">
        <v>3.73</v>
      </c>
      <c r="CF221">
        <v>3.94</v>
      </c>
      <c r="CG221">
        <v>2</v>
      </c>
      <c r="CH221">
        <v>3.6</v>
      </c>
      <c r="CI221">
        <v>3.6</v>
      </c>
      <c r="CJ221">
        <v>2.0499999999999998</v>
      </c>
      <c r="CK221">
        <v>3.68</v>
      </c>
      <c r="CL221">
        <v>3.7</v>
      </c>
      <c r="CM221">
        <v>2.12</v>
      </c>
      <c r="CN221">
        <v>3.77</v>
      </c>
      <c r="CO221">
        <v>3.95</v>
      </c>
      <c r="CP221">
        <v>1.99</v>
      </c>
      <c r="CQ221">
        <v>3.64</v>
      </c>
      <c r="CR221">
        <v>3.77</v>
      </c>
      <c r="CS221">
        <v>2.04</v>
      </c>
      <c r="CT221">
        <v>3.75</v>
      </c>
      <c r="CU221">
        <v>4</v>
      </c>
      <c r="CV221">
        <v>1.73</v>
      </c>
      <c r="CW221">
        <v>2.1</v>
      </c>
      <c r="CX221">
        <v>1.78</v>
      </c>
      <c r="CY221">
        <v>2.14</v>
      </c>
      <c r="CZ221">
        <v>1.87</v>
      </c>
      <c r="DA221">
        <v>2.25</v>
      </c>
      <c r="DB221">
        <v>1.8</v>
      </c>
      <c r="DC221">
        <v>2.0499999999999998</v>
      </c>
      <c r="DD221">
        <v>1.89</v>
      </c>
      <c r="DE221">
        <v>2.1</v>
      </c>
      <c r="DF221">
        <v>-0.5</v>
      </c>
      <c r="DG221">
        <v>1.97</v>
      </c>
      <c r="DH221">
        <v>1.96</v>
      </c>
      <c r="DI221">
        <v>1.98</v>
      </c>
      <c r="DJ221">
        <v>1.94</v>
      </c>
      <c r="DK221">
        <v>2.0299999999999998</v>
      </c>
      <c r="DL221">
        <v>1.98</v>
      </c>
      <c r="DM221">
        <v>1.98</v>
      </c>
      <c r="DN221">
        <v>1.88</v>
      </c>
      <c r="DO221">
        <v>2.04</v>
      </c>
      <c r="DP221">
        <v>1.94</v>
      </c>
    </row>
    <row r="222" spans="1:120" x14ac:dyDescent="0.3">
      <c r="A222" t="s">
        <v>120</v>
      </c>
      <c r="B222" t="s">
        <v>206</v>
      </c>
      <c r="C222" s="1">
        <v>0.625</v>
      </c>
      <c r="D222" t="s">
        <v>136</v>
      </c>
      <c r="E222" t="s">
        <v>135</v>
      </c>
      <c r="F222">
        <v>0</v>
      </c>
      <c r="G222">
        <v>1</v>
      </c>
      <c r="H222" t="s">
        <v>130</v>
      </c>
      <c r="I222">
        <v>0</v>
      </c>
      <c r="J222">
        <v>1</v>
      </c>
      <c r="K222" t="s">
        <v>130</v>
      </c>
      <c r="L222" t="s">
        <v>131</v>
      </c>
      <c r="M222">
        <v>16</v>
      </c>
      <c r="N222">
        <v>3</v>
      </c>
      <c r="O222">
        <v>1</v>
      </c>
      <c r="P222">
        <v>1</v>
      </c>
      <c r="Q222">
        <v>8</v>
      </c>
      <c r="R222">
        <v>11</v>
      </c>
      <c r="S222">
        <v>9</v>
      </c>
      <c r="T222">
        <v>1</v>
      </c>
      <c r="U222">
        <v>3</v>
      </c>
      <c r="V222">
        <v>4</v>
      </c>
      <c r="W222">
        <v>0</v>
      </c>
      <c r="X222">
        <v>0</v>
      </c>
      <c r="Y222">
        <v>1.67</v>
      </c>
      <c r="Z222">
        <v>3.75</v>
      </c>
      <c r="AA222">
        <v>5.5</v>
      </c>
      <c r="AB222">
        <v>1.65</v>
      </c>
      <c r="AC222">
        <v>4</v>
      </c>
      <c r="AD222">
        <v>5.25</v>
      </c>
      <c r="AE222">
        <v>1.67</v>
      </c>
      <c r="AF222">
        <v>3.8</v>
      </c>
      <c r="AG222">
        <v>5.5</v>
      </c>
      <c r="AH222">
        <v>1.68</v>
      </c>
      <c r="AI222">
        <v>3.83</v>
      </c>
      <c r="AJ222">
        <v>5.5</v>
      </c>
      <c r="AK222">
        <v>1.65</v>
      </c>
      <c r="AL222">
        <v>3.9</v>
      </c>
      <c r="AM222">
        <v>5</v>
      </c>
      <c r="AN222">
        <v>1.7</v>
      </c>
      <c r="AO222">
        <v>4.04</v>
      </c>
      <c r="AP222">
        <v>5.29</v>
      </c>
      <c r="AQ222">
        <v>1.7</v>
      </c>
      <c r="AR222">
        <v>4.04</v>
      </c>
      <c r="AS222">
        <v>5.72</v>
      </c>
      <c r="AT222">
        <v>1.67</v>
      </c>
      <c r="AU222">
        <v>3.86</v>
      </c>
      <c r="AV222">
        <v>5.39</v>
      </c>
      <c r="AW222">
        <v>1.73</v>
      </c>
      <c r="AX222">
        <v>3.95</v>
      </c>
      <c r="AY222">
        <v>5.8</v>
      </c>
      <c r="AZ222">
        <v>1.89</v>
      </c>
      <c r="BA222">
        <v>1.89</v>
      </c>
      <c r="BB222">
        <v>1.96</v>
      </c>
      <c r="BC222">
        <v>1.93</v>
      </c>
      <c r="BD222">
        <v>1.98</v>
      </c>
      <c r="BE222">
        <v>1.98</v>
      </c>
      <c r="BF222">
        <v>1.9</v>
      </c>
      <c r="BG222">
        <v>1.93</v>
      </c>
      <c r="BH222">
        <v>1.97</v>
      </c>
      <c r="BI222">
        <v>2</v>
      </c>
      <c r="BJ222">
        <v>-0.75</v>
      </c>
      <c r="BK222">
        <v>1.88</v>
      </c>
      <c r="BL222">
        <v>2.02</v>
      </c>
      <c r="BM222">
        <v>1.89</v>
      </c>
      <c r="BN222">
        <v>2.02</v>
      </c>
      <c r="BO222">
        <v>1.9</v>
      </c>
      <c r="BP222">
        <v>2.04</v>
      </c>
      <c r="BQ222">
        <v>1.85</v>
      </c>
      <c r="BR222">
        <v>1.98</v>
      </c>
      <c r="BS222">
        <v>1.93</v>
      </c>
      <c r="BT222">
        <v>2.04</v>
      </c>
      <c r="BU222">
        <v>1.73</v>
      </c>
      <c r="BV222">
        <v>3.6</v>
      </c>
      <c r="BW222">
        <v>5.25</v>
      </c>
      <c r="BX222">
        <v>1.71</v>
      </c>
      <c r="BY222">
        <v>3.7</v>
      </c>
      <c r="BZ222">
        <v>5.25</v>
      </c>
      <c r="CA222">
        <v>1.67</v>
      </c>
      <c r="CB222">
        <v>3.8</v>
      </c>
      <c r="CC222">
        <v>5.5</v>
      </c>
      <c r="CD222">
        <v>1.74</v>
      </c>
      <c r="CE222">
        <v>3.69</v>
      </c>
      <c r="CF222">
        <v>5.42</v>
      </c>
      <c r="CG222">
        <v>1.67</v>
      </c>
      <c r="CH222">
        <v>3.8</v>
      </c>
      <c r="CI222">
        <v>5</v>
      </c>
      <c r="CJ222">
        <v>1.73</v>
      </c>
      <c r="CK222">
        <v>3.76</v>
      </c>
      <c r="CL222">
        <v>5.34</v>
      </c>
      <c r="CM222">
        <v>1.75</v>
      </c>
      <c r="CN222">
        <v>3.96</v>
      </c>
      <c r="CO222">
        <v>5.8</v>
      </c>
      <c r="CP222">
        <v>1.7</v>
      </c>
      <c r="CQ222">
        <v>3.74</v>
      </c>
      <c r="CR222">
        <v>5.37</v>
      </c>
      <c r="CS222">
        <v>1.73</v>
      </c>
      <c r="CT222">
        <v>3.9</v>
      </c>
      <c r="CU222">
        <v>6</v>
      </c>
      <c r="CV222">
        <v>2.0499999999999998</v>
      </c>
      <c r="CW222">
        <v>1.85</v>
      </c>
      <c r="CX222">
        <v>2.0499999999999998</v>
      </c>
      <c r="CY222">
        <v>1.86</v>
      </c>
      <c r="CZ222">
        <v>2.08</v>
      </c>
      <c r="DA222">
        <v>1.95</v>
      </c>
      <c r="DB222">
        <v>1.98</v>
      </c>
      <c r="DC222">
        <v>1.86</v>
      </c>
      <c r="DD222">
        <v>2.08</v>
      </c>
      <c r="DE222">
        <v>1.9</v>
      </c>
      <c r="DF222">
        <v>-0.75</v>
      </c>
      <c r="DG222">
        <v>1.99</v>
      </c>
      <c r="DH222">
        <v>1.94</v>
      </c>
      <c r="DI222">
        <v>1.97</v>
      </c>
      <c r="DJ222">
        <v>1.95</v>
      </c>
      <c r="DK222">
        <v>1.99</v>
      </c>
      <c r="DL222">
        <v>2.02</v>
      </c>
      <c r="DM222">
        <v>1.9</v>
      </c>
      <c r="DN222">
        <v>1.96</v>
      </c>
      <c r="DO222">
        <v>1.93</v>
      </c>
      <c r="DP222">
        <v>2.04</v>
      </c>
    </row>
    <row r="223" spans="1:120" x14ac:dyDescent="0.3">
      <c r="A223" t="s">
        <v>120</v>
      </c>
      <c r="B223" t="s">
        <v>206</v>
      </c>
      <c r="C223" s="1">
        <v>0.625</v>
      </c>
      <c r="D223" t="s">
        <v>129</v>
      </c>
      <c r="E223" t="s">
        <v>128</v>
      </c>
      <c r="F223">
        <v>4</v>
      </c>
      <c r="G223">
        <v>1</v>
      </c>
      <c r="H223" t="s">
        <v>124</v>
      </c>
      <c r="I223">
        <v>3</v>
      </c>
      <c r="J223">
        <v>0</v>
      </c>
      <c r="K223" t="s">
        <v>124</v>
      </c>
      <c r="L223" t="s">
        <v>160</v>
      </c>
      <c r="M223">
        <v>16</v>
      </c>
      <c r="N223">
        <v>3</v>
      </c>
      <c r="O223">
        <v>6</v>
      </c>
      <c r="P223">
        <v>3</v>
      </c>
      <c r="Q223">
        <v>10</v>
      </c>
      <c r="R223">
        <v>11</v>
      </c>
      <c r="S223">
        <v>3</v>
      </c>
      <c r="T223">
        <v>4</v>
      </c>
      <c r="U223">
        <v>0</v>
      </c>
      <c r="V223">
        <v>2</v>
      </c>
      <c r="W223">
        <v>0</v>
      </c>
      <c r="X223">
        <v>0</v>
      </c>
      <c r="Y223">
        <v>1.08</v>
      </c>
      <c r="Z223">
        <v>12</v>
      </c>
      <c r="AA223">
        <v>15</v>
      </c>
      <c r="AB223">
        <v>1.1100000000000001</v>
      </c>
      <c r="AC223">
        <v>11</v>
      </c>
      <c r="AD223">
        <v>20</v>
      </c>
      <c r="AE223">
        <v>1.08</v>
      </c>
      <c r="AF223">
        <v>13</v>
      </c>
      <c r="AG223">
        <v>21</v>
      </c>
      <c r="AH223">
        <v>1.1000000000000001</v>
      </c>
      <c r="AI223">
        <v>11.75</v>
      </c>
      <c r="AJ223">
        <v>21.77</v>
      </c>
      <c r="AK223">
        <v>1.1200000000000001</v>
      </c>
      <c r="AL223">
        <v>10</v>
      </c>
      <c r="AM223">
        <v>19</v>
      </c>
      <c r="AN223">
        <v>1.1299999999999999</v>
      </c>
      <c r="AO223">
        <v>10.7</v>
      </c>
      <c r="AP223">
        <v>20</v>
      </c>
      <c r="AQ223">
        <v>1.1299999999999999</v>
      </c>
      <c r="AR223">
        <v>13</v>
      </c>
      <c r="AS223">
        <v>27</v>
      </c>
      <c r="AT223">
        <v>1.1000000000000001</v>
      </c>
      <c r="AU223">
        <v>11.04</v>
      </c>
      <c r="AV223">
        <v>20.87</v>
      </c>
      <c r="AW223">
        <v>1.1200000000000001</v>
      </c>
      <c r="AX223">
        <v>14.5</v>
      </c>
      <c r="AY223">
        <v>26</v>
      </c>
      <c r="AZ223">
        <v>1.25</v>
      </c>
      <c r="BA223">
        <v>4</v>
      </c>
      <c r="BD223">
        <v>1.26</v>
      </c>
      <c r="BE223">
        <v>4.2</v>
      </c>
      <c r="BF223">
        <v>1.25</v>
      </c>
      <c r="BG223">
        <v>3.82</v>
      </c>
      <c r="BH223">
        <v>1.28</v>
      </c>
      <c r="BI223">
        <v>4.3</v>
      </c>
      <c r="BJ223">
        <v>-2.5</v>
      </c>
      <c r="BK223">
        <v>1.88</v>
      </c>
      <c r="BL223">
        <v>2.02</v>
      </c>
      <c r="BM223">
        <v>1.88</v>
      </c>
      <c r="BN223">
        <v>2.0099999999999998</v>
      </c>
      <c r="BO223">
        <v>1.9</v>
      </c>
      <c r="BP223">
        <v>2.06</v>
      </c>
      <c r="BQ223">
        <v>1.86</v>
      </c>
      <c r="BR223">
        <v>1.98</v>
      </c>
      <c r="BS223">
        <v>1.89</v>
      </c>
      <c r="BT223">
        <v>2.04</v>
      </c>
      <c r="BU223">
        <v>1.1100000000000001</v>
      </c>
      <c r="BV223">
        <v>11</v>
      </c>
      <c r="BW223">
        <v>15</v>
      </c>
      <c r="BX223">
        <v>1.1200000000000001</v>
      </c>
      <c r="BY223">
        <v>11</v>
      </c>
      <c r="BZ223">
        <v>21</v>
      </c>
      <c r="CA223">
        <v>1.1000000000000001</v>
      </c>
      <c r="CB223">
        <v>12</v>
      </c>
      <c r="CC223">
        <v>23</v>
      </c>
      <c r="CD223">
        <v>1.1000000000000001</v>
      </c>
      <c r="CE223">
        <v>12.25</v>
      </c>
      <c r="CF223">
        <v>24.5</v>
      </c>
      <c r="CG223">
        <v>1.1200000000000001</v>
      </c>
      <c r="CH223">
        <v>9.5</v>
      </c>
      <c r="CI223">
        <v>17</v>
      </c>
      <c r="CJ223">
        <v>1.1200000000000001</v>
      </c>
      <c r="CK223">
        <v>12.4</v>
      </c>
      <c r="CL223">
        <v>17.600000000000001</v>
      </c>
      <c r="CM223">
        <v>1.1299999999999999</v>
      </c>
      <c r="CN223">
        <v>12.5</v>
      </c>
      <c r="CO223">
        <v>25</v>
      </c>
      <c r="CP223">
        <v>1.1100000000000001</v>
      </c>
      <c r="CQ223">
        <v>11.32</v>
      </c>
      <c r="CR223">
        <v>21.57</v>
      </c>
      <c r="CS223">
        <v>1.1200000000000001</v>
      </c>
      <c r="CT223">
        <v>13</v>
      </c>
      <c r="CU223">
        <v>27</v>
      </c>
      <c r="CV223">
        <v>1.29</v>
      </c>
      <c r="CW223">
        <v>3.75</v>
      </c>
      <c r="CZ223">
        <v>1.29</v>
      </c>
      <c r="DA223">
        <v>4.25</v>
      </c>
      <c r="DB223">
        <v>1.27</v>
      </c>
      <c r="DC223">
        <v>3.78</v>
      </c>
      <c r="DD223">
        <v>1.29</v>
      </c>
      <c r="DE223">
        <v>4.2</v>
      </c>
      <c r="DF223">
        <v>-2.5</v>
      </c>
      <c r="DG223">
        <v>1.93</v>
      </c>
      <c r="DH223">
        <v>2</v>
      </c>
      <c r="DI223">
        <v>1.91</v>
      </c>
      <c r="DJ223">
        <v>2</v>
      </c>
      <c r="DK223">
        <v>1.96</v>
      </c>
      <c r="DL223">
        <v>2.0299999999999998</v>
      </c>
      <c r="DM223">
        <v>1.91</v>
      </c>
      <c r="DN223">
        <v>1.95</v>
      </c>
      <c r="DO223">
        <v>1.97</v>
      </c>
      <c r="DP223">
        <v>2.02</v>
      </c>
    </row>
    <row r="224" spans="1:120" x14ac:dyDescent="0.3">
      <c r="A224" t="s">
        <v>120</v>
      </c>
      <c r="B224" t="s">
        <v>206</v>
      </c>
      <c r="C224" s="1">
        <v>0.625</v>
      </c>
      <c r="D224" t="s">
        <v>139</v>
      </c>
      <c r="E224" t="s">
        <v>138</v>
      </c>
      <c r="F224">
        <v>1</v>
      </c>
      <c r="G224">
        <v>3</v>
      </c>
      <c r="H224" t="s">
        <v>130</v>
      </c>
      <c r="I224">
        <v>1</v>
      </c>
      <c r="J224">
        <v>2</v>
      </c>
      <c r="K224" t="s">
        <v>130</v>
      </c>
      <c r="L224" t="s">
        <v>150</v>
      </c>
      <c r="M224">
        <v>12</v>
      </c>
      <c r="N224">
        <v>17</v>
      </c>
      <c r="O224">
        <v>5</v>
      </c>
      <c r="P224">
        <v>9</v>
      </c>
      <c r="Q224">
        <v>10</v>
      </c>
      <c r="R224">
        <v>5</v>
      </c>
      <c r="S224">
        <v>3</v>
      </c>
      <c r="T224">
        <v>8</v>
      </c>
      <c r="U224">
        <v>1</v>
      </c>
      <c r="V224">
        <v>0</v>
      </c>
      <c r="W224">
        <v>0</v>
      </c>
      <c r="X224">
        <v>0</v>
      </c>
      <c r="Y224">
        <v>6.5</v>
      </c>
      <c r="Z224">
        <v>5.25</v>
      </c>
      <c r="AA224">
        <v>1.42</v>
      </c>
      <c r="AB224">
        <v>6.75</v>
      </c>
      <c r="AC224">
        <v>5.25</v>
      </c>
      <c r="AD224">
        <v>1.41</v>
      </c>
      <c r="AE224">
        <v>7</v>
      </c>
      <c r="AF224">
        <v>5</v>
      </c>
      <c r="AG224">
        <v>1.4</v>
      </c>
      <c r="AH224">
        <v>7.05</v>
      </c>
      <c r="AI224">
        <v>5.17</v>
      </c>
      <c r="AJ224">
        <v>1.42</v>
      </c>
      <c r="AK224">
        <v>6.5</v>
      </c>
      <c r="AL224">
        <v>4.8</v>
      </c>
      <c r="AM224">
        <v>1.44</v>
      </c>
      <c r="AN224">
        <v>6.73</v>
      </c>
      <c r="AO224">
        <v>5.09</v>
      </c>
      <c r="AP224">
        <v>1.47</v>
      </c>
      <c r="AQ224">
        <v>7.5</v>
      </c>
      <c r="AR224">
        <v>5.3</v>
      </c>
      <c r="AS224">
        <v>1.47</v>
      </c>
      <c r="AT224">
        <v>6.82</v>
      </c>
      <c r="AU224">
        <v>5.09</v>
      </c>
      <c r="AV224">
        <v>1.42</v>
      </c>
      <c r="AW224">
        <v>7.6</v>
      </c>
      <c r="AX224">
        <v>5.4</v>
      </c>
      <c r="AY224">
        <v>1.45</v>
      </c>
      <c r="AZ224">
        <v>1.41</v>
      </c>
      <c r="BA224">
        <v>2.7</v>
      </c>
      <c r="BB224">
        <v>1.47</v>
      </c>
      <c r="BC224">
        <v>2.77</v>
      </c>
      <c r="BD224">
        <v>1.47</v>
      </c>
      <c r="BE224">
        <v>2.95</v>
      </c>
      <c r="BF224">
        <v>1.44</v>
      </c>
      <c r="BG224">
        <v>2.75</v>
      </c>
      <c r="BH224">
        <v>1.48</v>
      </c>
      <c r="BI224">
        <v>2.94</v>
      </c>
      <c r="BJ224">
        <v>1.25</v>
      </c>
      <c r="BK224">
        <v>2.02</v>
      </c>
      <c r="BL224">
        <v>1.88</v>
      </c>
      <c r="BM224">
        <v>2.0099999999999998</v>
      </c>
      <c r="BN224">
        <v>1.89</v>
      </c>
      <c r="BO224">
        <v>2.04</v>
      </c>
      <c r="BP224">
        <v>1.91</v>
      </c>
      <c r="BQ224">
        <v>1.96</v>
      </c>
      <c r="BR224">
        <v>1.86</v>
      </c>
      <c r="BS224">
        <v>2.06</v>
      </c>
      <c r="BT224">
        <v>1.91</v>
      </c>
      <c r="BU224">
        <v>6.5</v>
      </c>
      <c r="BV224">
        <v>4.75</v>
      </c>
      <c r="BW224">
        <v>1.44</v>
      </c>
      <c r="BX224">
        <v>6.5</v>
      </c>
      <c r="BY224">
        <v>4.8</v>
      </c>
      <c r="BZ224">
        <v>1.44</v>
      </c>
      <c r="CA224">
        <v>6.5</v>
      </c>
      <c r="CB224">
        <v>4.75</v>
      </c>
      <c r="CC224">
        <v>1.47</v>
      </c>
      <c r="CD224">
        <v>6.62</v>
      </c>
      <c r="CE224">
        <v>5.04</v>
      </c>
      <c r="CF224">
        <v>1.47</v>
      </c>
      <c r="CG224">
        <v>6</v>
      </c>
      <c r="CH224">
        <v>4.5999999999999996</v>
      </c>
      <c r="CI224">
        <v>1.44</v>
      </c>
      <c r="CJ224">
        <v>6.94</v>
      </c>
      <c r="CK224">
        <v>4.87</v>
      </c>
      <c r="CL224">
        <v>1.47</v>
      </c>
      <c r="CM224">
        <v>7</v>
      </c>
      <c r="CN224">
        <v>5.0999999999999996</v>
      </c>
      <c r="CO224">
        <v>1.53</v>
      </c>
      <c r="CP224">
        <v>6.48</v>
      </c>
      <c r="CQ224">
        <v>4.91</v>
      </c>
      <c r="CR224">
        <v>1.46</v>
      </c>
      <c r="CS224">
        <v>7</v>
      </c>
      <c r="CT224">
        <v>5.0999999999999996</v>
      </c>
      <c r="CU224">
        <v>1.5</v>
      </c>
      <c r="CV224">
        <v>1.44</v>
      </c>
      <c r="CW224">
        <v>2.75</v>
      </c>
      <c r="CX224">
        <v>1.49</v>
      </c>
      <c r="CY224">
        <v>2.74</v>
      </c>
      <c r="CZ224">
        <v>1.52</v>
      </c>
      <c r="DA224">
        <v>2.81</v>
      </c>
      <c r="DB224">
        <v>1.49</v>
      </c>
      <c r="DC224">
        <v>2.64</v>
      </c>
      <c r="DD224">
        <v>1.56</v>
      </c>
      <c r="DE224">
        <v>2.76</v>
      </c>
      <c r="DF224">
        <v>1.25</v>
      </c>
      <c r="DG224">
        <v>1.94</v>
      </c>
      <c r="DH224">
        <v>1.99</v>
      </c>
      <c r="DI224">
        <v>1.93</v>
      </c>
      <c r="DJ224">
        <v>1.99</v>
      </c>
      <c r="DK224">
        <v>1.97</v>
      </c>
      <c r="DL224">
        <v>2.04</v>
      </c>
      <c r="DM224">
        <v>1.89</v>
      </c>
      <c r="DN224">
        <v>1.96</v>
      </c>
      <c r="DO224">
        <v>1.97</v>
      </c>
      <c r="DP224">
        <v>2.0099999999999998</v>
      </c>
    </row>
    <row r="225" spans="1:120" x14ac:dyDescent="0.3">
      <c r="A225" t="s">
        <v>120</v>
      </c>
      <c r="B225" t="s">
        <v>206</v>
      </c>
      <c r="C225" s="1">
        <v>0.625</v>
      </c>
      <c r="D225" t="s">
        <v>133</v>
      </c>
      <c r="E225" t="s">
        <v>132</v>
      </c>
      <c r="F225">
        <v>0</v>
      </c>
      <c r="G225">
        <v>1</v>
      </c>
      <c r="H225" t="s">
        <v>130</v>
      </c>
      <c r="I225">
        <v>0</v>
      </c>
      <c r="J225">
        <v>0</v>
      </c>
      <c r="K225" t="s">
        <v>125</v>
      </c>
      <c r="L225" t="s">
        <v>143</v>
      </c>
      <c r="M225">
        <v>9</v>
      </c>
      <c r="N225">
        <v>9</v>
      </c>
      <c r="O225">
        <v>4</v>
      </c>
      <c r="P225">
        <v>3</v>
      </c>
      <c r="Q225">
        <v>20</v>
      </c>
      <c r="R225">
        <v>10</v>
      </c>
      <c r="S225">
        <v>1</v>
      </c>
      <c r="T225">
        <v>5</v>
      </c>
      <c r="U225">
        <v>0</v>
      </c>
      <c r="V225">
        <v>1</v>
      </c>
      <c r="W225">
        <v>1</v>
      </c>
      <c r="X225">
        <v>1</v>
      </c>
      <c r="Y225">
        <v>7</v>
      </c>
      <c r="Z225">
        <v>4.5</v>
      </c>
      <c r="AA225">
        <v>1.45</v>
      </c>
      <c r="AB225">
        <v>6.75</v>
      </c>
      <c r="AC225">
        <v>4.75</v>
      </c>
      <c r="AD225">
        <v>1.46</v>
      </c>
      <c r="AE225">
        <v>7</v>
      </c>
      <c r="AF225">
        <v>4.5999999999999996</v>
      </c>
      <c r="AG225">
        <v>1.44</v>
      </c>
      <c r="AH225">
        <v>6.86</v>
      </c>
      <c r="AI225">
        <v>4.74</v>
      </c>
      <c r="AJ225">
        <v>1.47</v>
      </c>
      <c r="AK225">
        <v>6.5</v>
      </c>
      <c r="AL225">
        <v>4.5</v>
      </c>
      <c r="AM225">
        <v>1.44</v>
      </c>
      <c r="AN225">
        <v>6.88</v>
      </c>
      <c r="AO225">
        <v>4.6900000000000004</v>
      </c>
      <c r="AP225">
        <v>1.5</v>
      </c>
      <c r="AQ225">
        <v>7.5</v>
      </c>
      <c r="AR225">
        <v>4.8</v>
      </c>
      <c r="AS225">
        <v>1.5</v>
      </c>
      <c r="AT225">
        <v>6.85</v>
      </c>
      <c r="AU225">
        <v>4.6500000000000004</v>
      </c>
      <c r="AV225">
        <v>1.46</v>
      </c>
      <c r="AW225">
        <v>7.6</v>
      </c>
      <c r="AX225">
        <v>5</v>
      </c>
      <c r="AY225">
        <v>1.49</v>
      </c>
      <c r="AZ225">
        <v>1.73</v>
      </c>
      <c r="BA225">
        <v>2.1</v>
      </c>
      <c r="BB225">
        <v>1.74</v>
      </c>
      <c r="BC225">
        <v>2.17</v>
      </c>
      <c r="BD225">
        <v>1.78</v>
      </c>
      <c r="BE225">
        <v>2.19</v>
      </c>
      <c r="BF225">
        <v>1.72</v>
      </c>
      <c r="BG225">
        <v>2.14</v>
      </c>
      <c r="BH225">
        <v>1.78</v>
      </c>
      <c r="BI225">
        <v>2.2200000000000002</v>
      </c>
      <c r="BJ225">
        <v>1.25</v>
      </c>
      <c r="BK225">
        <v>1.85</v>
      </c>
      <c r="BL225">
        <v>2.0499999999999998</v>
      </c>
      <c r="BM225">
        <v>1.85</v>
      </c>
      <c r="BN225">
        <v>2.06</v>
      </c>
      <c r="BO225">
        <v>1.86</v>
      </c>
      <c r="BP225">
        <v>2.06</v>
      </c>
      <c r="BQ225">
        <v>1.82</v>
      </c>
      <c r="BR225">
        <v>2.0099999999999998</v>
      </c>
      <c r="BS225">
        <v>1.92</v>
      </c>
      <c r="BT225">
        <v>2.06</v>
      </c>
      <c r="BU225">
        <v>5.75</v>
      </c>
      <c r="BV225">
        <v>4</v>
      </c>
      <c r="BW225">
        <v>1.6</v>
      </c>
      <c r="BX225">
        <v>5.5</v>
      </c>
      <c r="BY225">
        <v>4</v>
      </c>
      <c r="BZ225">
        <v>1.61</v>
      </c>
      <c r="CA225">
        <v>6</v>
      </c>
      <c r="CB225">
        <v>4</v>
      </c>
      <c r="CC225">
        <v>1.6</v>
      </c>
      <c r="CD225">
        <v>5.93</v>
      </c>
      <c r="CE225">
        <v>4.1500000000000004</v>
      </c>
      <c r="CF225">
        <v>1.61</v>
      </c>
      <c r="CG225">
        <v>5.5</v>
      </c>
      <c r="CH225">
        <v>4</v>
      </c>
      <c r="CI225">
        <v>1.6</v>
      </c>
      <c r="CJ225">
        <v>6.16</v>
      </c>
      <c r="CK225">
        <v>4.07</v>
      </c>
      <c r="CL225">
        <v>1.61</v>
      </c>
      <c r="CM225">
        <v>6.4</v>
      </c>
      <c r="CN225">
        <v>4.2699999999999996</v>
      </c>
      <c r="CO225">
        <v>1.62</v>
      </c>
      <c r="CP225">
        <v>5.87</v>
      </c>
      <c r="CQ225">
        <v>4.07</v>
      </c>
      <c r="CR225">
        <v>1.6</v>
      </c>
      <c r="CS225">
        <v>6.4</v>
      </c>
      <c r="CT225">
        <v>4.2</v>
      </c>
      <c r="CU225">
        <v>1.64</v>
      </c>
      <c r="CV225">
        <v>1.97</v>
      </c>
      <c r="CW225">
        <v>1.93</v>
      </c>
      <c r="CX225">
        <v>1.96</v>
      </c>
      <c r="CY225">
        <v>1.94</v>
      </c>
      <c r="CZ225">
        <v>1.98</v>
      </c>
      <c r="DA225">
        <v>2.09</v>
      </c>
      <c r="DB225">
        <v>1.91</v>
      </c>
      <c r="DC225">
        <v>1.93</v>
      </c>
      <c r="DD225">
        <v>2</v>
      </c>
      <c r="DE225">
        <v>1.99</v>
      </c>
      <c r="DF225">
        <v>1</v>
      </c>
      <c r="DG225">
        <v>1.84</v>
      </c>
      <c r="DH225">
        <v>2.09</v>
      </c>
      <c r="DI225">
        <v>1.86</v>
      </c>
      <c r="DJ225">
        <v>2.0699999999999998</v>
      </c>
      <c r="DK225">
        <v>2.02</v>
      </c>
      <c r="DL225">
        <v>2.12</v>
      </c>
      <c r="DM225">
        <v>1.85</v>
      </c>
      <c r="DN225">
        <v>2.02</v>
      </c>
      <c r="DO225">
        <v>1.85</v>
      </c>
      <c r="DP225">
        <v>2.13</v>
      </c>
    </row>
    <row r="226" spans="1:120" x14ac:dyDescent="0.3">
      <c r="A226" t="s">
        <v>120</v>
      </c>
      <c r="B226" t="s">
        <v>206</v>
      </c>
      <c r="C226" s="1">
        <v>0.72916666666666663</v>
      </c>
      <c r="D226" t="s">
        <v>152</v>
      </c>
      <c r="E226" t="s">
        <v>151</v>
      </c>
      <c r="F226">
        <v>3</v>
      </c>
      <c r="G226">
        <v>1</v>
      </c>
      <c r="H226" t="s">
        <v>124</v>
      </c>
      <c r="I226">
        <v>1</v>
      </c>
      <c r="J226">
        <v>1</v>
      </c>
      <c r="K226" t="s">
        <v>125</v>
      </c>
      <c r="L226" t="s">
        <v>173</v>
      </c>
      <c r="M226">
        <v>15</v>
      </c>
      <c r="N226">
        <v>10</v>
      </c>
      <c r="O226">
        <v>6</v>
      </c>
      <c r="P226">
        <v>4</v>
      </c>
      <c r="Q226">
        <v>6</v>
      </c>
      <c r="R226">
        <v>8</v>
      </c>
      <c r="S226">
        <v>2</v>
      </c>
      <c r="T226">
        <v>4</v>
      </c>
      <c r="U226">
        <v>3</v>
      </c>
      <c r="V226">
        <v>2</v>
      </c>
      <c r="W226">
        <v>0</v>
      </c>
      <c r="X226">
        <v>0</v>
      </c>
      <c r="Y226">
        <v>2.0499999999999998</v>
      </c>
      <c r="Z226">
        <v>4</v>
      </c>
      <c r="AA226">
        <v>3.3</v>
      </c>
      <c r="AB226">
        <v>1.98</v>
      </c>
      <c r="AC226">
        <v>4</v>
      </c>
      <c r="AD226">
        <v>3.4</v>
      </c>
      <c r="AE226">
        <v>2</v>
      </c>
      <c r="AF226">
        <v>3.9</v>
      </c>
      <c r="AG226">
        <v>3.4</v>
      </c>
      <c r="AH226">
        <v>2.0299999999999998</v>
      </c>
      <c r="AI226">
        <v>4.09</v>
      </c>
      <c r="AJ226">
        <v>3.36</v>
      </c>
      <c r="AK226">
        <v>2</v>
      </c>
      <c r="AL226">
        <v>4</v>
      </c>
      <c r="AM226">
        <v>3.25</v>
      </c>
      <c r="AN226">
        <v>2.04</v>
      </c>
      <c r="AO226">
        <v>4.22</v>
      </c>
      <c r="AP226">
        <v>3.36</v>
      </c>
      <c r="AQ226">
        <v>2.08</v>
      </c>
      <c r="AR226">
        <v>4.22</v>
      </c>
      <c r="AS226">
        <v>3.4</v>
      </c>
      <c r="AT226">
        <v>2.0299999999999998</v>
      </c>
      <c r="AU226">
        <v>4.03</v>
      </c>
      <c r="AV226">
        <v>3.29</v>
      </c>
      <c r="AW226">
        <v>2.08</v>
      </c>
      <c r="AX226">
        <v>4.0999999999999996</v>
      </c>
      <c r="AY226">
        <v>3.5</v>
      </c>
      <c r="AZ226">
        <v>1.4</v>
      </c>
      <c r="BA226">
        <v>3</v>
      </c>
      <c r="BB226">
        <v>1.42</v>
      </c>
      <c r="BC226">
        <v>2.94</v>
      </c>
      <c r="BD226">
        <v>1.43</v>
      </c>
      <c r="BE226">
        <v>3</v>
      </c>
      <c r="BF226">
        <v>1.41</v>
      </c>
      <c r="BG226">
        <v>2.88</v>
      </c>
      <c r="BH226">
        <v>1.44</v>
      </c>
      <c r="BI226">
        <v>3.2</v>
      </c>
      <c r="BJ226">
        <v>-0.5</v>
      </c>
      <c r="BK226">
        <v>2.06</v>
      </c>
      <c r="BL226">
        <v>1.84</v>
      </c>
      <c r="BM226">
        <v>2.0699999999999998</v>
      </c>
      <c r="BN226">
        <v>1.85</v>
      </c>
      <c r="BO226">
        <v>2.08</v>
      </c>
      <c r="BP226">
        <v>1.87</v>
      </c>
      <c r="BQ226">
        <v>2.04</v>
      </c>
      <c r="BR226">
        <v>1.81</v>
      </c>
      <c r="BS226">
        <v>2.08</v>
      </c>
      <c r="BT226">
        <v>1.9</v>
      </c>
      <c r="BU226">
        <v>2.38</v>
      </c>
      <c r="BV226">
        <v>3.7</v>
      </c>
      <c r="BW226">
        <v>2.7</v>
      </c>
      <c r="BX226">
        <v>2.2999999999999998</v>
      </c>
      <c r="BY226">
        <v>3.75</v>
      </c>
      <c r="BZ226">
        <v>2.85</v>
      </c>
      <c r="CA226">
        <v>2.25</v>
      </c>
      <c r="CB226">
        <v>3.75</v>
      </c>
      <c r="CC226">
        <v>2.8</v>
      </c>
      <c r="CD226">
        <v>2.39</v>
      </c>
      <c r="CE226">
        <v>3.89</v>
      </c>
      <c r="CF226">
        <v>2.85</v>
      </c>
      <c r="CG226">
        <v>2.2999999999999998</v>
      </c>
      <c r="CH226">
        <v>3.9</v>
      </c>
      <c r="CI226">
        <v>2.75</v>
      </c>
      <c r="CJ226">
        <v>2.33</v>
      </c>
      <c r="CK226">
        <v>3.81</v>
      </c>
      <c r="CL226">
        <v>2.96</v>
      </c>
      <c r="CM226">
        <v>2.4</v>
      </c>
      <c r="CN226">
        <v>4.01</v>
      </c>
      <c r="CO226">
        <v>3.05</v>
      </c>
      <c r="CP226">
        <v>2.34</v>
      </c>
      <c r="CQ226">
        <v>3.8</v>
      </c>
      <c r="CR226">
        <v>2.84</v>
      </c>
      <c r="CS226">
        <v>2.4</v>
      </c>
      <c r="CT226">
        <v>4</v>
      </c>
      <c r="CU226">
        <v>2.94</v>
      </c>
      <c r="CV226">
        <v>1.44</v>
      </c>
      <c r="CW226">
        <v>2.75</v>
      </c>
      <c r="CX226">
        <v>1.46</v>
      </c>
      <c r="CY226">
        <v>2.84</v>
      </c>
      <c r="CZ226">
        <v>1.46</v>
      </c>
      <c r="DA226">
        <v>3.15</v>
      </c>
      <c r="DB226">
        <v>1.43</v>
      </c>
      <c r="DC226">
        <v>2.84</v>
      </c>
      <c r="DD226">
        <v>1.47</v>
      </c>
      <c r="DE226">
        <v>3.05</v>
      </c>
      <c r="DF226">
        <v>-0.25</v>
      </c>
      <c r="DG226">
        <v>2.08</v>
      </c>
      <c r="DH226">
        <v>1.73</v>
      </c>
      <c r="DI226">
        <v>2.1</v>
      </c>
      <c r="DJ226">
        <v>1.84</v>
      </c>
      <c r="DK226">
        <v>2.12</v>
      </c>
      <c r="DL226">
        <v>1.93</v>
      </c>
      <c r="DM226">
        <v>2.04</v>
      </c>
      <c r="DN226">
        <v>1.82</v>
      </c>
      <c r="DO226">
        <v>2.11</v>
      </c>
      <c r="DP226">
        <v>1.89</v>
      </c>
    </row>
    <row r="227" spans="1:120" x14ac:dyDescent="0.3">
      <c r="A227" t="s">
        <v>120</v>
      </c>
      <c r="B227" t="s">
        <v>207</v>
      </c>
      <c r="C227" s="1">
        <v>0.58333333333333337</v>
      </c>
      <c r="D227" t="s">
        <v>149</v>
      </c>
      <c r="E227" t="s">
        <v>148</v>
      </c>
      <c r="F227">
        <v>1</v>
      </c>
      <c r="G227">
        <v>2</v>
      </c>
      <c r="H227" t="s">
        <v>130</v>
      </c>
      <c r="I227">
        <v>0</v>
      </c>
      <c r="J227">
        <v>0</v>
      </c>
      <c r="K227" t="s">
        <v>125</v>
      </c>
      <c r="L227" t="s">
        <v>146</v>
      </c>
      <c r="M227">
        <v>16</v>
      </c>
      <c r="N227">
        <v>13</v>
      </c>
      <c r="O227">
        <v>5</v>
      </c>
      <c r="P227">
        <v>6</v>
      </c>
      <c r="Q227">
        <v>8</v>
      </c>
      <c r="R227">
        <v>11</v>
      </c>
      <c r="S227">
        <v>4</v>
      </c>
      <c r="T227">
        <v>7</v>
      </c>
      <c r="U227">
        <v>2</v>
      </c>
      <c r="V227">
        <v>2</v>
      </c>
      <c r="W227">
        <v>0</v>
      </c>
      <c r="X227">
        <v>0</v>
      </c>
      <c r="Y227">
        <v>2.0499999999999998</v>
      </c>
      <c r="Z227">
        <v>3.75</v>
      </c>
      <c r="AA227">
        <v>3.3</v>
      </c>
      <c r="AB227">
        <v>2.0499999999999998</v>
      </c>
      <c r="AC227">
        <v>3.7</v>
      </c>
      <c r="AD227">
        <v>3.4</v>
      </c>
      <c r="AE227">
        <v>2.0499999999999998</v>
      </c>
      <c r="AF227">
        <v>3.6</v>
      </c>
      <c r="AG227">
        <v>3.5</v>
      </c>
      <c r="AH227">
        <v>2.06</v>
      </c>
      <c r="AI227">
        <v>3.7</v>
      </c>
      <c r="AJ227">
        <v>3.59</v>
      </c>
      <c r="AK227">
        <v>2.0499999999999998</v>
      </c>
      <c r="AL227">
        <v>3.6</v>
      </c>
      <c r="AM227">
        <v>3.5</v>
      </c>
      <c r="AN227">
        <v>2.0499999999999998</v>
      </c>
      <c r="AO227">
        <v>3.82</v>
      </c>
      <c r="AP227">
        <v>3.62</v>
      </c>
      <c r="AQ227">
        <v>2.09</v>
      </c>
      <c r="AR227">
        <v>3.82</v>
      </c>
      <c r="AS227">
        <v>3.62</v>
      </c>
      <c r="AT227">
        <v>2.06</v>
      </c>
      <c r="AU227">
        <v>3.68</v>
      </c>
      <c r="AV227">
        <v>3.47</v>
      </c>
      <c r="AW227">
        <v>2.12</v>
      </c>
      <c r="AX227">
        <v>3.75</v>
      </c>
      <c r="AY227">
        <v>3.65</v>
      </c>
      <c r="AZ227">
        <v>1.73</v>
      </c>
      <c r="BA227">
        <v>2.1</v>
      </c>
      <c r="BB227">
        <v>1.75</v>
      </c>
      <c r="BC227">
        <v>2.16</v>
      </c>
      <c r="BD227">
        <v>1.78</v>
      </c>
      <c r="BE227">
        <v>2.16</v>
      </c>
      <c r="BF227">
        <v>1.74</v>
      </c>
      <c r="BG227">
        <v>2.12</v>
      </c>
      <c r="BH227">
        <v>1.82</v>
      </c>
      <c r="BI227">
        <v>2.1800000000000002</v>
      </c>
      <c r="BJ227">
        <v>-0.5</v>
      </c>
      <c r="BK227">
        <v>2.0699999999999998</v>
      </c>
      <c r="BL227">
        <v>1.83</v>
      </c>
      <c r="BM227">
        <v>2.0699999999999998</v>
      </c>
      <c r="BN227">
        <v>1.85</v>
      </c>
      <c r="BO227">
        <v>2.08</v>
      </c>
      <c r="BP227">
        <v>1.85</v>
      </c>
      <c r="BQ227">
        <v>2.0499999999999998</v>
      </c>
      <c r="BR227">
        <v>1.8</v>
      </c>
      <c r="BS227">
        <v>2.12</v>
      </c>
      <c r="BT227">
        <v>1.87</v>
      </c>
      <c r="BU227">
        <v>1.95</v>
      </c>
      <c r="BV227">
        <v>3.75</v>
      </c>
      <c r="BW227">
        <v>3.6</v>
      </c>
      <c r="BX227">
        <v>1.98</v>
      </c>
      <c r="BY227">
        <v>3.7</v>
      </c>
      <c r="BZ227">
        <v>3.6</v>
      </c>
      <c r="CA227">
        <v>1.91</v>
      </c>
      <c r="CB227">
        <v>3.6</v>
      </c>
      <c r="CC227">
        <v>3.7</v>
      </c>
      <c r="CD227">
        <v>1.97</v>
      </c>
      <c r="CE227">
        <v>3.8</v>
      </c>
      <c r="CF227">
        <v>3.84</v>
      </c>
      <c r="CG227">
        <v>1.95</v>
      </c>
      <c r="CH227">
        <v>3.7</v>
      </c>
      <c r="CI227">
        <v>3.7</v>
      </c>
      <c r="CJ227">
        <v>2.0299999999999998</v>
      </c>
      <c r="CK227">
        <v>3.77</v>
      </c>
      <c r="CL227">
        <v>3.67</v>
      </c>
      <c r="CM227">
        <v>2.0299999999999998</v>
      </c>
      <c r="CN227">
        <v>3.95</v>
      </c>
      <c r="CO227">
        <v>4.09</v>
      </c>
      <c r="CP227">
        <v>1.97</v>
      </c>
      <c r="CQ227">
        <v>3.76</v>
      </c>
      <c r="CR227">
        <v>3.7</v>
      </c>
      <c r="CS227">
        <v>2.02</v>
      </c>
      <c r="CT227">
        <v>3.95</v>
      </c>
      <c r="CU227">
        <v>3.95</v>
      </c>
      <c r="CV227">
        <v>1.57</v>
      </c>
      <c r="CW227">
        <v>2.38</v>
      </c>
      <c r="CX227">
        <v>1.61</v>
      </c>
      <c r="CY227">
        <v>2.4300000000000002</v>
      </c>
      <c r="CZ227">
        <v>1.68</v>
      </c>
      <c r="DA227">
        <v>2.5099999999999998</v>
      </c>
      <c r="DB227">
        <v>1.6</v>
      </c>
      <c r="DC227">
        <v>2.38</v>
      </c>
      <c r="DD227">
        <v>1.64</v>
      </c>
      <c r="DE227">
        <v>2.52</v>
      </c>
      <c r="DF227">
        <v>-0.5</v>
      </c>
      <c r="DG227">
        <v>2.02</v>
      </c>
      <c r="DH227">
        <v>1.91</v>
      </c>
      <c r="DI227">
        <v>1.98</v>
      </c>
      <c r="DJ227">
        <v>1.94</v>
      </c>
      <c r="DK227">
        <v>2.04</v>
      </c>
      <c r="DL227">
        <v>1.94</v>
      </c>
      <c r="DM227">
        <v>1.97</v>
      </c>
      <c r="DN227">
        <v>1.88</v>
      </c>
      <c r="DO227">
        <v>2.04</v>
      </c>
      <c r="DP227">
        <v>1.95</v>
      </c>
    </row>
    <row r="228" spans="1:120" x14ac:dyDescent="0.3">
      <c r="A228" t="s">
        <v>120</v>
      </c>
      <c r="B228" t="s">
        <v>207</v>
      </c>
      <c r="C228" s="1">
        <v>0.58333333333333337</v>
      </c>
      <c r="D228" t="s">
        <v>156</v>
      </c>
      <c r="E228" t="s">
        <v>155</v>
      </c>
      <c r="F228">
        <v>1</v>
      </c>
      <c r="G228">
        <v>2</v>
      </c>
      <c r="H228" t="s">
        <v>130</v>
      </c>
      <c r="I228">
        <v>1</v>
      </c>
      <c r="J228">
        <v>0</v>
      </c>
      <c r="K228" t="s">
        <v>124</v>
      </c>
      <c r="L228" t="s">
        <v>126</v>
      </c>
      <c r="M228">
        <v>15</v>
      </c>
      <c r="N228">
        <v>12</v>
      </c>
      <c r="O228">
        <v>6</v>
      </c>
      <c r="P228">
        <v>3</v>
      </c>
      <c r="Q228">
        <v>6</v>
      </c>
      <c r="R228">
        <v>16</v>
      </c>
      <c r="S228">
        <v>6</v>
      </c>
      <c r="T228">
        <v>4</v>
      </c>
      <c r="U228">
        <v>1</v>
      </c>
      <c r="V228">
        <v>5</v>
      </c>
      <c r="W228">
        <v>0</v>
      </c>
      <c r="X228">
        <v>0</v>
      </c>
      <c r="Y228">
        <v>1.45</v>
      </c>
      <c r="Z228">
        <v>5.5</v>
      </c>
      <c r="AA228">
        <v>5.5</v>
      </c>
      <c r="AB228">
        <v>1.44</v>
      </c>
      <c r="AC228">
        <v>5.25</v>
      </c>
      <c r="AD228">
        <v>6.25</v>
      </c>
      <c r="AE228">
        <v>1.44</v>
      </c>
      <c r="AF228">
        <v>5</v>
      </c>
      <c r="AG228">
        <v>6</v>
      </c>
      <c r="AH228">
        <v>1.46</v>
      </c>
      <c r="AI228">
        <v>5.37</v>
      </c>
      <c r="AJ228">
        <v>5.94</v>
      </c>
      <c r="AK228">
        <v>1.44</v>
      </c>
      <c r="AL228">
        <v>5</v>
      </c>
      <c r="AM228">
        <v>5.8</v>
      </c>
      <c r="AN228">
        <v>1.49</v>
      </c>
      <c r="AO228">
        <v>5.25</v>
      </c>
      <c r="AP228">
        <v>6.11</v>
      </c>
      <c r="AQ228">
        <v>1.49</v>
      </c>
      <c r="AR228">
        <v>5.5</v>
      </c>
      <c r="AS228">
        <v>6.25</v>
      </c>
      <c r="AT228">
        <v>1.46</v>
      </c>
      <c r="AU228">
        <v>5.21</v>
      </c>
      <c r="AV228">
        <v>5.89</v>
      </c>
      <c r="AW228">
        <v>1.49</v>
      </c>
      <c r="AX228">
        <v>5.6</v>
      </c>
      <c r="AY228">
        <v>6.4</v>
      </c>
      <c r="AZ228">
        <v>1.33</v>
      </c>
      <c r="BA228">
        <v>3.4</v>
      </c>
      <c r="BB228">
        <v>1.34</v>
      </c>
      <c r="BC228">
        <v>3.35</v>
      </c>
      <c r="BD228">
        <v>1.35</v>
      </c>
      <c r="BE228">
        <v>3.45</v>
      </c>
      <c r="BF228">
        <v>1.33</v>
      </c>
      <c r="BG228">
        <v>3.27</v>
      </c>
      <c r="BH228">
        <v>1.37</v>
      </c>
      <c r="BI228">
        <v>3.5</v>
      </c>
      <c r="BJ228">
        <v>-1.25</v>
      </c>
      <c r="BK228">
        <v>1.98</v>
      </c>
      <c r="BL228">
        <v>1.92</v>
      </c>
      <c r="BM228">
        <v>1.96</v>
      </c>
      <c r="BN228">
        <v>1.94</v>
      </c>
      <c r="BO228">
        <v>1.99</v>
      </c>
      <c r="BP228">
        <v>1.94</v>
      </c>
      <c r="BQ228">
        <v>1.93</v>
      </c>
      <c r="BR228">
        <v>1.9</v>
      </c>
      <c r="BS228">
        <v>1.94</v>
      </c>
      <c r="BT228">
        <v>1.97</v>
      </c>
      <c r="BU228">
        <v>1.5</v>
      </c>
      <c r="BV228">
        <v>4.75</v>
      </c>
      <c r="BW228">
        <v>5.5</v>
      </c>
      <c r="BX228">
        <v>1.53</v>
      </c>
      <c r="BY228">
        <v>5</v>
      </c>
      <c r="BZ228">
        <v>5.25</v>
      </c>
      <c r="CA228">
        <v>1.47</v>
      </c>
      <c r="CB228">
        <v>4.75</v>
      </c>
      <c r="CC228">
        <v>5.5</v>
      </c>
      <c r="CD228">
        <v>1.51</v>
      </c>
      <c r="CE228">
        <v>5.05</v>
      </c>
      <c r="CF228">
        <v>5.85</v>
      </c>
      <c r="CG228">
        <v>1.5</v>
      </c>
      <c r="CH228">
        <v>4.8</v>
      </c>
      <c r="CI228">
        <v>5</v>
      </c>
      <c r="CJ228">
        <v>1.53</v>
      </c>
      <c r="CK228">
        <v>4.88</v>
      </c>
      <c r="CL228">
        <v>5.88</v>
      </c>
      <c r="CM228">
        <v>1.55</v>
      </c>
      <c r="CN228">
        <v>5.09</v>
      </c>
      <c r="CO228">
        <v>5.95</v>
      </c>
      <c r="CP228">
        <v>1.51</v>
      </c>
      <c r="CQ228">
        <v>4.92</v>
      </c>
      <c r="CR228">
        <v>5.58</v>
      </c>
      <c r="CS228">
        <v>1.55</v>
      </c>
      <c r="CT228">
        <v>5.0999999999999996</v>
      </c>
      <c r="CU228">
        <v>6</v>
      </c>
      <c r="CV228">
        <v>1.33</v>
      </c>
      <c r="CW228">
        <v>3.4</v>
      </c>
      <c r="CX228">
        <v>1.34</v>
      </c>
      <c r="CY228">
        <v>3.4</v>
      </c>
      <c r="CZ228">
        <v>1.35</v>
      </c>
      <c r="DA228">
        <v>3.58</v>
      </c>
      <c r="DB228">
        <v>1.32</v>
      </c>
      <c r="DC228">
        <v>3.39</v>
      </c>
      <c r="DD228">
        <v>1.36</v>
      </c>
      <c r="DE228">
        <v>3.7</v>
      </c>
      <c r="DF228">
        <v>-1.25</v>
      </c>
      <c r="DG228">
        <v>2.0699999999999998</v>
      </c>
      <c r="DH228">
        <v>1.86</v>
      </c>
      <c r="DI228">
        <v>2.0699999999999998</v>
      </c>
      <c r="DJ228">
        <v>1.86</v>
      </c>
      <c r="DK228">
        <v>2.09</v>
      </c>
      <c r="DL228">
        <v>1.89</v>
      </c>
      <c r="DM228">
        <v>2.0299999999999998</v>
      </c>
      <c r="DN228">
        <v>1.83</v>
      </c>
      <c r="DO228">
        <v>2.11</v>
      </c>
      <c r="DP228">
        <v>1.89</v>
      </c>
    </row>
    <row r="229" spans="1:120" x14ac:dyDescent="0.3">
      <c r="A229" t="s">
        <v>120</v>
      </c>
      <c r="B229" t="s">
        <v>207</v>
      </c>
      <c r="C229" s="1">
        <v>0.6875</v>
      </c>
      <c r="D229" t="s">
        <v>145</v>
      </c>
      <c r="E229" t="s">
        <v>144</v>
      </c>
      <c r="F229">
        <v>1</v>
      </c>
      <c r="G229">
        <v>1</v>
      </c>
      <c r="H229" t="s">
        <v>125</v>
      </c>
      <c r="I229">
        <v>1</v>
      </c>
      <c r="J229">
        <v>0</v>
      </c>
      <c r="K229" t="s">
        <v>124</v>
      </c>
      <c r="L229" t="s">
        <v>171</v>
      </c>
      <c r="M229">
        <v>14</v>
      </c>
      <c r="N229">
        <v>14</v>
      </c>
      <c r="O229">
        <v>4</v>
      </c>
      <c r="P229">
        <v>4</v>
      </c>
      <c r="Q229">
        <v>13</v>
      </c>
      <c r="R229">
        <v>16</v>
      </c>
      <c r="S229">
        <v>4</v>
      </c>
      <c r="T229">
        <v>3</v>
      </c>
      <c r="U229">
        <v>2</v>
      </c>
      <c r="V229">
        <v>3</v>
      </c>
      <c r="W229">
        <v>0</v>
      </c>
      <c r="X229">
        <v>0</v>
      </c>
      <c r="Y229">
        <v>1.53</v>
      </c>
      <c r="Z229">
        <v>4.33</v>
      </c>
      <c r="AA229">
        <v>5.75</v>
      </c>
      <c r="AB229">
        <v>1.55</v>
      </c>
      <c r="AC229">
        <v>4.33</v>
      </c>
      <c r="AD229">
        <v>5.75</v>
      </c>
      <c r="AE229">
        <v>1.55</v>
      </c>
      <c r="AF229">
        <v>4.33</v>
      </c>
      <c r="AG229">
        <v>6</v>
      </c>
      <c r="AH229">
        <v>1.55</v>
      </c>
      <c r="AI229">
        <v>4.46</v>
      </c>
      <c r="AJ229">
        <v>5.99</v>
      </c>
      <c r="AK229">
        <v>1.57</v>
      </c>
      <c r="AL229">
        <v>4.2</v>
      </c>
      <c r="AM229">
        <v>5.5</v>
      </c>
      <c r="AN229">
        <v>1.57</v>
      </c>
      <c r="AO229">
        <v>4.53</v>
      </c>
      <c r="AP229">
        <v>5.96</v>
      </c>
      <c r="AQ229">
        <v>1.58</v>
      </c>
      <c r="AR229">
        <v>4.5999999999999996</v>
      </c>
      <c r="AS229">
        <v>6</v>
      </c>
      <c r="AT229">
        <v>1.55</v>
      </c>
      <c r="AU229">
        <v>4.3899999999999997</v>
      </c>
      <c r="AV229">
        <v>5.81</v>
      </c>
      <c r="AW229">
        <v>1.61</v>
      </c>
      <c r="AX229">
        <v>4.5</v>
      </c>
      <c r="AY229">
        <v>6.2</v>
      </c>
      <c r="AZ229">
        <v>1.67</v>
      </c>
      <c r="BA229">
        <v>2.2000000000000002</v>
      </c>
      <c r="BB229">
        <v>1.68</v>
      </c>
      <c r="BC229">
        <v>2.2599999999999998</v>
      </c>
      <c r="BD229">
        <v>1.71</v>
      </c>
      <c r="BE229">
        <v>2.2599999999999998</v>
      </c>
      <c r="BF229">
        <v>1.67</v>
      </c>
      <c r="BG229">
        <v>2.21</v>
      </c>
      <c r="BH229">
        <v>1.72</v>
      </c>
      <c r="BI229">
        <v>2.2999999999999998</v>
      </c>
      <c r="BJ229">
        <v>-1</v>
      </c>
      <c r="BK229">
        <v>1.92</v>
      </c>
      <c r="BL229">
        <v>1.98</v>
      </c>
      <c r="BM229">
        <v>1.92</v>
      </c>
      <c r="BN229">
        <v>1.99</v>
      </c>
      <c r="BO229">
        <v>1.98</v>
      </c>
      <c r="BP229">
        <v>1.99</v>
      </c>
      <c r="BQ229">
        <v>1.9</v>
      </c>
      <c r="BR229">
        <v>1.94</v>
      </c>
      <c r="BS229">
        <v>1.97</v>
      </c>
      <c r="BT229">
        <v>1.97</v>
      </c>
      <c r="BU229">
        <v>1.45</v>
      </c>
      <c r="BV229">
        <v>4.75</v>
      </c>
      <c r="BW229">
        <v>6.25</v>
      </c>
      <c r="BX229">
        <v>1.47</v>
      </c>
      <c r="BY229">
        <v>4.75</v>
      </c>
      <c r="BZ229">
        <v>6.5</v>
      </c>
      <c r="CA229">
        <v>1.47</v>
      </c>
      <c r="CB229">
        <v>4.5999999999999996</v>
      </c>
      <c r="CC229">
        <v>6.5</v>
      </c>
      <c r="CD229">
        <v>1.47</v>
      </c>
      <c r="CE229">
        <v>4.9000000000000004</v>
      </c>
      <c r="CF229">
        <v>6.9</v>
      </c>
      <c r="CG229">
        <v>1.44</v>
      </c>
      <c r="CH229">
        <v>4.5999999999999996</v>
      </c>
      <c r="CI229">
        <v>6</v>
      </c>
      <c r="CJ229">
        <v>1.5</v>
      </c>
      <c r="CK229">
        <v>4.88</v>
      </c>
      <c r="CL229">
        <v>6.18</v>
      </c>
      <c r="CM229">
        <v>1.54</v>
      </c>
      <c r="CN229">
        <v>4.9000000000000004</v>
      </c>
      <c r="CO229">
        <v>7.38</v>
      </c>
      <c r="CP229">
        <v>1.47</v>
      </c>
      <c r="CQ229">
        <v>4.75</v>
      </c>
      <c r="CR229">
        <v>6.52</v>
      </c>
      <c r="CS229">
        <v>1.49</v>
      </c>
      <c r="CT229">
        <v>5</v>
      </c>
      <c r="CU229">
        <v>7.4</v>
      </c>
      <c r="CV229">
        <v>1.57</v>
      </c>
      <c r="CW229">
        <v>2.38</v>
      </c>
      <c r="CX229">
        <v>1.61</v>
      </c>
      <c r="CY229">
        <v>2.4300000000000002</v>
      </c>
      <c r="CZ229">
        <v>1.62</v>
      </c>
      <c r="DA229">
        <v>2.5</v>
      </c>
      <c r="DB229">
        <v>1.59</v>
      </c>
      <c r="DC229">
        <v>2.39</v>
      </c>
      <c r="DD229">
        <v>1.66</v>
      </c>
      <c r="DE229">
        <v>2.5</v>
      </c>
      <c r="DF229">
        <v>-1.25</v>
      </c>
      <c r="DG229">
        <v>2.08</v>
      </c>
      <c r="DH229">
        <v>1.85</v>
      </c>
      <c r="DI229">
        <v>2.04</v>
      </c>
      <c r="DJ229">
        <v>1.89</v>
      </c>
      <c r="DK229">
        <v>2.09</v>
      </c>
      <c r="DL229">
        <v>1.9</v>
      </c>
      <c r="DM229">
        <v>2.02</v>
      </c>
      <c r="DN229">
        <v>1.84</v>
      </c>
      <c r="DO229">
        <v>2.06</v>
      </c>
      <c r="DP229">
        <v>1.93</v>
      </c>
    </row>
    <row r="230" spans="1:120" x14ac:dyDescent="0.3">
      <c r="A230" t="s">
        <v>120</v>
      </c>
      <c r="B230" t="s">
        <v>207</v>
      </c>
      <c r="C230" s="1">
        <v>0.79166666666666663</v>
      </c>
      <c r="D230" t="s">
        <v>123</v>
      </c>
      <c r="E230" t="s">
        <v>122</v>
      </c>
      <c r="F230">
        <v>0</v>
      </c>
      <c r="G230">
        <v>1</v>
      </c>
      <c r="H230" t="s">
        <v>130</v>
      </c>
      <c r="I230">
        <v>0</v>
      </c>
      <c r="J230">
        <v>0</v>
      </c>
      <c r="K230" t="s">
        <v>125</v>
      </c>
      <c r="L230" t="s">
        <v>153</v>
      </c>
      <c r="M230">
        <v>9</v>
      </c>
      <c r="N230">
        <v>4</v>
      </c>
      <c r="O230">
        <v>3</v>
      </c>
      <c r="P230">
        <v>1</v>
      </c>
      <c r="Q230">
        <v>7</v>
      </c>
      <c r="R230">
        <v>9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2.2999999999999998</v>
      </c>
      <c r="Z230">
        <v>3.4</v>
      </c>
      <c r="AA230">
        <v>3.1</v>
      </c>
      <c r="AB230">
        <v>2.2999999999999998</v>
      </c>
      <c r="AC230">
        <v>3.4</v>
      </c>
      <c r="AD230">
        <v>3</v>
      </c>
      <c r="AE230">
        <v>2.2999999999999998</v>
      </c>
      <c r="AF230">
        <v>3.4</v>
      </c>
      <c r="AG230">
        <v>3.1</v>
      </c>
      <c r="AH230">
        <v>2.3199999999999998</v>
      </c>
      <c r="AI230">
        <v>3.48</v>
      </c>
      <c r="AJ230">
        <v>3.18</v>
      </c>
      <c r="AK230">
        <v>2.2999999999999998</v>
      </c>
      <c r="AL230">
        <v>3.4</v>
      </c>
      <c r="AM230">
        <v>3</v>
      </c>
      <c r="AN230">
        <v>2.31</v>
      </c>
      <c r="AO230">
        <v>3.65</v>
      </c>
      <c r="AP230">
        <v>3.14</v>
      </c>
      <c r="AQ230">
        <v>2.38</v>
      </c>
      <c r="AR230">
        <v>3.65</v>
      </c>
      <c r="AS230">
        <v>3.18</v>
      </c>
      <c r="AT230">
        <v>2.31</v>
      </c>
      <c r="AU230">
        <v>3.44</v>
      </c>
      <c r="AV230">
        <v>3.1</v>
      </c>
      <c r="AW230">
        <v>2.42</v>
      </c>
      <c r="AX230">
        <v>3.5</v>
      </c>
      <c r="AY230">
        <v>3.25</v>
      </c>
      <c r="AZ230">
        <v>1.88</v>
      </c>
      <c r="BA230">
        <v>2.02</v>
      </c>
      <c r="BB230">
        <v>1.89</v>
      </c>
      <c r="BC230">
        <v>1.99</v>
      </c>
      <c r="BD230">
        <v>1.9</v>
      </c>
      <c r="BE230">
        <v>2.02</v>
      </c>
      <c r="BF230">
        <v>1.85</v>
      </c>
      <c r="BG230">
        <v>1.98</v>
      </c>
      <c r="BH230">
        <v>1.94</v>
      </c>
      <c r="BI230">
        <v>2.02</v>
      </c>
      <c r="BJ230">
        <v>-0.25</v>
      </c>
      <c r="BK230">
        <v>2</v>
      </c>
      <c r="BL230">
        <v>1.9</v>
      </c>
      <c r="BM230">
        <v>2.0099999999999998</v>
      </c>
      <c r="BN230">
        <v>1.9</v>
      </c>
      <c r="BO230">
        <v>2.02</v>
      </c>
      <c r="BP230">
        <v>1.92</v>
      </c>
      <c r="BQ230">
        <v>1.96</v>
      </c>
      <c r="BR230">
        <v>1.87</v>
      </c>
      <c r="BS230">
        <v>2.0699999999999998</v>
      </c>
      <c r="BT230">
        <v>1.91</v>
      </c>
      <c r="BU230">
        <v>2.35</v>
      </c>
      <c r="BV230">
        <v>3.4</v>
      </c>
      <c r="BW230">
        <v>3.1</v>
      </c>
      <c r="BX230">
        <v>2.37</v>
      </c>
      <c r="BY230">
        <v>3.4</v>
      </c>
      <c r="BZ230">
        <v>2.95</v>
      </c>
      <c r="CA230">
        <v>2.25</v>
      </c>
      <c r="CB230">
        <v>3.3</v>
      </c>
      <c r="CC230">
        <v>3</v>
      </c>
      <c r="CD230">
        <v>2.4</v>
      </c>
      <c r="CE230">
        <v>3.55</v>
      </c>
      <c r="CF230">
        <v>3.03</v>
      </c>
      <c r="CG230">
        <v>2.38</v>
      </c>
      <c r="CH230">
        <v>3.4</v>
      </c>
      <c r="CI230">
        <v>2.9</v>
      </c>
      <c r="CJ230">
        <v>2.4900000000000002</v>
      </c>
      <c r="CK230">
        <v>3.44</v>
      </c>
      <c r="CL230">
        <v>2.96</v>
      </c>
      <c r="CM230">
        <v>2.4900000000000002</v>
      </c>
      <c r="CN230">
        <v>3.56</v>
      </c>
      <c r="CO230">
        <v>3.1</v>
      </c>
      <c r="CP230">
        <v>2.39</v>
      </c>
      <c r="CQ230">
        <v>3.44</v>
      </c>
      <c r="CR230">
        <v>2.99</v>
      </c>
      <c r="CS230">
        <v>2.46</v>
      </c>
      <c r="CT230">
        <v>3.55</v>
      </c>
      <c r="CU230">
        <v>3.15</v>
      </c>
      <c r="CV230">
        <v>1.88</v>
      </c>
      <c r="CW230">
        <v>2.02</v>
      </c>
      <c r="CX230">
        <v>1.89</v>
      </c>
      <c r="CY230">
        <v>2.0099999999999998</v>
      </c>
      <c r="CZ230">
        <v>1.9</v>
      </c>
      <c r="DA230">
        <v>2.04</v>
      </c>
      <c r="DB230">
        <v>1.85</v>
      </c>
      <c r="DC230">
        <v>1.99</v>
      </c>
      <c r="DD230">
        <v>1.89</v>
      </c>
      <c r="DE230">
        <v>2.1</v>
      </c>
      <c r="DF230">
        <v>-0.25</v>
      </c>
      <c r="DG230">
        <v>2.0699999999999998</v>
      </c>
      <c r="DH230">
        <v>1.86</v>
      </c>
      <c r="DI230">
        <v>2.08</v>
      </c>
      <c r="DJ230">
        <v>1.85</v>
      </c>
      <c r="DK230">
        <v>2.1</v>
      </c>
      <c r="DL230">
        <v>1.87</v>
      </c>
      <c r="DM230">
        <v>2.04</v>
      </c>
      <c r="DN230">
        <v>1.82</v>
      </c>
      <c r="DO230">
        <v>2.11</v>
      </c>
      <c r="DP230">
        <v>1.89</v>
      </c>
    </row>
    <row r="231" spans="1:120" x14ac:dyDescent="0.3">
      <c r="A231" t="s">
        <v>120</v>
      </c>
      <c r="B231" s="2">
        <v>45659</v>
      </c>
      <c r="C231" s="1">
        <v>0.52083333333333337</v>
      </c>
      <c r="D231" t="s">
        <v>141</v>
      </c>
      <c r="E231" t="s">
        <v>136</v>
      </c>
      <c r="F231">
        <v>7</v>
      </c>
      <c r="G231">
        <v>0</v>
      </c>
      <c r="H231" t="s">
        <v>124</v>
      </c>
      <c r="I231">
        <v>3</v>
      </c>
      <c r="J231">
        <v>0</v>
      </c>
      <c r="K231" t="s">
        <v>124</v>
      </c>
      <c r="L231" t="s">
        <v>137</v>
      </c>
      <c r="M231">
        <v>14</v>
      </c>
      <c r="N231">
        <v>10</v>
      </c>
      <c r="O231">
        <v>9</v>
      </c>
      <c r="P231">
        <v>5</v>
      </c>
      <c r="Q231">
        <v>8</v>
      </c>
      <c r="R231">
        <v>13</v>
      </c>
      <c r="S231">
        <v>4</v>
      </c>
      <c r="T231">
        <v>6</v>
      </c>
      <c r="U231">
        <v>1</v>
      </c>
      <c r="V231">
        <v>3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2.4500000000000002</v>
      </c>
      <c r="AC231">
        <v>3.5</v>
      </c>
      <c r="AD231">
        <v>2.85</v>
      </c>
      <c r="AE231">
        <v>2.4500000000000002</v>
      </c>
      <c r="AF231">
        <v>3.4</v>
      </c>
      <c r="AG231">
        <v>2.9</v>
      </c>
      <c r="AH231">
        <v>2.46</v>
      </c>
      <c r="AI231">
        <v>3.43</v>
      </c>
      <c r="AJ231">
        <v>2.99</v>
      </c>
      <c r="AK231">
        <v>2.4500000000000002</v>
      </c>
      <c r="AL231">
        <v>3.4</v>
      </c>
      <c r="AM231">
        <v>2.88</v>
      </c>
      <c r="AN231">
        <v>2.4700000000000002</v>
      </c>
      <c r="AO231">
        <v>3.57</v>
      </c>
      <c r="AP231">
        <v>2.94</v>
      </c>
      <c r="AQ231">
        <v>2.48</v>
      </c>
      <c r="AR231">
        <v>3.57</v>
      </c>
      <c r="AS231">
        <v>2.99</v>
      </c>
      <c r="AT231">
        <v>2.44</v>
      </c>
      <c r="AU231">
        <v>3.46</v>
      </c>
      <c r="AV231">
        <v>2.89</v>
      </c>
      <c r="AW231">
        <v>2.56</v>
      </c>
      <c r="AX231">
        <v>3.55</v>
      </c>
      <c r="AY231">
        <v>3.05</v>
      </c>
      <c r="AZ231">
        <v>1.95</v>
      </c>
      <c r="BA231">
        <v>1.95</v>
      </c>
      <c r="BB231">
        <v>1.98</v>
      </c>
      <c r="BC231">
        <v>1.91</v>
      </c>
      <c r="BD231">
        <v>1.98</v>
      </c>
      <c r="BE231">
        <v>1.98</v>
      </c>
      <c r="BF231">
        <v>1.92</v>
      </c>
      <c r="BG231">
        <v>1.91</v>
      </c>
      <c r="BH231">
        <v>2.02</v>
      </c>
      <c r="BI231">
        <v>1.95</v>
      </c>
      <c r="BJ231">
        <v>-0.25</v>
      </c>
      <c r="BK231">
        <v>2.1</v>
      </c>
      <c r="BL231">
        <v>1.8</v>
      </c>
      <c r="BM231">
        <v>2.12</v>
      </c>
      <c r="BN231">
        <v>1.81</v>
      </c>
      <c r="BO231">
        <v>2.16</v>
      </c>
      <c r="BP231">
        <v>1.81</v>
      </c>
      <c r="BQ231">
        <v>2.08</v>
      </c>
      <c r="BR231">
        <v>1.77</v>
      </c>
      <c r="BS231">
        <v>2.19</v>
      </c>
      <c r="BT231">
        <v>1.83</v>
      </c>
      <c r="BU231">
        <v>2.63</v>
      </c>
      <c r="BV231">
        <v>3.3</v>
      </c>
      <c r="BW231">
        <v>2.7</v>
      </c>
      <c r="BX231">
        <v>2.65</v>
      </c>
      <c r="BY231">
        <v>3.4</v>
      </c>
      <c r="BZ231">
        <v>2.65</v>
      </c>
      <c r="CA231">
        <v>2.63</v>
      </c>
      <c r="CB231">
        <v>3.4</v>
      </c>
      <c r="CC231">
        <v>2.7</v>
      </c>
      <c r="CD231">
        <v>2.68</v>
      </c>
      <c r="CE231">
        <v>3.45</v>
      </c>
      <c r="CF231">
        <v>2.74</v>
      </c>
      <c r="CG231">
        <v>2.6</v>
      </c>
      <c r="CH231">
        <v>3.3</v>
      </c>
      <c r="CI231">
        <v>2.7</v>
      </c>
      <c r="CJ231">
        <v>2.54</v>
      </c>
      <c r="CK231">
        <v>3.38</v>
      </c>
      <c r="CL231">
        <v>2.94</v>
      </c>
      <c r="CM231">
        <v>2.68</v>
      </c>
      <c r="CN231">
        <v>3.47</v>
      </c>
      <c r="CO231">
        <v>2.94</v>
      </c>
      <c r="CP231">
        <v>2.63</v>
      </c>
      <c r="CQ231">
        <v>3.39</v>
      </c>
      <c r="CR231">
        <v>2.72</v>
      </c>
      <c r="CS231">
        <v>2.74</v>
      </c>
      <c r="CT231">
        <v>3.55</v>
      </c>
      <c r="CU231">
        <v>2.8</v>
      </c>
      <c r="CV231">
        <v>1.84</v>
      </c>
      <c r="CW231">
        <v>2.06</v>
      </c>
      <c r="CX231">
        <v>1.83</v>
      </c>
      <c r="CY231">
        <v>2.0699999999999998</v>
      </c>
      <c r="CZ231">
        <v>1.97</v>
      </c>
      <c r="DA231">
        <v>2.09</v>
      </c>
      <c r="DB231">
        <v>1.85</v>
      </c>
      <c r="DC231">
        <v>2</v>
      </c>
      <c r="DD231">
        <v>1.89</v>
      </c>
      <c r="DE231">
        <v>2.1</v>
      </c>
      <c r="DF231">
        <v>0</v>
      </c>
      <c r="DG231">
        <v>1.95</v>
      </c>
      <c r="DH231">
        <v>1.98</v>
      </c>
      <c r="DI231">
        <v>1.94</v>
      </c>
      <c r="DJ231">
        <v>1.98</v>
      </c>
      <c r="DK231">
        <v>1.99</v>
      </c>
      <c r="DL231">
        <v>2.0099999999999998</v>
      </c>
      <c r="DM231">
        <v>1.91</v>
      </c>
      <c r="DN231">
        <v>1.97</v>
      </c>
      <c r="DO231">
        <v>1.96</v>
      </c>
      <c r="DP231">
        <v>2.02</v>
      </c>
    </row>
    <row r="232" spans="1:120" x14ac:dyDescent="0.3">
      <c r="A232" t="s">
        <v>120</v>
      </c>
      <c r="B232" s="2">
        <v>45659</v>
      </c>
      <c r="C232" s="1">
        <v>0.625</v>
      </c>
      <c r="D232" t="s">
        <v>142</v>
      </c>
      <c r="E232" t="s">
        <v>129</v>
      </c>
      <c r="F232">
        <v>0</v>
      </c>
      <c r="G232">
        <v>2</v>
      </c>
      <c r="H232" t="s">
        <v>130</v>
      </c>
      <c r="I232">
        <v>0</v>
      </c>
      <c r="J232">
        <v>1</v>
      </c>
      <c r="K232" t="s">
        <v>130</v>
      </c>
      <c r="L232" t="s">
        <v>163</v>
      </c>
      <c r="M232">
        <v>14</v>
      </c>
      <c r="N232">
        <v>19</v>
      </c>
      <c r="O232">
        <v>3</v>
      </c>
      <c r="P232">
        <v>7</v>
      </c>
      <c r="Q232">
        <v>15</v>
      </c>
      <c r="R232">
        <v>9</v>
      </c>
      <c r="S232">
        <v>3</v>
      </c>
      <c r="T232">
        <v>3</v>
      </c>
      <c r="U232">
        <v>2</v>
      </c>
      <c r="V232">
        <v>3</v>
      </c>
      <c r="W232">
        <v>0</v>
      </c>
      <c r="X232">
        <v>0</v>
      </c>
      <c r="Y232">
        <v>4.5</v>
      </c>
      <c r="Z232">
        <v>4.33</v>
      </c>
      <c r="AA232">
        <v>1.67</v>
      </c>
      <c r="AB232">
        <v>4.5999999999999996</v>
      </c>
      <c r="AC232">
        <v>4.2</v>
      </c>
      <c r="AD232">
        <v>1.68</v>
      </c>
      <c r="AE232">
        <v>4.5999999999999996</v>
      </c>
      <c r="AF232">
        <v>4.2</v>
      </c>
      <c r="AG232">
        <v>1.67</v>
      </c>
      <c r="AH232">
        <v>4.68</v>
      </c>
      <c r="AI232">
        <v>4.3499999999999996</v>
      </c>
      <c r="AJ232">
        <v>1.68</v>
      </c>
      <c r="AK232">
        <v>4.5</v>
      </c>
      <c r="AL232">
        <v>4.2</v>
      </c>
      <c r="AM232">
        <v>1.67</v>
      </c>
      <c r="AN232">
        <v>4.58</v>
      </c>
      <c r="AO232">
        <v>4.4800000000000004</v>
      </c>
      <c r="AP232">
        <v>1.71</v>
      </c>
      <c r="AQ232">
        <v>4.75</v>
      </c>
      <c r="AR232">
        <v>4.4800000000000004</v>
      </c>
      <c r="AS232">
        <v>1.71</v>
      </c>
      <c r="AT232">
        <v>4.5599999999999996</v>
      </c>
      <c r="AU232">
        <v>4.32</v>
      </c>
      <c r="AV232">
        <v>1.68</v>
      </c>
      <c r="AW232">
        <v>4.8</v>
      </c>
      <c r="AX232">
        <v>4.5999999999999996</v>
      </c>
      <c r="AY232">
        <v>1.72</v>
      </c>
      <c r="AZ232">
        <v>1.44</v>
      </c>
      <c r="BA232">
        <v>2.75</v>
      </c>
      <c r="BB232">
        <v>1.48</v>
      </c>
      <c r="BC232">
        <v>2.71</v>
      </c>
      <c r="BD232">
        <v>1.48</v>
      </c>
      <c r="BE232">
        <v>2.8</v>
      </c>
      <c r="BF232">
        <v>1.46</v>
      </c>
      <c r="BG232">
        <v>2.69</v>
      </c>
      <c r="BH232">
        <v>1.51</v>
      </c>
      <c r="BI232">
        <v>2.9</v>
      </c>
      <c r="BJ232">
        <v>0.75</v>
      </c>
      <c r="BK232">
        <v>2.06</v>
      </c>
      <c r="BL232">
        <v>1.84</v>
      </c>
      <c r="BM232">
        <v>2.04</v>
      </c>
      <c r="BN232">
        <v>1.87</v>
      </c>
      <c r="BO232">
        <v>2.12</v>
      </c>
      <c r="BP232">
        <v>1.88</v>
      </c>
      <c r="BQ232">
        <v>2</v>
      </c>
      <c r="BR232">
        <v>1.83</v>
      </c>
      <c r="BS232">
        <v>2.08</v>
      </c>
      <c r="BT232">
        <v>1.9</v>
      </c>
      <c r="BU232">
        <v>4.33</v>
      </c>
      <c r="BV232">
        <v>4.2</v>
      </c>
      <c r="BW232">
        <v>1.7</v>
      </c>
      <c r="BX232">
        <v>4.33</v>
      </c>
      <c r="BY232">
        <v>4.2</v>
      </c>
      <c r="BZ232">
        <v>1.72</v>
      </c>
      <c r="CA232">
        <v>4.5</v>
      </c>
      <c r="CB232">
        <v>4</v>
      </c>
      <c r="CC232">
        <v>1.67</v>
      </c>
      <c r="CD232">
        <v>4.66</v>
      </c>
      <c r="CE232">
        <v>4.26</v>
      </c>
      <c r="CF232">
        <v>1.72</v>
      </c>
      <c r="CG232">
        <v>4.4000000000000004</v>
      </c>
      <c r="CH232">
        <v>4.2</v>
      </c>
      <c r="CI232">
        <v>1.7</v>
      </c>
      <c r="CJ232">
        <v>4.68</v>
      </c>
      <c r="CK232">
        <v>4.3099999999999996</v>
      </c>
      <c r="CL232">
        <v>1.71</v>
      </c>
      <c r="CM232">
        <v>4.75</v>
      </c>
      <c r="CN232">
        <v>4.3499999999999996</v>
      </c>
      <c r="CO232">
        <v>1.73</v>
      </c>
      <c r="CP232">
        <v>4.51</v>
      </c>
      <c r="CQ232">
        <v>4.22</v>
      </c>
      <c r="CR232">
        <v>1.71</v>
      </c>
      <c r="CS232">
        <v>4.9000000000000004</v>
      </c>
      <c r="CT232">
        <v>4.3</v>
      </c>
      <c r="CU232">
        <v>1.76</v>
      </c>
      <c r="CV232">
        <v>1.44</v>
      </c>
      <c r="CW232">
        <v>2.75</v>
      </c>
      <c r="CX232">
        <v>1.47</v>
      </c>
      <c r="CY232">
        <v>2.78</v>
      </c>
      <c r="CZ232">
        <v>1.47</v>
      </c>
      <c r="DA232">
        <v>2.92</v>
      </c>
      <c r="DB232">
        <v>1.44</v>
      </c>
      <c r="DC232">
        <v>2.82</v>
      </c>
      <c r="DD232">
        <v>1.5</v>
      </c>
      <c r="DE232">
        <v>2.98</v>
      </c>
      <c r="DF232">
        <v>0.75</v>
      </c>
      <c r="DG232">
        <v>2.0099999999999998</v>
      </c>
      <c r="DH232">
        <v>1.92</v>
      </c>
      <c r="DI232">
        <v>2.02</v>
      </c>
      <c r="DJ232">
        <v>1.91</v>
      </c>
      <c r="DK232">
        <v>2.06</v>
      </c>
      <c r="DL232">
        <v>1.93</v>
      </c>
      <c r="DM232">
        <v>1.99</v>
      </c>
      <c r="DN232">
        <v>1.87</v>
      </c>
      <c r="DO232">
        <v>2.04</v>
      </c>
      <c r="DP232">
        <v>1.94</v>
      </c>
    </row>
    <row r="233" spans="1:120" x14ac:dyDescent="0.3">
      <c r="A233" t="s">
        <v>120</v>
      </c>
      <c r="B233" s="2">
        <v>45659</v>
      </c>
      <c r="C233" s="1">
        <v>0.625</v>
      </c>
      <c r="D233" t="s">
        <v>135</v>
      </c>
      <c r="E233" t="s">
        <v>155</v>
      </c>
      <c r="F233">
        <v>4</v>
      </c>
      <c r="G233">
        <v>0</v>
      </c>
      <c r="H233" t="s">
        <v>124</v>
      </c>
      <c r="I233">
        <v>3</v>
      </c>
      <c r="J233">
        <v>0</v>
      </c>
      <c r="K233" t="s">
        <v>124</v>
      </c>
      <c r="L233" t="s">
        <v>159</v>
      </c>
      <c r="M233">
        <v>13</v>
      </c>
      <c r="N233">
        <v>9</v>
      </c>
      <c r="O233">
        <v>7</v>
      </c>
      <c r="P233">
        <v>1</v>
      </c>
      <c r="Q233">
        <v>7</v>
      </c>
      <c r="R233">
        <v>13</v>
      </c>
      <c r="S233">
        <v>5</v>
      </c>
      <c r="T233">
        <v>6</v>
      </c>
      <c r="U233">
        <v>0</v>
      </c>
      <c r="V233">
        <v>0</v>
      </c>
      <c r="W233">
        <v>0</v>
      </c>
      <c r="X233">
        <v>0</v>
      </c>
      <c r="Y233">
        <v>1.75</v>
      </c>
      <c r="Z233">
        <v>3.75</v>
      </c>
      <c r="AA233">
        <v>4.5</v>
      </c>
      <c r="AB233">
        <v>1.8</v>
      </c>
      <c r="AC233">
        <v>3.6</v>
      </c>
      <c r="AD233">
        <v>4.5999999999999996</v>
      </c>
      <c r="AE233">
        <v>1.8</v>
      </c>
      <c r="AF233">
        <v>3.6</v>
      </c>
      <c r="AG233">
        <v>4.75</v>
      </c>
      <c r="AH233">
        <v>1.81</v>
      </c>
      <c r="AI233">
        <v>3.7</v>
      </c>
      <c r="AJ233">
        <v>4.7300000000000004</v>
      </c>
      <c r="AK233">
        <v>1.8</v>
      </c>
      <c r="AL233">
        <v>3.6</v>
      </c>
      <c r="AM233">
        <v>4.5</v>
      </c>
      <c r="AN233">
        <v>1.8</v>
      </c>
      <c r="AO233">
        <v>3.85</v>
      </c>
      <c r="AP233">
        <v>4.74</v>
      </c>
      <c r="AQ233">
        <v>1.81</v>
      </c>
      <c r="AR233">
        <v>3.85</v>
      </c>
      <c r="AS233">
        <v>5</v>
      </c>
      <c r="AT233">
        <v>1.79</v>
      </c>
      <c r="AU233">
        <v>3.67</v>
      </c>
      <c r="AV233">
        <v>4.67</v>
      </c>
      <c r="AW233">
        <v>1.85</v>
      </c>
      <c r="AX233">
        <v>3.8</v>
      </c>
      <c r="AY233">
        <v>5</v>
      </c>
      <c r="AZ233">
        <v>2.04</v>
      </c>
      <c r="BA233">
        <v>1.86</v>
      </c>
      <c r="BB233">
        <v>2.06</v>
      </c>
      <c r="BC233">
        <v>1.84</v>
      </c>
      <c r="BD233">
        <v>2.06</v>
      </c>
      <c r="BE233">
        <v>1.89</v>
      </c>
      <c r="BF233">
        <v>2.0099999999999998</v>
      </c>
      <c r="BG233">
        <v>1.83</v>
      </c>
      <c r="BH233">
        <v>2.1</v>
      </c>
      <c r="BI233">
        <v>1.88</v>
      </c>
      <c r="BJ233">
        <v>-0.75</v>
      </c>
      <c r="BK233">
        <v>2.06</v>
      </c>
      <c r="BL233">
        <v>1.84</v>
      </c>
      <c r="BM233">
        <v>2.06</v>
      </c>
      <c r="BN233">
        <v>1.85</v>
      </c>
      <c r="BO233">
        <v>2.0699999999999998</v>
      </c>
      <c r="BP233">
        <v>1.86</v>
      </c>
      <c r="BQ233">
        <v>2</v>
      </c>
      <c r="BR233">
        <v>1.82</v>
      </c>
      <c r="BS233">
        <v>2.09</v>
      </c>
      <c r="BT233">
        <v>1.88</v>
      </c>
      <c r="BU233">
        <v>1.95</v>
      </c>
      <c r="BV233">
        <v>3.4</v>
      </c>
      <c r="BW233">
        <v>4.0999999999999996</v>
      </c>
      <c r="BX233">
        <v>1.95</v>
      </c>
      <c r="BY233">
        <v>3.3</v>
      </c>
      <c r="BZ233">
        <v>4.2</v>
      </c>
      <c r="CA233">
        <v>1.91</v>
      </c>
      <c r="CB233">
        <v>3.25</v>
      </c>
      <c r="CC233">
        <v>4.2</v>
      </c>
      <c r="CD233">
        <v>1.96</v>
      </c>
      <c r="CE233">
        <v>3.34</v>
      </c>
      <c r="CF233">
        <v>4.53</v>
      </c>
      <c r="CG233">
        <v>1.95</v>
      </c>
      <c r="CH233">
        <v>3.4</v>
      </c>
      <c r="CI233">
        <v>4</v>
      </c>
      <c r="CJ233">
        <v>1.92</v>
      </c>
      <c r="CK233">
        <v>3.49</v>
      </c>
      <c r="CL233">
        <v>4.4800000000000004</v>
      </c>
      <c r="CM233">
        <v>2</v>
      </c>
      <c r="CN233">
        <v>3.49</v>
      </c>
      <c r="CO233">
        <v>4.7</v>
      </c>
      <c r="CP233">
        <v>1.95</v>
      </c>
      <c r="CQ233">
        <v>3.35</v>
      </c>
      <c r="CR233">
        <v>4.33</v>
      </c>
      <c r="CS233">
        <v>2</v>
      </c>
      <c r="CT233">
        <v>3.45</v>
      </c>
      <c r="CU233">
        <v>4.7</v>
      </c>
      <c r="CV233">
        <v>2.2999999999999998</v>
      </c>
      <c r="CW233">
        <v>1.62</v>
      </c>
      <c r="CX233">
        <v>2.34</v>
      </c>
      <c r="CY233">
        <v>1.66</v>
      </c>
      <c r="CZ233">
        <v>2.36</v>
      </c>
      <c r="DA233">
        <v>1.68</v>
      </c>
      <c r="DB233">
        <v>2.27</v>
      </c>
      <c r="DC233">
        <v>1.65</v>
      </c>
      <c r="DD233">
        <v>2.38</v>
      </c>
      <c r="DE233">
        <v>1.71</v>
      </c>
      <c r="DF233">
        <v>-0.5</v>
      </c>
      <c r="DG233">
        <v>1.99</v>
      </c>
      <c r="DH233">
        <v>1.94</v>
      </c>
      <c r="DI233">
        <v>1.97</v>
      </c>
      <c r="DJ233">
        <v>1.95</v>
      </c>
      <c r="DK233">
        <v>2.02</v>
      </c>
      <c r="DL233">
        <v>1.95</v>
      </c>
      <c r="DM233">
        <v>1.95</v>
      </c>
      <c r="DN233">
        <v>1.91</v>
      </c>
      <c r="DO233">
        <v>2</v>
      </c>
      <c r="DP233">
        <v>1.99</v>
      </c>
    </row>
    <row r="234" spans="1:120" x14ac:dyDescent="0.3">
      <c r="A234" t="s">
        <v>120</v>
      </c>
      <c r="B234" s="2">
        <v>45659</v>
      </c>
      <c r="C234" s="1">
        <v>0.625</v>
      </c>
      <c r="D234" t="s">
        <v>128</v>
      </c>
      <c r="E234" t="s">
        <v>139</v>
      </c>
      <c r="F234">
        <v>1</v>
      </c>
      <c r="G234">
        <v>2</v>
      </c>
      <c r="H234" t="s">
        <v>130</v>
      </c>
      <c r="I234">
        <v>1</v>
      </c>
      <c r="J234">
        <v>1</v>
      </c>
      <c r="K234" t="s">
        <v>125</v>
      </c>
      <c r="L234" t="s">
        <v>143</v>
      </c>
      <c r="M234">
        <v>15</v>
      </c>
      <c r="N234">
        <v>9</v>
      </c>
      <c r="O234">
        <v>6</v>
      </c>
      <c r="P234">
        <v>4</v>
      </c>
      <c r="Q234">
        <v>11</v>
      </c>
      <c r="R234">
        <v>14</v>
      </c>
      <c r="S234">
        <v>1</v>
      </c>
      <c r="T234">
        <v>2</v>
      </c>
      <c r="U234">
        <v>0</v>
      </c>
      <c r="V234">
        <v>3</v>
      </c>
      <c r="W234">
        <v>0</v>
      </c>
      <c r="X234">
        <v>0</v>
      </c>
      <c r="Y234">
        <v>1.95</v>
      </c>
      <c r="Z234">
        <v>3.6</v>
      </c>
      <c r="AA234">
        <v>3.8</v>
      </c>
      <c r="AB234">
        <v>1.95</v>
      </c>
      <c r="AC234">
        <v>3.6</v>
      </c>
      <c r="AD234">
        <v>3.8</v>
      </c>
      <c r="AE234">
        <v>2</v>
      </c>
      <c r="AF234">
        <v>3.5</v>
      </c>
      <c r="AG234">
        <v>3.9</v>
      </c>
      <c r="AH234">
        <v>2</v>
      </c>
      <c r="AI234">
        <v>3.71</v>
      </c>
      <c r="AJ234">
        <v>3.78</v>
      </c>
      <c r="AK234">
        <v>1.95</v>
      </c>
      <c r="AL234">
        <v>3.75</v>
      </c>
      <c r="AM234">
        <v>3.6</v>
      </c>
      <c r="AN234">
        <v>2</v>
      </c>
      <c r="AO234">
        <v>3.9</v>
      </c>
      <c r="AP234">
        <v>3.73</v>
      </c>
      <c r="AQ234">
        <v>2.02</v>
      </c>
      <c r="AR234">
        <v>3.9</v>
      </c>
      <c r="AS234">
        <v>3.95</v>
      </c>
      <c r="AT234">
        <v>1.98</v>
      </c>
      <c r="AU234">
        <v>3.67</v>
      </c>
      <c r="AV234">
        <v>3.74</v>
      </c>
      <c r="AW234">
        <v>2.06</v>
      </c>
      <c r="AX234">
        <v>3.7</v>
      </c>
      <c r="AY234">
        <v>4</v>
      </c>
      <c r="AZ234">
        <v>1.73</v>
      </c>
      <c r="BA234">
        <v>2.1</v>
      </c>
      <c r="BB234">
        <v>1.76</v>
      </c>
      <c r="BC234">
        <v>2.16</v>
      </c>
      <c r="BD234">
        <v>1.82</v>
      </c>
      <c r="BE234">
        <v>2.16</v>
      </c>
      <c r="BF234">
        <v>1.76</v>
      </c>
      <c r="BG234">
        <v>2.09</v>
      </c>
      <c r="BH234">
        <v>1.8</v>
      </c>
      <c r="BI234">
        <v>2.2000000000000002</v>
      </c>
      <c r="BJ234">
        <v>-0.5</v>
      </c>
      <c r="BK234">
        <v>2</v>
      </c>
      <c r="BL234">
        <v>1.9</v>
      </c>
      <c r="BM234">
        <v>2.0099999999999998</v>
      </c>
      <c r="BN234">
        <v>1.9</v>
      </c>
      <c r="BO234">
        <v>2.02</v>
      </c>
      <c r="BP234">
        <v>1.91</v>
      </c>
      <c r="BQ234">
        <v>1.97</v>
      </c>
      <c r="BR234">
        <v>1.87</v>
      </c>
      <c r="BS234">
        <v>2.06</v>
      </c>
      <c r="BT234">
        <v>1.92</v>
      </c>
      <c r="BU234">
        <v>1.9</v>
      </c>
      <c r="BV234">
        <v>3.6</v>
      </c>
      <c r="BW234">
        <v>3.9</v>
      </c>
      <c r="BX234">
        <v>1.9</v>
      </c>
      <c r="BY234">
        <v>3.6</v>
      </c>
      <c r="BZ234">
        <v>4</v>
      </c>
      <c r="CA234">
        <v>1.91</v>
      </c>
      <c r="CB234">
        <v>3.5</v>
      </c>
      <c r="CC234">
        <v>3.9</v>
      </c>
      <c r="CD234">
        <v>1.91</v>
      </c>
      <c r="CE234">
        <v>3.75</v>
      </c>
      <c r="CF234">
        <v>4.18</v>
      </c>
      <c r="CG234">
        <v>1.91</v>
      </c>
      <c r="CH234">
        <v>3.5</v>
      </c>
      <c r="CI234">
        <v>3.9</v>
      </c>
      <c r="CJ234">
        <v>1.92</v>
      </c>
      <c r="CK234">
        <v>3.7</v>
      </c>
      <c r="CL234">
        <v>4.18</v>
      </c>
      <c r="CM234">
        <v>2.1</v>
      </c>
      <c r="CN234">
        <v>3.8</v>
      </c>
      <c r="CO234">
        <v>4.2</v>
      </c>
      <c r="CP234">
        <v>1.92</v>
      </c>
      <c r="CQ234">
        <v>3.64</v>
      </c>
      <c r="CR234">
        <v>4.01</v>
      </c>
      <c r="CS234">
        <v>1.96</v>
      </c>
      <c r="CT234">
        <v>3.8</v>
      </c>
      <c r="CU234">
        <v>4.3</v>
      </c>
      <c r="CV234">
        <v>1.73</v>
      </c>
      <c r="CW234">
        <v>2.1</v>
      </c>
      <c r="CX234">
        <v>1.76</v>
      </c>
      <c r="CY234">
        <v>2.16</v>
      </c>
      <c r="CZ234">
        <v>1.89</v>
      </c>
      <c r="DA234">
        <v>2.17</v>
      </c>
      <c r="DB234">
        <v>1.78</v>
      </c>
      <c r="DC234">
        <v>2.08</v>
      </c>
      <c r="DD234">
        <v>1.82</v>
      </c>
      <c r="DE234">
        <v>2.2000000000000002</v>
      </c>
      <c r="DF234">
        <v>-0.5</v>
      </c>
      <c r="DG234">
        <v>1.93</v>
      </c>
      <c r="DH234">
        <v>2</v>
      </c>
      <c r="DI234">
        <v>1.92</v>
      </c>
      <c r="DJ234">
        <v>2</v>
      </c>
      <c r="DK234">
        <v>1.94</v>
      </c>
      <c r="DL234">
        <v>2.02</v>
      </c>
      <c r="DM234">
        <v>1.91</v>
      </c>
      <c r="DN234">
        <v>1.95</v>
      </c>
      <c r="DO234">
        <v>1.96</v>
      </c>
      <c r="DP234">
        <v>2.0299999999999998</v>
      </c>
    </row>
    <row r="235" spans="1:120" x14ac:dyDescent="0.3">
      <c r="A235" t="s">
        <v>120</v>
      </c>
      <c r="B235" s="2">
        <v>45659</v>
      </c>
      <c r="C235" s="1">
        <v>0.625</v>
      </c>
      <c r="D235" t="s">
        <v>138</v>
      </c>
      <c r="E235" t="s">
        <v>123</v>
      </c>
      <c r="F235">
        <v>1</v>
      </c>
      <c r="G235">
        <v>2</v>
      </c>
      <c r="H235" t="s">
        <v>130</v>
      </c>
      <c r="I235">
        <v>1</v>
      </c>
      <c r="J235">
        <v>0</v>
      </c>
      <c r="K235" t="s">
        <v>124</v>
      </c>
      <c r="L235" t="s">
        <v>157</v>
      </c>
      <c r="M235">
        <v>11</v>
      </c>
      <c r="N235">
        <v>15</v>
      </c>
      <c r="O235">
        <v>4</v>
      </c>
      <c r="P235">
        <v>4</v>
      </c>
      <c r="Q235">
        <v>10</v>
      </c>
      <c r="R235">
        <v>15</v>
      </c>
      <c r="S235">
        <v>4</v>
      </c>
      <c r="T235">
        <v>7</v>
      </c>
      <c r="U235">
        <v>4</v>
      </c>
      <c r="V235">
        <v>4</v>
      </c>
      <c r="W235">
        <v>0</v>
      </c>
      <c r="X235">
        <v>0</v>
      </c>
      <c r="Y235">
        <v>1.7</v>
      </c>
      <c r="Z235">
        <v>4</v>
      </c>
      <c r="AA235">
        <v>4.75</v>
      </c>
      <c r="AB235">
        <v>1.71</v>
      </c>
      <c r="AC235">
        <v>4</v>
      </c>
      <c r="AD235">
        <v>4.5999999999999996</v>
      </c>
      <c r="AE235">
        <v>1.73</v>
      </c>
      <c r="AF235">
        <v>3.9</v>
      </c>
      <c r="AG235">
        <v>4.75</v>
      </c>
      <c r="AH235">
        <v>1.71</v>
      </c>
      <c r="AI235">
        <v>4.1399999999999997</v>
      </c>
      <c r="AJ235">
        <v>4.74</v>
      </c>
      <c r="AK235">
        <v>1.73</v>
      </c>
      <c r="AL235">
        <v>4</v>
      </c>
      <c r="AM235">
        <v>4.4000000000000004</v>
      </c>
      <c r="AN235">
        <v>1.73</v>
      </c>
      <c r="AO235">
        <v>4.2300000000000004</v>
      </c>
      <c r="AP235">
        <v>4.7300000000000004</v>
      </c>
      <c r="AQ235">
        <v>1.73</v>
      </c>
      <c r="AR235">
        <v>4.25</v>
      </c>
      <c r="AS235">
        <v>5.0999999999999996</v>
      </c>
      <c r="AT235">
        <v>1.71</v>
      </c>
      <c r="AU235">
        <v>4.07</v>
      </c>
      <c r="AV235">
        <v>4.66</v>
      </c>
      <c r="AW235">
        <v>1.78</v>
      </c>
      <c r="AX235">
        <v>4</v>
      </c>
      <c r="AY235">
        <v>5</v>
      </c>
      <c r="AZ235">
        <v>1.62</v>
      </c>
      <c r="BA235">
        <v>2.2999999999999998</v>
      </c>
      <c r="BB235">
        <v>1.66</v>
      </c>
      <c r="BC235">
        <v>2.31</v>
      </c>
      <c r="BD235">
        <v>1.68</v>
      </c>
      <c r="BE235">
        <v>2.3199999999999998</v>
      </c>
      <c r="BF235">
        <v>1.64</v>
      </c>
      <c r="BG235">
        <v>2.2799999999999998</v>
      </c>
      <c r="BH235">
        <v>1.7</v>
      </c>
      <c r="BI235">
        <v>2.4</v>
      </c>
      <c r="BJ235">
        <v>-0.75</v>
      </c>
      <c r="BK235">
        <v>1.91</v>
      </c>
      <c r="BL235">
        <v>1.99</v>
      </c>
      <c r="BM235">
        <v>1.91</v>
      </c>
      <c r="BN235">
        <v>2</v>
      </c>
      <c r="BO235">
        <v>1.93</v>
      </c>
      <c r="BP235">
        <v>2</v>
      </c>
      <c r="BQ235">
        <v>1.87</v>
      </c>
      <c r="BR235">
        <v>1.95</v>
      </c>
      <c r="BS235">
        <v>1.98</v>
      </c>
      <c r="BT235">
        <v>1.98</v>
      </c>
      <c r="BU235">
        <v>1.7</v>
      </c>
      <c r="BV235">
        <v>3.9</v>
      </c>
      <c r="BW235">
        <v>4.75</v>
      </c>
      <c r="BX235">
        <v>1.73</v>
      </c>
      <c r="BY235">
        <v>3.9</v>
      </c>
      <c r="BZ235">
        <v>4.5999999999999996</v>
      </c>
      <c r="CA235">
        <v>1.7</v>
      </c>
      <c r="CB235">
        <v>3.75</v>
      </c>
      <c r="CC235">
        <v>4.75</v>
      </c>
      <c r="CD235">
        <v>1.77</v>
      </c>
      <c r="CE235">
        <v>3.82</v>
      </c>
      <c r="CF235">
        <v>4.91</v>
      </c>
      <c r="CG235">
        <v>1.73</v>
      </c>
      <c r="CH235">
        <v>3.9</v>
      </c>
      <c r="CI235">
        <v>4.5999999999999996</v>
      </c>
      <c r="CJ235">
        <v>1.72</v>
      </c>
      <c r="CK235">
        <v>3.99</v>
      </c>
      <c r="CL235">
        <v>5.0599999999999996</v>
      </c>
      <c r="CM235">
        <v>1.78</v>
      </c>
      <c r="CN235">
        <v>4</v>
      </c>
      <c r="CO235">
        <v>5.12</v>
      </c>
      <c r="CP235">
        <v>1.73</v>
      </c>
      <c r="CQ235">
        <v>3.88</v>
      </c>
      <c r="CR235">
        <v>4.83</v>
      </c>
      <c r="CS235">
        <v>1.78</v>
      </c>
      <c r="CT235">
        <v>4</v>
      </c>
      <c r="CU235">
        <v>5.2</v>
      </c>
      <c r="CV235">
        <v>1.67</v>
      </c>
      <c r="CW235">
        <v>2.2000000000000002</v>
      </c>
      <c r="CX235">
        <v>1.71</v>
      </c>
      <c r="CY235">
        <v>2.2400000000000002</v>
      </c>
      <c r="CZ235">
        <v>1.71</v>
      </c>
      <c r="DA235">
        <v>2.36</v>
      </c>
      <c r="DB235">
        <v>1.67</v>
      </c>
      <c r="DC235">
        <v>2.2400000000000002</v>
      </c>
      <c r="DD235">
        <v>1.73</v>
      </c>
      <c r="DE235">
        <v>2.34</v>
      </c>
      <c r="DF235">
        <v>-0.75</v>
      </c>
      <c r="DG235">
        <v>1.98</v>
      </c>
      <c r="DH235">
        <v>1.95</v>
      </c>
      <c r="DI235">
        <v>1.99</v>
      </c>
      <c r="DJ235">
        <v>1.93</v>
      </c>
      <c r="DK235">
        <v>1.99</v>
      </c>
      <c r="DL235">
        <v>1.99</v>
      </c>
      <c r="DM235">
        <v>1.92</v>
      </c>
      <c r="DN235">
        <v>1.93</v>
      </c>
      <c r="DO235">
        <v>1.98</v>
      </c>
      <c r="DP235">
        <v>2.0099999999999998</v>
      </c>
    </row>
    <row r="236" spans="1:120" x14ac:dyDescent="0.3">
      <c r="A236" t="s">
        <v>120</v>
      </c>
      <c r="B236" s="2">
        <v>45659</v>
      </c>
      <c r="C236" s="1">
        <v>0.72916666666666663</v>
      </c>
      <c r="D236" t="s">
        <v>133</v>
      </c>
      <c r="E236" t="s">
        <v>145</v>
      </c>
      <c r="F236">
        <v>2</v>
      </c>
      <c r="G236">
        <v>0</v>
      </c>
      <c r="H236" t="s">
        <v>124</v>
      </c>
      <c r="I236">
        <v>1</v>
      </c>
      <c r="J236">
        <v>0</v>
      </c>
      <c r="K236" t="s">
        <v>124</v>
      </c>
      <c r="L236" t="s">
        <v>176</v>
      </c>
      <c r="M236">
        <v>8</v>
      </c>
      <c r="N236">
        <v>10</v>
      </c>
      <c r="O236">
        <v>5</v>
      </c>
      <c r="P236">
        <v>3</v>
      </c>
      <c r="Q236">
        <v>20</v>
      </c>
      <c r="R236">
        <v>13</v>
      </c>
      <c r="S236">
        <v>5</v>
      </c>
      <c r="T236">
        <v>8</v>
      </c>
      <c r="U236">
        <v>2</v>
      </c>
      <c r="V236">
        <v>3</v>
      </c>
      <c r="W236">
        <v>0</v>
      </c>
      <c r="X236">
        <v>0</v>
      </c>
      <c r="Y236">
        <v>3.3</v>
      </c>
      <c r="Z236">
        <v>3.6</v>
      </c>
      <c r="AA236">
        <v>2.1</v>
      </c>
      <c r="AB236">
        <v>3.4</v>
      </c>
      <c r="AC236">
        <v>3.6</v>
      </c>
      <c r="AD236">
        <v>2.1</v>
      </c>
      <c r="AE236">
        <v>3.3</v>
      </c>
      <c r="AF236">
        <v>3.6</v>
      </c>
      <c r="AG236">
        <v>2.15</v>
      </c>
      <c r="AH236">
        <v>3.43</v>
      </c>
      <c r="AI236">
        <v>3.56</v>
      </c>
      <c r="AJ236">
        <v>2.17</v>
      </c>
      <c r="AK236">
        <v>3.3</v>
      </c>
      <c r="AL236">
        <v>3.6</v>
      </c>
      <c r="AM236">
        <v>2.1</v>
      </c>
      <c r="AN236">
        <v>3.43</v>
      </c>
      <c r="AO236">
        <v>3.81</v>
      </c>
      <c r="AP236">
        <v>2.12</v>
      </c>
      <c r="AQ236">
        <v>3.5</v>
      </c>
      <c r="AR236">
        <v>3.81</v>
      </c>
      <c r="AS236">
        <v>2.1800000000000002</v>
      </c>
      <c r="AT236">
        <v>3.36</v>
      </c>
      <c r="AU236">
        <v>3.58</v>
      </c>
      <c r="AV236">
        <v>2.14</v>
      </c>
      <c r="AW236">
        <v>3.55</v>
      </c>
      <c r="AX236">
        <v>3.75</v>
      </c>
      <c r="AY236">
        <v>2.1800000000000002</v>
      </c>
      <c r="AZ236">
        <v>1.73</v>
      </c>
      <c r="BA236">
        <v>2.1</v>
      </c>
      <c r="BB236">
        <v>1.74</v>
      </c>
      <c r="BC236">
        <v>2.19</v>
      </c>
      <c r="BD236">
        <v>1.76</v>
      </c>
      <c r="BE236">
        <v>2.25</v>
      </c>
      <c r="BF236">
        <v>1.7</v>
      </c>
      <c r="BG236">
        <v>2.17</v>
      </c>
      <c r="BH236">
        <v>1.75</v>
      </c>
      <c r="BI236">
        <v>2.2799999999999998</v>
      </c>
      <c r="BJ236">
        <v>0.25</v>
      </c>
      <c r="BK236">
        <v>2.04</v>
      </c>
      <c r="BL236">
        <v>1.86</v>
      </c>
      <c r="BM236">
        <v>2.0299999999999998</v>
      </c>
      <c r="BN236">
        <v>1.88</v>
      </c>
      <c r="BO236">
        <v>2.0499999999999998</v>
      </c>
      <c r="BP236">
        <v>1.88</v>
      </c>
      <c r="BQ236">
        <v>2.0099999999999998</v>
      </c>
      <c r="BR236">
        <v>1.83</v>
      </c>
      <c r="BS236">
        <v>2.06</v>
      </c>
      <c r="BT236">
        <v>1.92</v>
      </c>
      <c r="BU236">
        <v>3.2</v>
      </c>
      <c r="BV236">
        <v>3.4</v>
      </c>
      <c r="BW236">
        <v>2.2000000000000002</v>
      </c>
      <c r="BX236">
        <v>3</v>
      </c>
      <c r="BY236">
        <v>3.4</v>
      </c>
      <c r="BZ236">
        <v>2.37</v>
      </c>
      <c r="CA236">
        <v>3.3</v>
      </c>
      <c r="CB236">
        <v>3.4</v>
      </c>
      <c r="CC236">
        <v>2.25</v>
      </c>
      <c r="CD236">
        <v>3.32</v>
      </c>
      <c r="CE236">
        <v>3.48</v>
      </c>
      <c r="CF236">
        <v>2.2799999999999998</v>
      </c>
      <c r="CG236">
        <v>3</v>
      </c>
      <c r="CH236">
        <v>3.3</v>
      </c>
      <c r="CI236">
        <v>2.38</v>
      </c>
      <c r="CJ236">
        <v>3.34</v>
      </c>
      <c r="CK236">
        <v>3.49</v>
      </c>
      <c r="CL236">
        <v>2.27</v>
      </c>
      <c r="CM236">
        <v>3.35</v>
      </c>
      <c r="CN236">
        <v>3.5</v>
      </c>
      <c r="CO236">
        <v>2.4</v>
      </c>
      <c r="CP236">
        <v>3.17</v>
      </c>
      <c r="CQ236">
        <v>3.43</v>
      </c>
      <c r="CR236">
        <v>2.2999999999999998</v>
      </c>
      <c r="CS236">
        <v>3.2</v>
      </c>
      <c r="CT236">
        <v>3.55</v>
      </c>
      <c r="CU236">
        <v>2.42</v>
      </c>
      <c r="CV236">
        <v>1.88</v>
      </c>
      <c r="CW236">
        <v>2.02</v>
      </c>
      <c r="CX236">
        <v>1.88</v>
      </c>
      <c r="CY236">
        <v>2.04</v>
      </c>
      <c r="CZ236">
        <v>1.9</v>
      </c>
      <c r="DA236">
        <v>2.11</v>
      </c>
      <c r="DB236">
        <v>1.82</v>
      </c>
      <c r="DC236">
        <v>2.0299999999999998</v>
      </c>
      <c r="DD236">
        <v>1.86</v>
      </c>
      <c r="DE236">
        <v>2.16</v>
      </c>
      <c r="DF236">
        <v>0.25</v>
      </c>
      <c r="DG236">
        <v>1.95</v>
      </c>
      <c r="DH236">
        <v>1.98</v>
      </c>
      <c r="DI236">
        <v>1.95</v>
      </c>
      <c r="DJ236">
        <v>1.97</v>
      </c>
      <c r="DK236">
        <v>1.96</v>
      </c>
      <c r="DL236">
        <v>2.09</v>
      </c>
      <c r="DM236">
        <v>1.88</v>
      </c>
      <c r="DN236">
        <v>1.96</v>
      </c>
      <c r="DO236">
        <v>1.9</v>
      </c>
      <c r="DP236">
        <v>2.09</v>
      </c>
    </row>
    <row r="237" spans="1:120" x14ac:dyDescent="0.3">
      <c r="A237" t="s">
        <v>120</v>
      </c>
      <c r="B237" s="2">
        <v>45690</v>
      </c>
      <c r="C237" s="1">
        <v>0.58333333333333337</v>
      </c>
      <c r="D237" t="s">
        <v>148</v>
      </c>
      <c r="E237" t="s">
        <v>156</v>
      </c>
      <c r="F237">
        <v>0</v>
      </c>
      <c r="G237">
        <v>2</v>
      </c>
      <c r="H237" t="s">
        <v>130</v>
      </c>
      <c r="I237">
        <v>0</v>
      </c>
      <c r="J237">
        <v>1</v>
      </c>
      <c r="K237" t="s">
        <v>130</v>
      </c>
      <c r="L237" t="s">
        <v>134</v>
      </c>
      <c r="M237">
        <v>20</v>
      </c>
      <c r="N237">
        <v>13</v>
      </c>
      <c r="O237">
        <v>4</v>
      </c>
      <c r="P237">
        <v>2</v>
      </c>
      <c r="Q237">
        <v>4</v>
      </c>
      <c r="R237">
        <v>11</v>
      </c>
      <c r="S237">
        <v>10</v>
      </c>
      <c r="T237">
        <v>3</v>
      </c>
      <c r="U237">
        <v>0</v>
      </c>
      <c r="V237">
        <v>1</v>
      </c>
      <c r="W237">
        <v>0</v>
      </c>
      <c r="X237">
        <v>0</v>
      </c>
      <c r="Y237">
        <v>2.1</v>
      </c>
      <c r="Z237">
        <v>3.9</v>
      </c>
      <c r="AA237">
        <v>3.2</v>
      </c>
      <c r="AB237">
        <v>2.1</v>
      </c>
      <c r="AC237">
        <v>3.9</v>
      </c>
      <c r="AD237">
        <v>3.1</v>
      </c>
      <c r="AE237">
        <v>2.1</v>
      </c>
      <c r="AF237">
        <v>3.9</v>
      </c>
      <c r="AG237">
        <v>3.1</v>
      </c>
      <c r="AH237">
        <v>2.12</v>
      </c>
      <c r="AI237">
        <v>3.88</v>
      </c>
      <c r="AJ237">
        <v>3.11</v>
      </c>
      <c r="AK237">
        <v>2.1</v>
      </c>
      <c r="AL237">
        <v>4</v>
      </c>
      <c r="AM237">
        <v>3</v>
      </c>
      <c r="AN237">
        <v>2.12</v>
      </c>
      <c r="AO237">
        <v>4.33</v>
      </c>
      <c r="AP237">
        <v>3.1</v>
      </c>
      <c r="AQ237">
        <v>2.16</v>
      </c>
      <c r="AR237">
        <v>4.33</v>
      </c>
      <c r="AS237">
        <v>3.25</v>
      </c>
      <c r="AT237">
        <v>2.11</v>
      </c>
      <c r="AU237">
        <v>3.97</v>
      </c>
      <c r="AV237">
        <v>3.1</v>
      </c>
      <c r="AW237">
        <v>2.1800000000000002</v>
      </c>
      <c r="AX237">
        <v>4.2</v>
      </c>
      <c r="AY237">
        <v>3.25</v>
      </c>
      <c r="AZ237">
        <v>1.33</v>
      </c>
      <c r="BA237">
        <v>3.4</v>
      </c>
      <c r="BB237">
        <v>1.34</v>
      </c>
      <c r="BC237">
        <v>3.22</v>
      </c>
      <c r="BD237">
        <v>1.36</v>
      </c>
      <c r="BE237">
        <v>3.4</v>
      </c>
      <c r="BF237">
        <v>1.33</v>
      </c>
      <c r="BG237">
        <v>3.25</v>
      </c>
      <c r="BH237">
        <v>1.38</v>
      </c>
      <c r="BI237">
        <v>3.5</v>
      </c>
      <c r="BJ237">
        <v>-0.25</v>
      </c>
      <c r="BK237">
        <v>1.87</v>
      </c>
      <c r="BL237">
        <v>2.0299999999999998</v>
      </c>
      <c r="BM237">
        <v>1.87</v>
      </c>
      <c r="BN237">
        <v>1.98</v>
      </c>
      <c r="BO237">
        <v>1.87</v>
      </c>
      <c r="BP237">
        <v>2.0499999999999998</v>
      </c>
      <c r="BQ237">
        <v>1.83</v>
      </c>
      <c r="BR237">
        <v>1.99</v>
      </c>
      <c r="BS237">
        <v>1.92</v>
      </c>
      <c r="BT237">
        <v>2.0699999999999998</v>
      </c>
      <c r="BU237">
        <v>1.91</v>
      </c>
      <c r="BV237">
        <v>4</v>
      </c>
      <c r="BW237">
        <v>3.5</v>
      </c>
      <c r="BX237">
        <v>1.98</v>
      </c>
      <c r="BY237">
        <v>4.0999999999999996</v>
      </c>
      <c r="BZ237">
        <v>3.3</v>
      </c>
      <c r="CA237">
        <v>1.95</v>
      </c>
      <c r="CB237">
        <v>3.9</v>
      </c>
      <c r="CC237">
        <v>3.3</v>
      </c>
      <c r="CD237">
        <v>1.97</v>
      </c>
      <c r="CE237">
        <v>4.21</v>
      </c>
      <c r="CF237">
        <v>3.51</v>
      </c>
      <c r="CG237">
        <v>2</v>
      </c>
      <c r="CH237">
        <v>4</v>
      </c>
      <c r="CI237">
        <v>3.2</v>
      </c>
      <c r="CJ237">
        <v>2.0699999999999998</v>
      </c>
      <c r="CK237">
        <v>4.38</v>
      </c>
      <c r="CL237">
        <v>3.34</v>
      </c>
      <c r="CM237">
        <v>2.09</v>
      </c>
      <c r="CN237">
        <v>4.38</v>
      </c>
      <c r="CO237">
        <v>3.52</v>
      </c>
      <c r="CP237">
        <v>2</v>
      </c>
      <c r="CQ237">
        <v>4.12</v>
      </c>
      <c r="CR237">
        <v>3.34</v>
      </c>
      <c r="CS237">
        <v>2.06</v>
      </c>
      <c r="CT237">
        <v>4.2</v>
      </c>
      <c r="CU237">
        <v>3.5</v>
      </c>
      <c r="CV237">
        <v>1.29</v>
      </c>
      <c r="CW237">
        <v>3.75</v>
      </c>
      <c r="CX237">
        <v>1.38</v>
      </c>
      <c r="CY237">
        <v>3.18</v>
      </c>
      <c r="CZ237">
        <v>1.37</v>
      </c>
      <c r="DA237">
        <v>3.8</v>
      </c>
      <c r="DB237">
        <v>1.3</v>
      </c>
      <c r="DC237">
        <v>3.55</v>
      </c>
      <c r="DD237">
        <v>1.33</v>
      </c>
      <c r="DE237">
        <v>3.95</v>
      </c>
      <c r="DF237">
        <v>-0.5</v>
      </c>
      <c r="DG237">
        <v>2.0099999999999998</v>
      </c>
      <c r="DH237">
        <v>1.92</v>
      </c>
      <c r="DI237">
        <v>1.98</v>
      </c>
      <c r="DJ237">
        <v>1.94</v>
      </c>
      <c r="DK237">
        <v>2.02</v>
      </c>
      <c r="DL237">
        <v>1.94</v>
      </c>
      <c r="DM237">
        <v>1.99</v>
      </c>
      <c r="DN237">
        <v>1.87</v>
      </c>
      <c r="DO237">
        <v>2.06</v>
      </c>
      <c r="DP237">
        <v>1.93</v>
      </c>
    </row>
    <row r="238" spans="1:120" x14ac:dyDescent="0.3">
      <c r="A238" t="s">
        <v>120</v>
      </c>
      <c r="B238" s="2">
        <v>45690</v>
      </c>
      <c r="C238" s="1">
        <v>0.58333333333333337</v>
      </c>
      <c r="D238" t="s">
        <v>122</v>
      </c>
      <c r="E238" t="s">
        <v>149</v>
      </c>
      <c r="F238">
        <v>0</v>
      </c>
      <c r="G238">
        <v>2</v>
      </c>
      <c r="H238" t="s">
        <v>130</v>
      </c>
      <c r="I238">
        <v>0</v>
      </c>
      <c r="J238">
        <v>0</v>
      </c>
      <c r="K238" t="s">
        <v>125</v>
      </c>
      <c r="L238" t="s">
        <v>173</v>
      </c>
      <c r="M238">
        <v>17</v>
      </c>
      <c r="N238">
        <v>11</v>
      </c>
      <c r="O238">
        <v>2</v>
      </c>
      <c r="P238">
        <v>3</v>
      </c>
      <c r="Q238">
        <v>12</v>
      </c>
      <c r="R238">
        <v>13</v>
      </c>
      <c r="S238">
        <v>11</v>
      </c>
      <c r="T238">
        <v>0</v>
      </c>
      <c r="U238">
        <v>3</v>
      </c>
      <c r="V238">
        <v>1</v>
      </c>
      <c r="W238">
        <v>0</v>
      </c>
      <c r="X238">
        <v>0</v>
      </c>
      <c r="Y238">
        <v>2</v>
      </c>
      <c r="Z238">
        <v>3.5</v>
      </c>
      <c r="AA238">
        <v>3.8</v>
      </c>
      <c r="AB238">
        <v>2.0499999999999998</v>
      </c>
      <c r="AC238">
        <v>3.5</v>
      </c>
      <c r="AD238">
        <v>3.6</v>
      </c>
      <c r="AE238">
        <v>2.0499999999999998</v>
      </c>
      <c r="AF238">
        <v>3.4</v>
      </c>
      <c r="AG238">
        <v>3.8</v>
      </c>
      <c r="AH238">
        <v>1.98</v>
      </c>
      <c r="AI238">
        <v>3.49</v>
      </c>
      <c r="AJ238">
        <v>3.83</v>
      </c>
      <c r="AK238">
        <v>2.0499999999999998</v>
      </c>
      <c r="AL238">
        <v>3.4</v>
      </c>
      <c r="AM238">
        <v>3.6</v>
      </c>
      <c r="AN238">
        <v>2.06</v>
      </c>
      <c r="AO238">
        <v>3.59</v>
      </c>
      <c r="AP238">
        <v>3.82</v>
      </c>
      <c r="AQ238">
        <v>2.08</v>
      </c>
      <c r="AR238">
        <v>3.59</v>
      </c>
      <c r="AS238">
        <v>3.85</v>
      </c>
      <c r="AT238">
        <v>2.04</v>
      </c>
      <c r="AU238">
        <v>3.48</v>
      </c>
      <c r="AV238">
        <v>3.71</v>
      </c>
      <c r="AW238">
        <v>2.08</v>
      </c>
      <c r="AX238">
        <v>3.6</v>
      </c>
      <c r="AY238">
        <v>4.0999999999999996</v>
      </c>
      <c r="AZ238">
        <v>1.87</v>
      </c>
      <c r="BA238">
        <v>2.0299999999999998</v>
      </c>
      <c r="BB238">
        <v>1.84</v>
      </c>
      <c r="BC238">
        <v>2</v>
      </c>
      <c r="BD238">
        <v>1.88</v>
      </c>
      <c r="BE238">
        <v>2.04</v>
      </c>
      <c r="BF238">
        <v>1.83</v>
      </c>
      <c r="BG238">
        <v>1.99</v>
      </c>
      <c r="BH238">
        <v>1.89</v>
      </c>
      <c r="BI238">
        <v>2.08</v>
      </c>
      <c r="BJ238">
        <v>-0.5</v>
      </c>
      <c r="BK238">
        <v>2.02</v>
      </c>
      <c r="BL238">
        <v>1.88</v>
      </c>
      <c r="BM238">
        <v>1.99</v>
      </c>
      <c r="BN238">
        <v>1.86</v>
      </c>
      <c r="BO238">
        <v>2.06</v>
      </c>
      <c r="BP238">
        <v>1.92</v>
      </c>
      <c r="BQ238">
        <v>2.02</v>
      </c>
      <c r="BR238">
        <v>1.83</v>
      </c>
      <c r="BS238">
        <v>2.06</v>
      </c>
      <c r="BT238">
        <v>1.92</v>
      </c>
      <c r="BU238">
        <v>1.75</v>
      </c>
      <c r="BV238">
        <v>3.6</v>
      </c>
      <c r="BW238">
        <v>4.75</v>
      </c>
      <c r="BX238">
        <v>1.8</v>
      </c>
      <c r="BY238">
        <v>3.6</v>
      </c>
      <c r="BZ238">
        <v>4.5999999999999996</v>
      </c>
      <c r="CA238">
        <v>1.75</v>
      </c>
      <c r="CB238">
        <v>3.5</v>
      </c>
      <c r="CC238">
        <v>4.75</v>
      </c>
      <c r="CD238">
        <v>1.78</v>
      </c>
      <c r="CE238">
        <v>3.73</v>
      </c>
      <c r="CF238">
        <v>4.97</v>
      </c>
      <c r="CG238">
        <v>1.8</v>
      </c>
      <c r="CH238">
        <v>3.5</v>
      </c>
      <c r="CI238">
        <v>4.5999999999999996</v>
      </c>
      <c r="CJ238">
        <v>1.78</v>
      </c>
      <c r="CK238">
        <v>3.7</v>
      </c>
      <c r="CL238">
        <v>5.09</v>
      </c>
      <c r="CM238">
        <v>1.91</v>
      </c>
      <c r="CN238">
        <v>3.8</v>
      </c>
      <c r="CO238">
        <v>5.09</v>
      </c>
      <c r="CP238">
        <v>1.79</v>
      </c>
      <c r="CQ238">
        <v>3.63</v>
      </c>
      <c r="CR238">
        <v>4.74</v>
      </c>
      <c r="CS238">
        <v>1.84</v>
      </c>
      <c r="CT238">
        <v>3.75</v>
      </c>
      <c r="CU238">
        <v>5.0999999999999996</v>
      </c>
      <c r="CV238">
        <v>1.95</v>
      </c>
      <c r="CW238">
        <v>1.95</v>
      </c>
      <c r="CX238">
        <v>1.97</v>
      </c>
      <c r="CY238">
        <v>1.93</v>
      </c>
      <c r="CZ238">
        <v>1.97</v>
      </c>
      <c r="DA238">
        <v>2.0099999999999998</v>
      </c>
      <c r="DB238">
        <v>1.91</v>
      </c>
      <c r="DC238">
        <v>1.93</v>
      </c>
      <c r="DD238">
        <v>1.98</v>
      </c>
      <c r="DE238">
        <v>2</v>
      </c>
      <c r="DF238">
        <v>-0.75</v>
      </c>
      <c r="DG238">
        <v>2.04</v>
      </c>
      <c r="DH238">
        <v>1.89</v>
      </c>
      <c r="DI238">
        <v>2.0299999999999998</v>
      </c>
      <c r="DJ238">
        <v>1.9</v>
      </c>
      <c r="DK238">
        <v>2.08</v>
      </c>
      <c r="DL238">
        <v>1.91</v>
      </c>
      <c r="DM238">
        <v>2.0099999999999998</v>
      </c>
      <c r="DN238">
        <v>1.85</v>
      </c>
      <c r="DO238">
        <v>2.1</v>
      </c>
      <c r="DP238">
        <v>1.89</v>
      </c>
    </row>
    <row r="239" spans="1:120" x14ac:dyDescent="0.3">
      <c r="A239" t="s">
        <v>120</v>
      </c>
      <c r="B239" s="2">
        <v>45690</v>
      </c>
      <c r="C239" s="1">
        <v>0.6875</v>
      </c>
      <c r="D239" t="s">
        <v>132</v>
      </c>
      <c r="E239" t="s">
        <v>152</v>
      </c>
      <c r="F239">
        <v>5</v>
      </c>
      <c r="G239">
        <v>1</v>
      </c>
      <c r="H239" t="s">
        <v>124</v>
      </c>
      <c r="I239">
        <v>1</v>
      </c>
      <c r="J239">
        <v>0</v>
      </c>
      <c r="K239" t="s">
        <v>124</v>
      </c>
      <c r="L239" t="s">
        <v>171</v>
      </c>
      <c r="M239">
        <v>12</v>
      </c>
      <c r="N239">
        <v>7</v>
      </c>
      <c r="O239">
        <v>7</v>
      </c>
      <c r="P239">
        <v>4</v>
      </c>
      <c r="Q239">
        <v>6</v>
      </c>
      <c r="R239">
        <v>7</v>
      </c>
      <c r="S239">
        <v>5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1.95</v>
      </c>
      <c r="Z239">
        <v>3.5</v>
      </c>
      <c r="AA239">
        <v>4</v>
      </c>
      <c r="AB239">
        <v>2</v>
      </c>
      <c r="AC239">
        <v>3.6</v>
      </c>
      <c r="AD239">
        <v>3.6</v>
      </c>
      <c r="AE239">
        <v>2</v>
      </c>
      <c r="AF239">
        <v>3.5</v>
      </c>
      <c r="AG239">
        <v>3.9</v>
      </c>
      <c r="AH239">
        <v>1.93</v>
      </c>
      <c r="AI239">
        <v>3.63</v>
      </c>
      <c r="AJ239">
        <v>3.85</v>
      </c>
      <c r="AK239">
        <v>2</v>
      </c>
      <c r="AL239">
        <v>3.5</v>
      </c>
      <c r="AM239">
        <v>3.75</v>
      </c>
      <c r="AN239">
        <v>2.0099999999999998</v>
      </c>
      <c r="AO239">
        <v>3.65</v>
      </c>
      <c r="AP239">
        <v>3.94</v>
      </c>
      <c r="AQ239">
        <v>2.0099999999999998</v>
      </c>
      <c r="AR239">
        <v>3.75</v>
      </c>
      <c r="AS239">
        <v>4.08</v>
      </c>
      <c r="AT239">
        <v>1.97</v>
      </c>
      <c r="AU239">
        <v>3.58</v>
      </c>
      <c r="AV239">
        <v>3.83</v>
      </c>
      <c r="AW239">
        <v>2.02</v>
      </c>
      <c r="AX239">
        <v>3.65</v>
      </c>
      <c r="AY239">
        <v>4.0999999999999996</v>
      </c>
      <c r="AZ239">
        <v>1.73</v>
      </c>
      <c r="BA239">
        <v>2.1</v>
      </c>
      <c r="BB239">
        <v>1.74</v>
      </c>
      <c r="BC239">
        <v>2.12</v>
      </c>
      <c r="BD239">
        <v>1.83</v>
      </c>
      <c r="BE239">
        <v>2.17</v>
      </c>
      <c r="BF239">
        <v>1.75</v>
      </c>
      <c r="BG239">
        <v>2.1</v>
      </c>
      <c r="BH239">
        <v>1.77</v>
      </c>
      <c r="BI239">
        <v>2.2400000000000002</v>
      </c>
      <c r="BJ239">
        <v>-0.5</v>
      </c>
      <c r="BK239">
        <v>1.99</v>
      </c>
      <c r="BL239">
        <v>1.91</v>
      </c>
      <c r="BM239">
        <v>1.94</v>
      </c>
      <c r="BN239">
        <v>1.91</v>
      </c>
      <c r="BO239">
        <v>2.02</v>
      </c>
      <c r="BP239">
        <v>1.91</v>
      </c>
      <c r="BQ239">
        <v>1.96</v>
      </c>
      <c r="BR239">
        <v>1.88</v>
      </c>
      <c r="BS239">
        <v>2.02</v>
      </c>
      <c r="BT239">
        <v>1.94</v>
      </c>
      <c r="BU239">
        <v>1.9</v>
      </c>
      <c r="BV239">
        <v>3.8</v>
      </c>
      <c r="BW239">
        <v>3.8</v>
      </c>
      <c r="BX239">
        <v>1.87</v>
      </c>
      <c r="BY239">
        <v>3.9</v>
      </c>
      <c r="BZ239">
        <v>3.8</v>
      </c>
      <c r="CA239">
        <v>1.85</v>
      </c>
      <c r="CB239">
        <v>3.9</v>
      </c>
      <c r="CC239">
        <v>3.75</v>
      </c>
      <c r="CD239">
        <v>1.91</v>
      </c>
      <c r="CE239">
        <v>4.17</v>
      </c>
      <c r="CF239">
        <v>3.77</v>
      </c>
      <c r="CG239">
        <v>1.91</v>
      </c>
      <c r="CH239">
        <v>3.75</v>
      </c>
      <c r="CI239">
        <v>3.8</v>
      </c>
      <c r="CJ239">
        <v>1.95</v>
      </c>
      <c r="CK239">
        <v>3.85</v>
      </c>
      <c r="CL239">
        <v>3.87</v>
      </c>
      <c r="CM239">
        <v>2.0699999999999998</v>
      </c>
      <c r="CN239">
        <v>4.17</v>
      </c>
      <c r="CO239">
        <v>4.05</v>
      </c>
      <c r="CP239">
        <v>1.91</v>
      </c>
      <c r="CQ239">
        <v>3.93</v>
      </c>
      <c r="CR239">
        <v>3.81</v>
      </c>
      <c r="CS239">
        <v>1.95</v>
      </c>
      <c r="CT239">
        <v>4.2</v>
      </c>
      <c r="CU239">
        <v>3.95</v>
      </c>
      <c r="CV239">
        <v>1.57</v>
      </c>
      <c r="CW239">
        <v>2.38</v>
      </c>
      <c r="CX239">
        <v>1.6</v>
      </c>
      <c r="CY239">
        <v>2.44</v>
      </c>
      <c r="CZ239">
        <v>1.76</v>
      </c>
      <c r="DA239">
        <v>2.44</v>
      </c>
      <c r="DB239">
        <v>1.62</v>
      </c>
      <c r="DC239">
        <v>2.34</v>
      </c>
      <c r="DD239">
        <v>1.68</v>
      </c>
      <c r="DE239">
        <v>2.46</v>
      </c>
      <c r="DF239">
        <v>-0.5</v>
      </c>
      <c r="DG239">
        <v>1.92</v>
      </c>
      <c r="DH239">
        <v>2.0099999999999998</v>
      </c>
      <c r="DI239">
        <v>1.92</v>
      </c>
      <c r="DJ239">
        <v>2.0099999999999998</v>
      </c>
      <c r="DK239">
        <v>1.95</v>
      </c>
      <c r="DL239">
        <v>2.02</v>
      </c>
      <c r="DM239">
        <v>1.89</v>
      </c>
      <c r="DN239">
        <v>1.97</v>
      </c>
      <c r="DO239">
        <v>1.94</v>
      </c>
      <c r="DP239">
        <v>2.0499999999999998</v>
      </c>
    </row>
    <row r="240" spans="1:120" x14ac:dyDescent="0.3">
      <c r="A240" t="s">
        <v>120</v>
      </c>
      <c r="B240" s="2">
        <v>45718</v>
      </c>
      <c r="C240" s="1">
        <v>0.83333333333333337</v>
      </c>
      <c r="D240" t="s">
        <v>151</v>
      </c>
      <c r="E240" t="s">
        <v>144</v>
      </c>
      <c r="F240">
        <v>2</v>
      </c>
      <c r="G240">
        <v>1</v>
      </c>
      <c r="H240" t="s">
        <v>124</v>
      </c>
      <c r="I240">
        <v>0</v>
      </c>
      <c r="J240">
        <v>1</v>
      </c>
      <c r="K240" t="s">
        <v>130</v>
      </c>
      <c r="L240" t="s">
        <v>164</v>
      </c>
      <c r="M240">
        <v>22</v>
      </c>
      <c r="N240">
        <v>14</v>
      </c>
      <c r="O240">
        <v>3</v>
      </c>
      <c r="P240">
        <v>5</v>
      </c>
      <c r="Q240">
        <v>11</v>
      </c>
      <c r="R240">
        <v>10</v>
      </c>
      <c r="S240">
        <v>4</v>
      </c>
      <c r="T240">
        <v>3</v>
      </c>
      <c r="U240">
        <v>3</v>
      </c>
      <c r="V240">
        <v>1</v>
      </c>
      <c r="W240">
        <v>0</v>
      </c>
      <c r="X240">
        <v>0</v>
      </c>
      <c r="Y240">
        <v>1.36</v>
      </c>
      <c r="Z240">
        <v>4.75</v>
      </c>
      <c r="AA240">
        <v>8</v>
      </c>
      <c r="AB240">
        <v>1.37</v>
      </c>
      <c r="AC240">
        <v>5.75</v>
      </c>
      <c r="AD240">
        <v>7.25</v>
      </c>
      <c r="AE240">
        <v>1.33</v>
      </c>
      <c r="AF240">
        <v>5.5</v>
      </c>
      <c r="AG240">
        <v>7.5</v>
      </c>
      <c r="AH240">
        <v>1.36</v>
      </c>
      <c r="AI240">
        <v>5.92</v>
      </c>
      <c r="AJ240">
        <v>7.51</v>
      </c>
      <c r="AK240">
        <v>1.36</v>
      </c>
      <c r="AL240">
        <v>5</v>
      </c>
      <c r="AM240">
        <v>7</v>
      </c>
      <c r="AN240">
        <v>1.39</v>
      </c>
      <c r="AO240">
        <v>5.65</v>
      </c>
      <c r="AP240">
        <v>7.8</v>
      </c>
      <c r="AQ240">
        <v>1.39</v>
      </c>
      <c r="AR240">
        <v>5.92</v>
      </c>
      <c r="AS240">
        <v>8</v>
      </c>
      <c r="AT240">
        <v>1.36</v>
      </c>
      <c r="AU240">
        <v>5.54</v>
      </c>
      <c r="AV240">
        <v>7.58</v>
      </c>
      <c r="AW240">
        <v>1.39</v>
      </c>
      <c r="AX240">
        <v>6</v>
      </c>
      <c r="AY240">
        <v>8.6</v>
      </c>
      <c r="AZ240">
        <v>1.4</v>
      </c>
      <c r="BA240">
        <v>3</v>
      </c>
      <c r="BB240">
        <v>1.38</v>
      </c>
      <c r="BC240">
        <v>3.15</v>
      </c>
      <c r="BD240">
        <v>1.4</v>
      </c>
      <c r="BE240">
        <v>3.15</v>
      </c>
      <c r="BF240">
        <v>1.38</v>
      </c>
      <c r="BG240">
        <v>2.99</v>
      </c>
      <c r="BH240">
        <v>1.43</v>
      </c>
      <c r="BI240">
        <v>2.94</v>
      </c>
      <c r="BJ240">
        <v>-1.5</v>
      </c>
      <c r="BK240">
        <v>1.97</v>
      </c>
      <c r="BL240">
        <v>1.93</v>
      </c>
      <c r="BM240">
        <v>1.96</v>
      </c>
      <c r="BN240">
        <v>1.94</v>
      </c>
      <c r="BO240">
        <v>2</v>
      </c>
      <c r="BP240">
        <v>1.95</v>
      </c>
      <c r="BQ240">
        <v>1.95</v>
      </c>
      <c r="BR240">
        <v>1.9</v>
      </c>
      <c r="BS240">
        <v>1.88</v>
      </c>
      <c r="BT240">
        <v>2</v>
      </c>
      <c r="BU240">
        <v>1.27</v>
      </c>
      <c r="BV240">
        <v>6</v>
      </c>
      <c r="BW240">
        <v>9.5</v>
      </c>
      <c r="BX240">
        <v>1.29</v>
      </c>
      <c r="BY240">
        <v>6.25</v>
      </c>
      <c r="BZ240">
        <v>9.25</v>
      </c>
      <c r="CA240">
        <v>1.25</v>
      </c>
      <c r="CB240">
        <v>6.5</v>
      </c>
      <c r="CC240">
        <v>9.5</v>
      </c>
      <c r="CD240">
        <v>1.29</v>
      </c>
      <c r="CE240">
        <v>6.55</v>
      </c>
      <c r="CF240">
        <v>9.4499999999999993</v>
      </c>
      <c r="CG240">
        <v>1.29</v>
      </c>
      <c r="CH240">
        <v>5.8</v>
      </c>
      <c r="CI240">
        <v>9.5</v>
      </c>
      <c r="CJ240">
        <v>1.3</v>
      </c>
      <c r="CK240">
        <v>6.28</v>
      </c>
      <c r="CL240">
        <v>9.94</v>
      </c>
      <c r="CM240">
        <v>1.33</v>
      </c>
      <c r="CN240">
        <v>6.6</v>
      </c>
      <c r="CO240">
        <v>10</v>
      </c>
      <c r="CP240">
        <v>1.29</v>
      </c>
      <c r="CQ240">
        <v>6.25</v>
      </c>
      <c r="CR240">
        <v>9.4</v>
      </c>
      <c r="CS240">
        <v>1.32</v>
      </c>
      <c r="CT240">
        <v>6.8</v>
      </c>
      <c r="CU240">
        <v>10</v>
      </c>
      <c r="CV240">
        <v>1.33</v>
      </c>
      <c r="CW240">
        <v>3.4</v>
      </c>
      <c r="CX240">
        <v>1.34</v>
      </c>
      <c r="CY240">
        <v>3.34</v>
      </c>
      <c r="CZ240">
        <v>1.35</v>
      </c>
      <c r="DA240">
        <v>3.58</v>
      </c>
      <c r="DB240">
        <v>1.33</v>
      </c>
      <c r="DC240">
        <v>3.31</v>
      </c>
      <c r="DD240">
        <v>1.38</v>
      </c>
      <c r="DE240">
        <v>3.55</v>
      </c>
      <c r="DF240">
        <v>-1.75</v>
      </c>
      <c r="DG240">
        <v>1.95</v>
      </c>
      <c r="DH240">
        <v>1.95</v>
      </c>
      <c r="DI240">
        <v>1.96</v>
      </c>
      <c r="DJ240">
        <v>1.94</v>
      </c>
      <c r="DK240">
        <v>1.99</v>
      </c>
      <c r="DL240">
        <v>1.97</v>
      </c>
      <c r="DM240">
        <v>1.94</v>
      </c>
      <c r="DN240">
        <v>1.91</v>
      </c>
      <c r="DO240">
        <v>2.04</v>
      </c>
      <c r="DP240">
        <v>1.95</v>
      </c>
    </row>
    <row r="241" spans="1:120" x14ac:dyDescent="0.3">
      <c r="A241" t="s">
        <v>120</v>
      </c>
      <c r="B241" s="2">
        <v>45993</v>
      </c>
      <c r="C241" s="1">
        <v>0.8125</v>
      </c>
      <c r="D241" t="s">
        <v>135</v>
      </c>
      <c r="E241" t="s">
        <v>129</v>
      </c>
      <c r="F241">
        <v>2</v>
      </c>
      <c r="G241">
        <v>2</v>
      </c>
      <c r="H241" t="s">
        <v>125</v>
      </c>
      <c r="I241">
        <v>1</v>
      </c>
      <c r="J241">
        <v>1</v>
      </c>
      <c r="K241" t="s">
        <v>125</v>
      </c>
      <c r="L241" t="s">
        <v>143</v>
      </c>
      <c r="M241">
        <v>10</v>
      </c>
      <c r="N241">
        <v>6</v>
      </c>
      <c r="O241">
        <v>3</v>
      </c>
      <c r="P241">
        <v>4</v>
      </c>
      <c r="Q241">
        <v>9</v>
      </c>
      <c r="R241">
        <v>20</v>
      </c>
      <c r="S241">
        <v>2</v>
      </c>
      <c r="T241">
        <v>3</v>
      </c>
      <c r="U241">
        <v>2</v>
      </c>
      <c r="V241">
        <v>2</v>
      </c>
      <c r="W241">
        <v>1</v>
      </c>
      <c r="X241">
        <v>1</v>
      </c>
      <c r="Y241">
        <v>7.5</v>
      </c>
      <c r="Z241">
        <v>4.5</v>
      </c>
      <c r="AA241">
        <v>1.44</v>
      </c>
      <c r="AE241">
        <v>7.5</v>
      </c>
      <c r="AF241">
        <v>4.75</v>
      </c>
      <c r="AG241">
        <v>1.4</v>
      </c>
      <c r="AH241">
        <v>7.36</v>
      </c>
      <c r="AI241">
        <v>4.7300000000000004</v>
      </c>
      <c r="AJ241">
        <v>1.45</v>
      </c>
      <c r="AK241">
        <v>7</v>
      </c>
      <c r="AL241">
        <v>4.5999999999999996</v>
      </c>
      <c r="AM241">
        <v>1.44</v>
      </c>
      <c r="AN241">
        <v>7.5</v>
      </c>
      <c r="AO241">
        <v>4.84</v>
      </c>
      <c r="AP241">
        <v>1.46</v>
      </c>
      <c r="AQ241">
        <v>8</v>
      </c>
      <c r="AR241">
        <v>4.9000000000000004</v>
      </c>
      <c r="AS241">
        <v>1.46</v>
      </c>
      <c r="AT241">
        <v>7.36</v>
      </c>
      <c r="AU241">
        <v>4.71</v>
      </c>
      <c r="AV241">
        <v>1.44</v>
      </c>
      <c r="AW241">
        <v>8</v>
      </c>
      <c r="AX241">
        <v>5</v>
      </c>
      <c r="AY241">
        <v>1.48</v>
      </c>
      <c r="AZ241">
        <v>1.73</v>
      </c>
      <c r="BA241">
        <v>2.1</v>
      </c>
      <c r="BB241">
        <v>1.73</v>
      </c>
      <c r="BC241">
        <v>2.1800000000000002</v>
      </c>
      <c r="BD241">
        <v>1.75</v>
      </c>
      <c r="BE241">
        <v>2.2799999999999998</v>
      </c>
      <c r="BF241">
        <v>1.71</v>
      </c>
      <c r="BG241">
        <v>2.1800000000000002</v>
      </c>
      <c r="BH241">
        <v>1.75</v>
      </c>
      <c r="BI241">
        <v>2.2799999999999998</v>
      </c>
      <c r="BJ241">
        <v>1.25</v>
      </c>
      <c r="BK241">
        <v>1.89</v>
      </c>
      <c r="BL241">
        <v>2.0099999999999998</v>
      </c>
      <c r="BM241">
        <v>1.89</v>
      </c>
      <c r="BN241">
        <v>2.0099999999999998</v>
      </c>
      <c r="BO241">
        <v>1.93</v>
      </c>
      <c r="BP241">
        <v>2.0099999999999998</v>
      </c>
      <c r="BQ241">
        <v>1.88</v>
      </c>
      <c r="BR241">
        <v>1.95</v>
      </c>
      <c r="BS241">
        <v>1.95</v>
      </c>
      <c r="BT241">
        <v>2.0099999999999998</v>
      </c>
      <c r="BU241">
        <v>7</v>
      </c>
      <c r="BV241">
        <v>4.33</v>
      </c>
      <c r="BW241">
        <v>1.45</v>
      </c>
      <c r="CA241">
        <v>7</v>
      </c>
      <c r="CB241">
        <v>4.33</v>
      </c>
      <c r="CC241">
        <v>1.44</v>
      </c>
      <c r="CD241">
        <v>7.9</v>
      </c>
      <c r="CE241">
        <v>4.6500000000000004</v>
      </c>
      <c r="CF241">
        <v>1.45</v>
      </c>
      <c r="CG241">
        <v>7</v>
      </c>
      <c r="CH241">
        <v>4.5</v>
      </c>
      <c r="CI241">
        <v>1.44</v>
      </c>
      <c r="CJ241">
        <v>7.54</v>
      </c>
      <c r="CK241">
        <v>4.4800000000000004</v>
      </c>
      <c r="CL241">
        <v>1.48</v>
      </c>
      <c r="CM241">
        <v>7.9</v>
      </c>
      <c r="CN241">
        <v>4.7</v>
      </c>
      <c r="CO241">
        <v>1.48</v>
      </c>
      <c r="CP241">
        <v>7.49</v>
      </c>
      <c r="CQ241">
        <v>4.55</v>
      </c>
      <c r="CR241">
        <v>1.46</v>
      </c>
      <c r="CS241">
        <v>8</v>
      </c>
      <c r="CT241">
        <v>4.7</v>
      </c>
      <c r="CU241">
        <v>1.5</v>
      </c>
      <c r="CV241">
        <v>1.8</v>
      </c>
      <c r="CW241">
        <v>2</v>
      </c>
      <c r="CX241">
        <v>1.83</v>
      </c>
      <c r="CY241">
        <v>2.0499999999999998</v>
      </c>
      <c r="CZ241">
        <v>1.87</v>
      </c>
      <c r="DA241">
        <v>2.17</v>
      </c>
      <c r="DB241">
        <v>1.8</v>
      </c>
      <c r="DC241">
        <v>2.0499999999999998</v>
      </c>
      <c r="DD241">
        <v>1.88</v>
      </c>
      <c r="DE241">
        <v>2.12</v>
      </c>
      <c r="DF241">
        <v>1.25</v>
      </c>
      <c r="DG241">
        <v>1.84</v>
      </c>
      <c r="DH241">
        <v>2.06</v>
      </c>
      <c r="DI241">
        <v>1.87</v>
      </c>
      <c r="DJ241">
        <v>2.0699999999999998</v>
      </c>
      <c r="DK241">
        <v>1.89</v>
      </c>
      <c r="DL241">
        <v>2.09</v>
      </c>
      <c r="DM241">
        <v>1.84</v>
      </c>
      <c r="DN241">
        <v>2.02</v>
      </c>
      <c r="DO241">
        <v>1.9</v>
      </c>
      <c r="DP241">
        <v>2.08</v>
      </c>
    </row>
    <row r="242" spans="1:120" x14ac:dyDescent="0.3">
      <c r="A242" t="s">
        <v>120</v>
      </c>
      <c r="B242" t="s">
        <v>208</v>
      </c>
      <c r="C242" s="1">
        <v>0.83333333333333337</v>
      </c>
      <c r="D242" t="s">
        <v>136</v>
      </c>
      <c r="E242" t="s">
        <v>151</v>
      </c>
      <c r="F242">
        <v>3</v>
      </c>
      <c r="G242">
        <v>0</v>
      </c>
      <c r="H242" t="s">
        <v>124</v>
      </c>
      <c r="I242">
        <v>2</v>
      </c>
      <c r="J242">
        <v>0</v>
      </c>
      <c r="K242" t="s">
        <v>124</v>
      </c>
      <c r="L242" t="s">
        <v>209</v>
      </c>
      <c r="M242">
        <v>13</v>
      </c>
      <c r="N242">
        <v>8</v>
      </c>
      <c r="O242">
        <v>5</v>
      </c>
      <c r="P242">
        <v>0</v>
      </c>
      <c r="Q242">
        <v>12</v>
      </c>
      <c r="R242">
        <v>15</v>
      </c>
      <c r="S242">
        <v>2</v>
      </c>
      <c r="T242">
        <v>9</v>
      </c>
      <c r="U242">
        <v>1</v>
      </c>
      <c r="V242">
        <v>2</v>
      </c>
      <c r="W242">
        <v>0</v>
      </c>
      <c r="X242">
        <v>0</v>
      </c>
      <c r="Y242">
        <v>2.7</v>
      </c>
      <c r="Z242">
        <v>3.6</v>
      </c>
      <c r="AA242">
        <v>2.4500000000000002</v>
      </c>
      <c r="AE242">
        <v>2.88</v>
      </c>
      <c r="AF242">
        <v>3.5</v>
      </c>
      <c r="AG242">
        <v>2.4</v>
      </c>
      <c r="AH242">
        <v>2.92</v>
      </c>
      <c r="AI242">
        <v>3.65</v>
      </c>
      <c r="AJ242">
        <v>2.4300000000000002</v>
      </c>
      <c r="AK242">
        <v>2.8</v>
      </c>
      <c r="AL242">
        <v>3.6</v>
      </c>
      <c r="AM242">
        <v>2.38</v>
      </c>
      <c r="AN242">
        <v>2.86</v>
      </c>
      <c r="AO242">
        <v>3.83</v>
      </c>
      <c r="AP242">
        <v>2.41</v>
      </c>
      <c r="AQ242">
        <v>3</v>
      </c>
      <c r="AR242">
        <v>3.83</v>
      </c>
      <c r="AS242">
        <v>2.5099999999999998</v>
      </c>
      <c r="AT242">
        <v>2.85</v>
      </c>
      <c r="AU242">
        <v>3.6</v>
      </c>
      <c r="AV242">
        <v>2.4300000000000002</v>
      </c>
      <c r="AW242">
        <v>3</v>
      </c>
      <c r="AX242">
        <v>3.7</v>
      </c>
      <c r="AY242">
        <v>2.5</v>
      </c>
      <c r="AZ242">
        <v>1.57</v>
      </c>
      <c r="BA242">
        <v>2.38</v>
      </c>
      <c r="BB242">
        <v>1.61</v>
      </c>
      <c r="BC242">
        <v>2.4300000000000002</v>
      </c>
      <c r="BD242">
        <v>1.62</v>
      </c>
      <c r="BE242">
        <v>2.4700000000000002</v>
      </c>
      <c r="BF242">
        <v>1.58</v>
      </c>
      <c r="BG242">
        <v>2.42</v>
      </c>
      <c r="BH242">
        <v>1.65</v>
      </c>
      <c r="BI242">
        <v>2.48</v>
      </c>
      <c r="BJ242">
        <v>0.25</v>
      </c>
      <c r="BK242">
        <v>1.73</v>
      </c>
      <c r="BL242">
        <v>2.08</v>
      </c>
      <c r="BM242">
        <v>1.83</v>
      </c>
      <c r="BN242">
        <v>2.12</v>
      </c>
      <c r="BO242">
        <v>1.82</v>
      </c>
      <c r="BP242">
        <v>2.16</v>
      </c>
      <c r="BQ242">
        <v>1.78</v>
      </c>
      <c r="BR242">
        <v>2.08</v>
      </c>
      <c r="BS242">
        <v>1.84</v>
      </c>
      <c r="BT242">
        <v>2.16</v>
      </c>
      <c r="BU242">
        <v>2.9</v>
      </c>
      <c r="BV242">
        <v>3.7</v>
      </c>
      <c r="BW242">
        <v>2.2999999999999998</v>
      </c>
      <c r="CA242">
        <v>2.88</v>
      </c>
      <c r="CB242">
        <v>3.5</v>
      </c>
      <c r="CC242">
        <v>2.4</v>
      </c>
      <c r="CD242">
        <v>2.95</v>
      </c>
      <c r="CE242">
        <v>3.78</v>
      </c>
      <c r="CF242">
        <v>2.36</v>
      </c>
      <c r="CG242">
        <v>2.9</v>
      </c>
      <c r="CH242">
        <v>3.4</v>
      </c>
      <c r="CI242">
        <v>2.4</v>
      </c>
      <c r="CJ242">
        <v>3.11</v>
      </c>
      <c r="CK242">
        <v>3.77</v>
      </c>
      <c r="CL242">
        <v>2.2599999999999998</v>
      </c>
      <c r="CM242">
        <v>3.11</v>
      </c>
      <c r="CN242">
        <v>3.8</v>
      </c>
      <c r="CO242">
        <v>2.4300000000000002</v>
      </c>
      <c r="CP242">
        <v>2.93</v>
      </c>
      <c r="CQ242">
        <v>3.66</v>
      </c>
      <c r="CR242">
        <v>2.36</v>
      </c>
      <c r="CS242">
        <v>3</v>
      </c>
      <c r="CT242">
        <v>3.75</v>
      </c>
      <c r="CU242">
        <v>2.46</v>
      </c>
      <c r="CV242">
        <v>1.57</v>
      </c>
      <c r="CW242">
        <v>2.38</v>
      </c>
      <c r="CX242">
        <v>1.6</v>
      </c>
      <c r="CY242">
        <v>2.46</v>
      </c>
      <c r="CZ242">
        <v>1.64</v>
      </c>
      <c r="DA242">
        <v>2.5499999999999998</v>
      </c>
      <c r="DB242">
        <v>1.59</v>
      </c>
      <c r="DC242">
        <v>2.4300000000000002</v>
      </c>
      <c r="DD242">
        <v>1.61</v>
      </c>
      <c r="DE242">
        <v>2.6</v>
      </c>
      <c r="DF242">
        <v>0.25</v>
      </c>
      <c r="DG242">
        <v>1.86</v>
      </c>
      <c r="DH242">
        <v>2.04</v>
      </c>
      <c r="DI242">
        <v>1.87</v>
      </c>
      <c r="DJ242">
        <v>2.0699999999999998</v>
      </c>
      <c r="DK242">
        <v>1.91</v>
      </c>
      <c r="DL242">
        <v>2.12</v>
      </c>
      <c r="DM242">
        <v>1.83</v>
      </c>
      <c r="DN242">
        <v>2.0299999999999998</v>
      </c>
      <c r="DO242">
        <v>1.86</v>
      </c>
      <c r="DP242">
        <v>2.13</v>
      </c>
    </row>
    <row r="243" spans="1:120" x14ac:dyDescent="0.3">
      <c r="A243" t="s">
        <v>120</v>
      </c>
      <c r="B243" t="s">
        <v>210</v>
      </c>
      <c r="C243" s="1">
        <v>0.52083333333333337</v>
      </c>
      <c r="D243" t="s">
        <v>155</v>
      </c>
      <c r="E243" t="s">
        <v>132</v>
      </c>
      <c r="F243">
        <v>0</v>
      </c>
      <c r="G243">
        <v>2</v>
      </c>
      <c r="H243" t="s">
        <v>130</v>
      </c>
      <c r="I243">
        <v>0</v>
      </c>
      <c r="J243">
        <v>0</v>
      </c>
      <c r="K243" t="s">
        <v>125</v>
      </c>
      <c r="L243" t="s">
        <v>150</v>
      </c>
      <c r="M243">
        <v>6</v>
      </c>
      <c r="N243">
        <v>11</v>
      </c>
      <c r="O243">
        <v>2</v>
      </c>
      <c r="P243">
        <v>5</v>
      </c>
      <c r="Q243">
        <v>9</v>
      </c>
      <c r="R243">
        <v>10</v>
      </c>
      <c r="S243">
        <v>3</v>
      </c>
      <c r="T243">
        <v>7</v>
      </c>
      <c r="U243">
        <v>2</v>
      </c>
      <c r="V243">
        <v>1</v>
      </c>
      <c r="W243">
        <v>0</v>
      </c>
      <c r="X243">
        <v>0</v>
      </c>
      <c r="Y243">
        <v>8.5</v>
      </c>
      <c r="Z243">
        <v>5</v>
      </c>
      <c r="AA243">
        <v>1.33</v>
      </c>
      <c r="AE243">
        <v>10.5</v>
      </c>
      <c r="AF243">
        <v>5</v>
      </c>
      <c r="AG243">
        <v>1.3</v>
      </c>
      <c r="AH243">
        <v>9.4700000000000006</v>
      </c>
      <c r="AI243">
        <v>5.42</v>
      </c>
      <c r="AJ243">
        <v>1.34</v>
      </c>
      <c r="AK243">
        <v>9.5</v>
      </c>
      <c r="AL243">
        <v>5</v>
      </c>
      <c r="AM243">
        <v>1.33</v>
      </c>
      <c r="AN243">
        <v>9.65</v>
      </c>
      <c r="AO243">
        <v>5.4</v>
      </c>
      <c r="AP243">
        <v>1.36</v>
      </c>
      <c r="AQ243">
        <v>10.5</v>
      </c>
      <c r="AR243">
        <v>5.6</v>
      </c>
      <c r="AS243">
        <v>1.36</v>
      </c>
      <c r="AT243">
        <v>9.4499999999999993</v>
      </c>
      <c r="AU243">
        <v>5.29</v>
      </c>
      <c r="AV243">
        <v>1.34</v>
      </c>
      <c r="AW243">
        <v>11</v>
      </c>
      <c r="AX243">
        <v>5.8</v>
      </c>
      <c r="AY243">
        <v>1.34</v>
      </c>
      <c r="AZ243">
        <v>1.73</v>
      </c>
      <c r="BA243">
        <v>2.1</v>
      </c>
      <c r="BB243">
        <v>1.73</v>
      </c>
      <c r="BC243">
        <v>2.1800000000000002</v>
      </c>
      <c r="BD243">
        <v>1.75</v>
      </c>
      <c r="BE243">
        <v>2.2400000000000002</v>
      </c>
      <c r="BF243">
        <v>1.71</v>
      </c>
      <c r="BG243">
        <v>2.17</v>
      </c>
      <c r="BH243">
        <v>1.76</v>
      </c>
      <c r="BI243">
        <v>2.2599999999999998</v>
      </c>
      <c r="BJ243">
        <v>1.5</v>
      </c>
      <c r="BK243">
        <v>1.87</v>
      </c>
      <c r="BL243">
        <v>2.0299999999999998</v>
      </c>
      <c r="BM243">
        <v>1.88</v>
      </c>
      <c r="BN243">
        <v>2.02</v>
      </c>
      <c r="BO243">
        <v>1.92</v>
      </c>
      <c r="BP243">
        <v>2.06</v>
      </c>
      <c r="BQ243">
        <v>1.87</v>
      </c>
      <c r="BR243">
        <v>1.99</v>
      </c>
      <c r="BS243">
        <v>1.9</v>
      </c>
      <c r="BT243">
        <v>2.06</v>
      </c>
      <c r="BU243">
        <v>9.5</v>
      </c>
      <c r="BV243">
        <v>5.25</v>
      </c>
      <c r="BW243">
        <v>1.33</v>
      </c>
      <c r="CA243">
        <v>10</v>
      </c>
      <c r="CB243">
        <v>5.5</v>
      </c>
      <c r="CC243">
        <v>1.3</v>
      </c>
      <c r="CD243">
        <v>10.15</v>
      </c>
      <c r="CE243">
        <v>5.52</v>
      </c>
      <c r="CF243">
        <v>1.33</v>
      </c>
      <c r="CG243">
        <v>10</v>
      </c>
      <c r="CH243">
        <v>5</v>
      </c>
      <c r="CI243">
        <v>1.3</v>
      </c>
      <c r="CJ243">
        <v>9.64</v>
      </c>
      <c r="CK243">
        <v>5.33</v>
      </c>
      <c r="CL243">
        <v>1.35</v>
      </c>
      <c r="CM243">
        <v>11</v>
      </c>
      <c r="CN243">
        <v>5.7</v>
      </c>
      <c r="CO243">
        <v>1.35</v>
      </c>
      <c r="CP243">
        <v>10.1</v>
      </c>
      <c r="CQ243">
        <v>5.41</v>
      </c>
      <c r="CR243">
        <v>1.32</v>
      </c>
      <c r="CS243">
        <v>11</v>
      </c>
      <c r="CT243">
        <v>5.7</v>
      </c>
      <c r="CU243">
        <v>1.35</v>
      </c>
      <c r="CV243">
        <v>1.73</v>
      </c>
      <c r="CW243">
        <v>2.1</v>
      </c>
      <c r="CX243">
        <v>1.74</v>
      </c>
      <c r="CY243">
        <v>2.2000000000000002</v>
      </c>
      <c r="CZ243">
        <v>1.76</v>
      </c>
      <c r="DA243">
        <v>2.25</v>
      </c>
      <c r="DB243">
        <v>1.72</v>
      </c>
      <c r="DC243">
        <v>2.17</v>
      </c>
      <c r="DD243">
        <v>1.79</v>
      </c>
      <c r="DE243">
        <v>2.2599999999999998</v>
      </c>
      <c r="DF243">
        <v>1.5</v>
      </c>
      <c r="DG243">
        <v>1.91</v>
      </c>
      <c r="DH243">
        <v>2.02</v>
      </c>
      <c r="DI243">
        <v>1.91</v>
      </c>
      <c r="DJ243">
        <v>2.02</v>
      </c>
      <c r="DK243">
        <v>1.95</v>
      </c>
      <c r="DL243">
        <v>2.02</v>
      </c>
      <c r="DM243">
        <v>1.9</v>
      </c>
      <c r="DN243">
        <v>1.97</v>
      </c>
      <c r="DO243">
        <v>1.96</v>
      </c>
      <c r="DP243">
        <v>2.02</v>
      </c>
    </row>
    <row r="244" spans="1:120" x14ac:dyDescent="0.3">
      <c r="A244" t="s">
        <v>120</v>
      </c>
      <c r="B244" t="s">
        <v>210</v>
      </c>
      <c r="C244" s="1">
        <v>0.625</v>
      </c>
      <c r="D244" t="s">
        <v>145</v>
      </c>
      <c r="E244" t="s">
        <v>128</v>
      </c>
      <c r="F244">
        <v>1</v>
      </c>
      <c r="G244">
        <v>1</v>
      </c>
      <c r="H244" t="s">
        <v>125</v>
      </c>
      <c r="I244">
        <v>0</v>
      </c>
      <c r="J244">
        <v>0</v>
      </c>
      <c r="K244" t="s">
        <v>125</v>
      </c>
      <c r="L244" t="s">
        <v>126</v>
      </c>
      <c r="M244">
        <v>25</v>
      </c>
      <c r="N244">
        <v>4</v>
      </c>
      <c r="O244">
        <v>6</v>
      </c>
      <c r="P244">
        <v>3</v>
      </c>
      <c r="Q244">
        <v>7</v>
      </c>
      <c r="R244">
        <v>11</v>
      </c>
      <c r="S244">
        <v>16</v>
      </c>
      <c r="T244">
        <v>1</v>
      </c>
      <c r="U244">
        <v>0</v>
      </c>
      <c r="V244">
        <v>3</v>
      </c>
      <c r="W244">
        <v>0</v>
      </c>
      <c r="X244">
        <v>1</v>
      </c>
      <c r="Y244">
        <v>1.4</v>
      </c>
      <c r="Z244">
        <v>4.75</v>
      </c>
      <c r="AA244">
        <v>7</v>
      </c>
      <c r="AE244">
        <v>1.4</v>
      </c>
      <c r="AF244">
        <v>5</v>
      </c>
      <c r="AG244">
        <v>7.5</v>
      </c>
      <c r="AH244">
        <v>1.41</v>
      </c>
      <c r="AI244">
        <v>5.0199999999999996</v>
      </c>
      <c r="AJ244">
        <v>7.6</v>
      </c>
      <c r="AK244">
        <v>1.4</v>
      </c>
      <c r="AL244">
        <v>4.75</v>
      </c>
      <c r="AM244">
        <v>7</v>
      </c>
      <c r="AN244">
        <v>1.43</v>
      </c>
      <c r="AO244">
        <v>5.14</v>
      </c>
      <c r="AP244">
        <v>7.6</v>
      </c>
      <c r="AQ244">
        <v>1.43</v>
      </c>
      <c r="AR244">
        <v>5.2</v>
      </c>
      <c r="AS244">
        <v>8.1999999999999993</v>
      </c>
      <c r="AT244">
        <v>1.41</v>
      </c>
      <c r="AU244">
        <v>4.96</v>
      </c>
      <c r="AV244">
        <v>7.45</v>
      </c>
      <c r="AW244">
        <v>1.45</v>
      </c>
      <c r="AX244">
        <v>5.2</v>
      </c>
      <c r="AY244">
        <v>8.1999999999999993</v>
      </c>
      <c r="AZ244">
        <v>1.57</v>
      </c>
      <c r="BA244">
        <v>2.38</v>
      </c>
      <c r="BB244">
        <v>1.58</v>
      </c>
      <c r="BC244">
        <v>2.4900000000000002</v>
      </c>
      <c r="BD244">
        <v>1.62</v>
      </c>
      <c r="BE244">
        <v>2.4900000000000002</v>
      </c>
      <c r="BF244">
        <v>1.58</v>
      </c>
      <c r="BG244">
        <v>2.41</v>
      </c>
      <c r="BH244">
        <v>1.63</v>
      </c>
      <c r="BI244">
        <v>2.5</v>
      </c>
      <c r="BJ244">
        <v>-1.25</v>
      </c>
      <c r="BK244">
        <v>1.92</v>
      </c>
      <c r="BL244">
        <v>1.98</v>
      </c>
      <c r="BM244">
        <v>1.91</v>
      </c>
      <c r="BN244">
        <v>2</v>
      </c>
      <c r="BO244">
        <v>1.95</v>
      </c>
      <c r="BP244">
        <v>2</v>
      </c>
      <c r="BQ244">
        <v>1.88</v>
      </c>
      <c r="BR244">
        <v>1.96</v>
      </c>
      <c r="BS244">
        <v>1.93</v>
      </c>
      <c r="BT244">
        <v>2.02</v>
      </c>
      <c r="BU244">
        <v>1.42</v>
      </c>
      <c r="BV244">
        <v>4.75</v>
      </c>
      <c r="BW244">
        <v>7</v>
      </c>
      <c r="CA244">
        <v>1.36</v>
      </c>
      <c r="CB244">
        <v>4.75</v>
      </c>
      <c r="CC244">
        <v>7</v>
      </c>
      <c r="CD244">
        <v>1.44</v>
      </c>
      <c r="CE244">
        <v>4.99</v>
      </c>
      <c r="CF244">
        <v>7.41</v>
      </c>
      <c r="CG244">
        <v>1.4</v>
      </c>
      <c r="CH244">
        <v>4.8</v>
      </c>
      <c r="CI244">
        <v>6.5</v>
      </c>
      <c r="CJ244">
        <v>1.46</v>
      </c>
      <c r="CK244">
        <v>4.92</v>
      </c>
      <c r="CL244">
        <v>7.02</v>
      </c>
      <c r="CM244">
        <v>1.46</v>
      </c>
      <c r="CN244">
        <v>5.0999999999999996</v>
      </c>
      <c r="CO244">
        <v>8</v>
      </c>
      <c r="CP244">
        <v>1.43</v>
      </c>
      <c r="CQ244">
        <v>4.9400000000000004</v>
      </c>
      <c r="CR244">
        <v>7.18</v>
      </c>
      <c r="CS244">
        <v>1.45</v>
      </c>
      <c r="CT244">
        <v>5.2</v>
      </c>
      <c r="CU244">
        <v>8.1999999999999993</v>
      </c>
      <c r="CV244">
        <v>1.57</v>
      </c>
      <c r="CW244">
        <v>2.38</v>
      </c>
      <c r="CX244">
        <v>1.56</v>
      </c>
      <c r="CY244">
        <v>2.5299999999999998</v>
      </c>
      <c r="CZ244">
        <v>1.57</v>
      </c>
      <c r="DA244">
        <v>2.66</v>
      </c>
      <c r="DB244">
        <v>1.53</v>
      </c>
      <c r="DC244">
        <v>2.5499999999999998</v>
      </c>
      <c r="DD244">
        <v>1.59</v>
      </c>
      <c r="DE244">
        <v>2.66</v>
      </c>
      <c r="DF244">
        <v>-1.25</v>
      </c>
      <c r="DG244">
        <v>1.95</v>
      </c>
      <c r="DH244">
        <v>1.98</v>
      </c>
      <c r="DI244">
        <v>1.94</v>
      </c>
      <c r="DJ244">
        <v>1.98</v>
      </c>
      <c r="DK244">
        <v>1.96</v>
      </c>
      <c r="DL244">
        <v>2.02</v>
      </c>
      <c r="DM244">
        <v>1.91</v>
      </c>
      <c r="DN244">
        <v>1.96</v>
      </c>
      <c r="DO244">
        <v>1.96</v>
      </c>
      <c r="DP244">
        <v>2.02</v>
      </c>
    </row>
    <row r="245" spans="1:120" x14ac:dyDescent="0.3">
      <c r="A245" t="s">
        <v>120</v>
      </c>
      <c r="B245" t="s">
        <v>210</v>
      </c>
      <c r="C245" s="1">
        <v>0.625</v>
      </c>
      <c r="D245" t="s">
        <v>123</v>
      </c>
      <c r="E245" t="s">
        <v>141</v>
      </c>
      <c r="F245">
        <v>2</v>
      </c>
      <c r="G245">
        <v>1</v>
      </c>
      <c r="H245" t="s">
        <v>124</v>
      </c>
      <c r="I245">
        <v>1</v>
      </c>
      <c r="J245">
        <v>1</v>
      </c>
      <c r="K245" t="s">
        <v>125</v>
      </c>
      <c r="L245" t="s">
        <v>185</v>
      </c>
      <c r="M245">
        <v>24</v>
      </c>
      <c r="N245">
        <v>8</v>
      </c>
      <c r="O245">
        <v>10</v>
      </c>
      <c r="P245">
        <v>2</v>
      </c>
      <c r="Q245">
        <v>13</v>
      </c>
      <c r="R245">
        <v>8</v>
      </c>
      <c r="S245">
        <v>8</v>
      </c>
      <c r="T245">
        <v>4</v>
      </c>
      <c r="U245">
        <v>0</v>
      </c>
      <c r="V245">
        <v>0</v>
      </c>
      <c r="W245">
        <v>0</v>
      </c>
      <c r="X245">
        <v>0</v>
      </c>
      <c r="Y245">
        <v>2.2000000000000002</v>
      </c>
      <c r="Z245">
        <v>3.4</v>
      </c>
      <c r="AA245">
        <v>3.3</v>
      </c>
      <c r="AE245">
        <v>2.25</v>
      </c>
      <c r="AF245">
        <v>3.3</v>
      </c>
      <c r="AG245">
        <v>3.4</v>
      </c>
      <c r="AH245">
        <v>2.23</v>
      </c>
      <c r="AI245">
        <v>3.38</v>
      </c>
      <c r="AJ245">
        <v>3.47</v>
      </c>
      <c r="AK245">
        <v>2.2000000000000002</v>
      </c>
      <c r="AL245">
        <v>3.3</v>
      </c>
      <c r="AM245">
        <v>3.3</v>
      </c>
      <c r="AN245">
        <v>2.23</v>
      </c>
      <c r="AO245">
        <v>3.48</v>
      </c>
      <c r="AP245">
        <v>3.44</v>
      </c>
      <c r="AQ245">
        <v>2.2799999999999998</v>
      </c>
      <c r="AR245">
        <v>3.48</v>
      </c>
      <c r="AS245">
        <v>3.52</v>
      </c>
      <c r="AT245">
        <v>2.2200000000000002</v>
      </c>
      <c r="AU245">
        <v>3.35</v>
      </c>
      <c r="AV245">
        <v>3.39</v>
      </c>
      <c r="AW245">
        <v>2.2999999999999998</v>
      </c>
      <c r="AX245">
        <v>3.4</v>
      </c>
      <c r="AY245">
        <v>3.55</v>
      </c>
      <c r="AZ245">
        <v>2.1</v>
      </c>
      <c r="BA245">
        <v>1.73</v>
      </c>
      <c r="BB245">
        <v>2.13</v>
      </c>
      <c r="BC245">
        <v>1.77</v>
      </c>
      <c r="BD245">
        <v>2.16</v>
      </c>
      <c r="BE245">
        <v>1.8</v>
      </c>
      <c r="BF245">
        <v>2.1</v>
      </c>
      <c r="BG245">
        <v>1.76</v>
      </c>
      <c r="BH245">
        <v>2.14</v>
      </c>
      <c r="BI245">
        <v>1.83</v>
      </c>
      <c r="BJ245">
        <v>-0.25</v>
      </c>
      <c r="BK245">
        <v>1.92</v>
      </c>
      <c r="BL245">
        <v>1.98</v>
      </c>
      <c r="BM245">
        <v>1.92</v>
      </c>
      <c r="BN245">
        <v>1.99</v>
      </c>
      <c r="BO245">
        <v>1.95</v>
      </c>
      <c r="BP245">
        <v>2.02</v>
      </c>
      <c r="BQ245">
        <v>1.89</v>
      </c>
      <c r="BR245">
        <v>1.95</v>
      </c>
      <c r="BS245">
        <v>1.96</v>
      </c>
      <c r="BT245">
        <v>2.0099999999999998</v>
      </c>
      <c r="BU245">
        <v>2.1</v>
      </c>
      <c r="BV245">
        <v>3.4</v>
      </c>
      <c r="BW245">
        <v>3.5</v>
      </c>
      <c r="CA245">
        <v>2.1</v>
      </c>
      <c r="CB245">
        <v>3.3</v>
      </c>
      <c r="CC245">
        <v>3.5</v>
      </c>
      <c r="CD245">
        <v>2.12</v>
      </c>
      <c r="CE245">
        <v>3.55</v>
      </c>
      <c r="CF245">
        <v>3.63</v>
      </c>
      <c r="CG245">
        <v>2.1</v>
      </c>
      <c r="CH245">
        <v>3.4</v>
      </c>
      <c r="CI245">
        <v>3.5</v>
      </c>
      <c r="CJ245">
        <v>2.27</v>
      </c>
      <c r="CK245">
        <v>3.48</v>
      </c>
      <c r="CL245">
        <v>3.31</v>
      </c>
      <c r="CM245">
        <v>2.27</v>
      </c>
      <c r="CN245">
        <v>3.55</v>
      </c>
      <c r="CO245">
        <v>3.67</v>
      </c>
      <c r="CP245">
        <v>2.16</v>
      </c>
      <c r="CQ245">
        <v>3.44</v>
      </c>
      <c r="CR245">
        <v>3.5</v>
      </c>
      <c r="CS245">
        <v>2.2200000000000002</v>
      </c>
      <c r="CT245">
        <v>3.6</v>
      </c>
      <c r="CU245">
        <v>3.6</v>
      </c>
      <c r="CV245">
        <v>1.98</v>
      </c>
      <c r="CW245">
        <v>1.92</v>
      </c>
      <c r="CX245">
        <v>1.98</v>
      </c>
      <c r="CY245">
        <v>1.93</v>
      </c>
      <c r="CZ245">
        <v>2.04</v>
      </c>
      <c r="DA245">
        <v>1.94</v>
      </c>
      <c r="DB245">
        <v>1.97</v>
      </c>
      <c r="DC245">
        <v>1.89</v>
      </c>
      <c r="DD245">
        <v>2.02</v>
      </c>
      <c r="DE245">
        <v>1.96</v>
      </c>
      <c r="DF245">
        <v>-0.25</v>
      </c>
      <c r="DG245">
        <v>1.85</v>
      </c>
      <c r="DH245">
        <v>2.08</v>
      </c>
      <c r="DI245">
        <v>1.84</v>
      </c>
      <c r="DJ245">
        <v>2.1</v>
      </c>
      <c r="DK245">
        <v>1.95</v>
      </c>
      <c r="DL245">
        <v>2.1</v>
      </c>
      <c r="DM245">
        <v>1.86</v>
      </c>
      <c r="DN245">
        <v>2.0099999999999998</v>
      </c>
      <c r="DO245">
        <v>1.92</v>
      </c>
      <c r="DP245">
        <v>2.0699999999999998</v>
      </c>
    </row>
    <row r="246" spans="1:120" x14ac:dyDescent="0.3">
      <c r="A246" t="s">
        <v>120</v>
      </c>
      <c r="B246" t="s">
        <v>210</v>
      </c>
      <c r="C246" s="1">
        <v>0.625</v>
      </c>
      <c r="D246" t="s">
        <v>152</v>
      </c>
      <c r="E246" t="s">
        <v>138</v>
      </c>
      <c r="F246">
        <v>4</v>
      </c>
      <c r="G246">
        <v>0</v>
      </c>
      <c r="H246" t="s">
        <v>124</v>
      </c>
      <c r="I246">
        <v>3</v>
      </c>
      <c r="J246">
        <v>0</v>
      </c>
      <c r="K246" t="s">
        <v>124</v>
      </c>
      <c r="L246" t="s">
        <v>176</v>
      </c>
      <c r="M246">
        <v>11</v>
      </c>
      <c r="N246">
        <v>3</v>
      </c>
      <c r="O246">
        <v>7</v>
      </c>
      <c r="P246">
        <v>1</v>
      </c>
      <c r="Q246">
        <v>5</v>
      </c>
      <c r="R246">
        <v>13</v>
      </c>
      <c r="S246">
        <v>7</v>
      </c>
      <c r="T246">
        <v>4</v>
      </c>
      <c r="U246">
        <v>0</v>
      </c>
      <c r="V246">
        <v>1</v>
      </c>
      <c r="W246">
        <v>0</v>
      </c>
      <c r="X246">
        <v>0</v>
      </c>
      <c r="Y246">
        <v>1.95</v>
      </c>
      <c r="Z246">
        <v>4.2</v>
      </c>
      <c r="AA246">
        <v>3.3</v>
      </c>
      <c r="AE246">
        <v>1.95</v>
      </c>
      <c r="AF246">
        <v>4.0999999999999996</v>
      </c>
      <c r="AG246">
        <v>3.5</v>
      </c>
      <c r="AH246">
        <v>1.99</v>
      </c>
      <c r="AI246">
        <v>4.09</v>
      </c>
      <c r="AJ246">
        <v>3.49</v>
      </c>
      <c r="AK246">
        <v>1.95</v>
      </c>
      <c r="AL246">
        <v>4</v>
      </c>
      <c r="AM246">
        <v>3.4</v>
      </c>
      <c r="AN246">
        <v>1.99</v>
      </c>
      <c r="AO246">
        <v>4.18</v>
      </c>
      <c r="AP246">
        <v>3.53</v>
      </c>
      <c r="AQ246">
        <v>2.0099999999999998</v>
      </c>
      <c r="AR246">
        <v>4.2</v>
      </c>
      <c r="AS246">
        <v>3.55</v>
      </c>
      <c r="AT246">
        <v>1.97</v>
      </c>
      <c r="AU246">
        <v>4.07</v>
      </c>
      <c r="AV246">
        <v>3.44</v>
      </c>
      <c r="AW246">
        <v>2</v>
      </c>
      <c r="AX246">
        <v>4.3</v>
      </c>
      <c r="AY246">
        <v>3.65</v>
      </c>
      <c r="AZ246">
        <v>1.44</v>
      </c>
      <c r="BA246">
        <v>2.75</v>
      </c>
      <c r="BB246">
        <v>1.47</v>
      </c>
      <c r="BC246">
        <v>2.76</v>
      </c>
      <c r="BD246">
        <v>1.48</v>
      </c>
      <c r="BE246">
        <v>2.9</v>
      </c>
      <c r="BF246">
        <v>1.45</v>
      </c>
      <c r="BG246">
        <v>2.77</v>
      </c>
      <c r="BH246">
        <v>1.5</v>
      </c>
      <c r="BI246">
        <v>2.98</v>
      </c>
      <c r="BJ246">
        <v>-0.5</v>
      </c>
      <c r="BK246">
        <v>1.99</v>
      </c>
      <c r="BL246">
        <v>1.91</v>
      </c>
      <c r="BM246">
        <v>1.99</v>
      </c>
      <c r="BN246">
        <v>1.91</v>
      </c>
      <c r="BO246">
        <v>2.0099999999999998</v>
      </c>
      <c r="BP246">
        <v>1.95</v>
      </c>
      <c r="BQ246">
        <v>1.96</v>
      </c>
      <c r="BR246">
        <v>1.88</v>
      </c>
      <c r="BS246">
        <v>2</v>
      </c>
      <c r="BT246">
        <v>1.98</v>
      </c>
      <c r="BU246">
        <v>2.0499999999999998</v>
      </c>
      <c r="BV246">
        <v>3.9</v>
      </c>
      <c r="BW246">
        <v>3.2</v>
      </c>
      <c r="CA246">
        <v>2</v>
      </c>
      <c r="CB246">
        <v>3.8</v>
      </c>
      <c r="CC246">
        <v>3.25</v>
      </c>
      <c r="CD246">
        <v>2.09</v>
      </c>
      <c r="CE246">
        <v>4.07</v>
      </c>
      <c r="CF246">
        <v>3.29</v>
      </c>
      <c r="CG246">
        <v>2.0499999999999998</v>
      </c>
      <c r="CH246">
        <v>4</v>
      </c>
      <c r="CI246">
        <v>3.1</v>
      </c>
      <c r="CJ246">
        <v>2</v>
      </c>
      <c r="CK246">
        <v>4.01</v>
      </c>
      <c r="CL246">
        <v>3.57</v>
      </c>
      <c r="CM246">
        <v>2.12</v>
      </c>
      <c r="CN246">
        <v>4.2</v>
      </c>
      <c r="CO246">
        <v>3.57</v>
      </c>
      <c r="CP246">
        <v>2.0699999999999998</v>
      </c>
      <c r="CQ246">
        <v>4.0199999999999996</v>
      </c>
      <c r="CR246">
        <v>3.26</v>
      </c>
      <c r="CS246">
        <v>2.1</v>
      </c>
      <c r="CT246">
        <v>4.0999999999999996</v>
      </c>
      <c r="CU246">
        <v>3.45</v>
      </c>
      <c r="CV246">
        <v>1.36</v>
      </c>
      <c r="CW246">
        <v>3.2</v>
      </c>
      <c r="CX246">
        <v>1.38</v>
      </c>
      <c r="CY246">
        <v>3.11</v>
      </c>
      <c r="CZ246">
        <v>1.42</v>
      </c>
      <c r="DA246">
        <v>3.37</v>
      </c>
      <c r="DB246">
        <v>1.38</v>
      </c>
      <c r="DC246">
        <v>3.13</v>
      </c>
      <c r="DD246">
        <v>1.42</v>
      </c>
      <c r="DE246">
        <v>3.3</v>
      </c>
      <c r="DF246">
        <v>-0.25</v>
      </c>
      <c r="DG246">
        <v>1.85</v>
      </c>
      <c r="DH246">
        <v>2.08</v>
      </c>
      <c r="DI246">
        <v>1.85</v>
      </c>
      <c r="DJ246">
        <v>2.09</v>
      </c>
      <c r="DK246">
        <v>1.86</v>
      </c>
      <c r="DL246">
        <v>2.14</v>
      </c>
      <c r="DM246">
        <v>1.82</v>
      </c>
      <c r="DN246">
        <v>2.0499999999999998</v>
      </c>
      <c r="DO246">
        <v>1.86</v>
      </c>
      <c r="DP246">
        <v>2.13</v>
      </c>
    </row>
    <row r="247" spans="1:120" x14ac:dyDescent="0.3">
      <c r="A247" t="s">
        <v>120</v>
      </c>
      <c r="B247" t="s">
        <v>210</v>
      </c>
      <c r="C247" s="1">
        <v>0.625</v>
      </c>
      <c r="D247" t="s">
        <v>139</v>
      </c>
      <c r="E247" t="s">
        <v>142</v>
      </c>
      <c r="F247">
        <v>1</v>
      </c>
      <c r="G247">
        <v>3</v>
      </c>
      <c r="H247" t="s">
        <v>130</v>
      </c>
      <c r="I247">
        <v>0</v>
      </c>
      <c r="J247">
        <v>2</v>
      </c>
      <c r="K247" t="s">
        <v>130</v>
      </c>
      <c r="L247" t="s">
        <v>134</v>
      </c>
      <c r="M247">
        <v>11</v>
      </c>
      <c r="N247">
        <v>14</v>
      </c>
      <c r="O247">
        <v>4</v>
      </c>
      <c r="P247">
        <v>7</v>
      </c>
      <c r="Q247">
        <v>13</v>
      </c>
      <c r="R247">
        <v>15</v>
      </c>
      <c r="S247">
        <v>4</v>
      </c>
      <c r="T247">
        <v>6</v>
      </c>
      <c r="U247">
        <v>1</v>
      </c>
      <c r="V247">
        <v>3</v>
      </c>
      <c r="W247">
        <v>0</v>
      </c>
      <c r="X247">
        <v>0</v>
      </c>
      <c r="Y247">
        <v>6</v>
      </c>
      <c r="Z247">
        <v>4.5</v>
      </c>
      <c r="AA247">
        <v>1.5</v>
      </c>
      <c r="AE247">
        <v>5.5</v>
      </c>
      <c r="AF247">
        <v>4.5999999999999996</v>
      </c>
      <c r="AG247">
        <v>1.53</v>
      </c>
      <c r="AH247">
        <v>6.01</v>
      </c>
      <c r="AI247">
        <v>4.6500000000000004</v>
      </c>
      <c r="AJ247">
        <v>1.52</v>
      </c>
      <c r="AK247">
        <v>5.5</v>
      </c>
      <c r="AL247">
        <v>4.5999999999999996</v>
      </c>
      <c r="AM247">
        <v>1.53</v>
      </c>
      <c r="AN247">
        <v>5.96</v>
      </c>
      <c r="AO247">
        <v>4.9000000000000004</v>
      </c>
      <c r="AP247">
        <v>1.53</v>
      </c>
      <c r="AQ247">
        <v>6.2</v>
      </c>
      <c r="AR247">
        <v>4.9000000000000004</v>
      </c>
      <c r="AS247">
        <v>1.55</v>
      </c>
      <c r="AT247">
        <v>5.83</v>
      </c>
      <c r="AU247">
        <v>4.6399999999999997</v>
      </c>
      <c r="AV247">
        <v>1.52</v>
      </c>
      <c r="AW247">
        <v>6.2</v>
      </c>
      <c r="AX247">
        <v>4.8</v>
      </c>
      <c r="AY247">
        <v>1.56</v>
      </c>
      <c r="AZ247">
        <v>1.5</v>
      </c>
      <c r="BA247">
        <v>2.63</v>
      </c>
      <c r="BB247">
        <v>1.51</v>
      </c>
      <c r="BC247">
        <v>2.65</v>
      </c>
      <c r="BD247">
        <v>1.52</v>
      </c>
      <c r="BE247">
        <v>2.72</v>
      </c>
      <c r="BF247">
        <v>1.49</v>
      </c>
      <c r="BG247">
        <v>2.62</v>
      </c>
      <c r="BH247">
        <v>1.54</v>
      </c>
      <c r="BI247">
        <v>2.76</v>
      </c>
      <c r="BJ247">
        <v>1</v>
      </c>
      <c r="BK247">
        <v>2.06</v>
      </c>
      <c r="BL247">
        <v>1.84</v>
      </c>
      <c r="BM247">
        <v>2.09</v>
      </c>
      <c r="BN247">
        <v>1.83</v>
      </c>
      <c r="BO247">
        <v>2.09</v>
      </c>
      <c r="BP247">
        <v>1.88</v>
      </c>
      <c r="BQ247">
        <v>2.0299999999999998</v>
      </c>
      <c r="BR247">
        <v>1.82</v>
      </c>
      <c r="BS247">
        <v>2.12</v>
      </c>
      <c r="BT247">
        <v>1.88</v>
      </c>
      <c r="BU247">
        <v>6.25</v>
      </c>
      <c r="BV247">
        <v>4.5</v>
      </c>
      <c r="BW247">
        <v>1.48</v>
      </c>
      <c r="CA247">
        <v>5.5</v>
      </c>
      <c r="CB247">
        <v>4.5999999999999996</v>
      </c>
      <c r="CC247">
        <v>1.47</v>
      </c>
      <c r="CD247">
        <v>6.32</v>
      </c>
      <c r="CE247">
        <v>4.79</v>
      </c>
      <c r="CF247">
        <v>1.51</v>
      </c>
      <c r="CG247">
        <v>5.8</v>
      </c>
      <c r="CH247">
        <v>4.75</v>
      </c>
      <c r="CI247">
        <v>1.44</v>
      </c>
      <c r="CJ247">
        <v>6.14</v>
      </c>
      <c r="CK247">
        <v>4.6100000000000003</v>
      </c>
      <c r="CL247">
        <v>1.54</v>
      </c>
      <c r="CM247">
        <v>6.5</v>
      </c>
      <c r="CN247">
        <v>5</v>
      </c>
      <c r="CO247">
        <v>1.54</v>
      </c>
      <c r="CP247">
        <v>6.02</v>
      </c>
      <c r="CQ247">
        <v>4.7300000000000004</v>
      </c>
      <c r="CR247">
        <v>1.51</v>
      </c>
      <c r="CS247">
        <v>6.2</v>
      </c>
      <c r="CT247">
        <v>5</v>
      </c>
      <c r="CU247">
        <v>1.55</v>
      </c>
      <c r="CV247">
        <v>1.5</v>
      </c>
      <c r="CW247">
        <v>2.63</v>
      </c>
      <c r="CX247">
        <v>1.52</v>
      </c>
      <c r="CY247">
        <v>2.62</v>
      </c>
      <c r="CZ247">
        <v>1.53</v>
      </c>
      <c r="DA247">
        <v>2.9</v>
      </c>
      <c r="DB247">
        <v>1.48</v>
      </c>
      <c r="DC247">
        <v>2.72</v>
      </c>
      <c r="DD247">
        <v>1.53</v>
      </c>
      <c r="DE247">
        <v>2.84</v>
      </c>
      <c r="DF247">
        <v>1.25</v>
      </c>
      <c r="DG247">
        <v>1.86</v>
      </c>
      <c r="DH247">
        <v>2.0699999999999998</v>
      </c>
      <c r="DI247">
        <v>1.86</v>
      </c>
      <c r="DJ247">
        <v>2.0699999999999998</v>
      </c>
      <c r="DK247">
        <v>1.87</v>
      </c>
      <c r="DL247">
        <v>2.14</v>
      </c>
      <c r="DM247">
        <v>1.82</v>
      </c>
      <c r="DN247">
        <v>2.06</v>
      </c>
      <c r="DO247">
        <v>1.86</v>
      </c>
      <c r="DP247">
        <v>2.12</v>
      </c>
    </row>
    <row r="248" spans="1:120" x14ac:dyDescent="0.3">
      <c r="A248" t="s">
        <v>120</v>
      </c>
      <c r="B248" t="s">
        <v>210</v>
      </c>
      <c r="C248" s="1">
        <v>0.625</v>
      </c>
      <c r="D248" t="s">
        <v>144</v>
      </c>
      <c r="E248" t="s">
        <v>148</v>
      </c>
      <c r="F248">
        <v>0</v>
      </c>
      <c r="G248">
        <v>1</v>
      </c>
      <c r="H248" t="s">
        <v>130</v>
      </c>
      <c r="I248">
        <v>0</v>
      </c>
      <c r="J248">
        <v>1</v>
      </c>
      <c r="K248" t="s">
        <v>130</v>
      </c>
      <c r="L248" t="s">
        <v>163</v>
      </c>
      <c r="M248">
        <v>13</v>
      </c>
      <c r="N248">
        <v>14</v>
      </c>
      <c r="O248">
        <v>3</v>
      </c>
      <c r="P248">
        <v>5</v>
      </c>
      <c r="Q248">
        <v>10</v>
      </c>
      <c r="R248">
        <v>13</v>
      </c>
      <c r="S248">
        <v>9</v>
      </c>
      <c r="T248">
        <v>2</v>
      </c>
      <c r="U248">
        <v>1</v>
      </c>
      <c r="V248">
        <v>1</v>
      </c>
      <c r="W248">
        <v>0</v>
      </c>
      <c r="X248">
        <v>0</v>
      </c>
      <c r="Y248">
        <v>2.35</v>
      </c>
      <c r="Z248">
        <v>3.6</v>
      </c>
      <c r="AA248">
        <v>2.88</v>
      </c>
      <c r="AE248">
        <v>2.4</v>
      </c>
      <c r="AF248">
        <v>3.6</v>
      </c>
      <c r="AG248">
        <v>2.88</v>
      </c>
      <c r="AH248">
        <v>2.4300000000000002</v>
      </c>
      <c r="AI248">
        <v>3.71</v>
      </c>
      <c r="AJ248">
        <v>2.83</v>
      </c>
      <c r="AK248">
        <v>2.4</v>
      </c>
      <c r="AL248">
        <v>3.5</v>
      </c>
      <c r="AM248">
        <v>2.8</v>
      </c>
      <c r="AN248">
        <v>2.4900000000000002</v>
      </c>
      <c r="AO248">
        <v>3.61</v>
      </c>
      <c r="AP248">
        <v>2.89</v>
      </c>
      <c r="AQ248">
        <v>2.4900000000000002</v>
      </c>
      <c r="AR248">
        <v>3.77</v>
      </c>
      <c r="AS248">
        <v>2.9</v>
      </c>
      <c r="AT248">
        <v>2.41</v>
      </c>
      <c r="AU248">
        <v>3.64</v>
      </c>
      <c r="AV248">
        <v>2.82</v>
      </c>
      <c r="AW248">
        <v>2.48</v>
      </c>
      <c r="AX248">
        <v>3.75</v>
      </c>
      <c r="AY248">
        <v>2.98</v>
      </c>
      <c r="AZ248">
        <v>1.62</v>
      </c>
      <c r="BA248">
        <v>2.2999999999999998</v>
      </c>
      <c r="BB248">
        <v>1.61</v>
      </c>
      <c r="BC248">
        <v>2.4</v>
      </c>
      <c r="BD248">
        <v>1.65</v>
      </c>
      <c r="BE248">
        <v>2.4500000000000002</v>
      </c>
      <c r="BF248">
        <v>1.6</v>
      </c>
      <c r="BG248">
        <v>2.37</v>
      </c>
      <c r="BH248">
        <v>1.65</v>
      </c>
      <c r="BI248">
        <v>2.48</v>
      </c>
      <c r="BJ248">
        <v>0</v>
      </c>
      <c r="BK248">
        <v>1.73</v>
      </c>
      <c r="BL248">
        <v>2.08</v>
      </c>
      <c r="BM248">
        <v>1.81</v>
      </c>
      <c r="BN248">
        <v>2.11</v>
      </c>
      <c r="BO248">
        <v>1.83</v>
      </c>
      <c r="BP248">
        <v>2.14</v>
      </c>
      <c r="BQ248">
        <v>1.78</v>
      </c>
      <c r="BR248">
        <v>2.08</v>
      </c>
      <c r="BS248">
        <v>1.83</v>
      </c>
      <c r="BT248">
        <v>2.1800000000000002</v>
      </c>
      <c r="BU248">
        <v>2.35</v>
      </c>
      <c r="BV248">
        <v>3.6</v>
      </c>
      <c r="BW248">
        <v>2.88</v>
      </c>
      <c r="CA248">
        <v>2.2999999999999998</v>
      </c>
      <c r="CB248">
        <v>3.6</v>
      </c>
      <c r="CC248">
        <v>2.88</v>
      </c>
      <c r="CD248">
        <v>2.4</v>
      </c>
      <c r="CE248">
        <v>3.71</v>
      </c>
      <c r="CF248">
        <v>2.93</v>
      </c>
      <c r="CG248">
        <v>2.2999999999999998</v>
      </c>
      <c r="CH248">
        <v>3.5</v>
      </c>
      <c r="CI248">
        <v>2.9</v>
      </c>
      <c r="CJ248">
        <v>2.4</v>
      </c>
      <c r="CK248">
        <v>3.67</v>
      </c>
      <c r="CL248">
        <v>2.93</v>
      </c>
      <c r="CM248">
        <v>2.4500000000000002</v>
      </c>
      <c r="CN248">
        <v>3.77</v>
      </c>
      <c r="CO248">
        <v>2.94</v>
      </c>
      <c r="CP248">
        <v>2.38</v>
      </c>
      <c r="CQ248">
        <v>3.65</v>
      </c>
      <c r="CR248">
        <v>2.88</v>
      </c>
      <c r="CS248">
        <v>2.42</v>
      </c>
      <c r="CT248">
        <v>3.75</v>
      </c>
      <c r="CU248">
        <v>3.05</v>
      </c>
      <c r="CV248">
        <v>1.57</v>
      </c>
      <c r="CW248">
        <v>2.38</v>
      </c>
      <c r="CX248">
        <v>1.6</v>
      </c>
      <c r="CY248">
        <v>2.46</v>
      </c>
      <c r="CZ248">
        <v>1.6</v>
      </c>
      <c r="DA248">
        <v>2.5099999999999998</v>
      </c>
      <c r="DB248">
        <v>1.57</v>
      </c>
      <c r="DC248">
        <v>2.42</v>
      </c>
      <c r="DD248">
        <v>1.62</v>
      </c>
      <c r="DE248">
        <v>2.58</v>
      </c>
      <c r="DF248">
        <v>-0.25</v>
      </c>
      <c r="DG248">
        <v>2.09</v>
      </c>
      <c r="DH248">
        <v>1.84</v>
      </c>
      <c r="DI248">
        <v>2.1</v>
      </c>
      <c r="DJ248">
        <v>1.84</v>
      </c>
      <c r="DK248">
        <v>2.11</v>
      </c>
      <c r="DL248">
        <v>1.85</v>
      </c>
      <c r="DM248">
        <v>2.06</v>
      </c>
      <c r="DN248">
        <v>1.81</v>
      </c>
      <c r="DO248">
        <v>2.1</v>
      </c>
      <c r="DP248">
        <v>1.89</v>
      </c>
    </row>
    <row r="249" spans="1:120" x14ac:dyDescent="0.3">
      <c r="A249" t="s">
        <v>120</v>
      </c>
      <c r="B249" t="s">
        <v>210</v>
      </c>
      <c r="C249" s="1">
        <v>0.72916666666666663</v>
      </c>
      <c r="D249" t="s">
        <v>149</v>
      </c>
      <c r="E249" t="s">
        <v>135</v>
      </c>
      <c r="F249">
        <v>1</v>
      </c>
      <c r="G249">
        <v>2</v>
      </c>
      <c r="H249" t="s">
        <v>130</v>
      </c>
      <c r="I249">
        <v>0</v>
      </c>
      <c r="J249">
        <v>1</v>
      </c>
      <c r="K249" t="s">
        <v>130</v>
      </c>
      <c r="L249" t="s">
        <v>153</v>
      </c>
      <c r="M249">
        <v>17</v>
      </c>
      <c r="N249">
        <v>11</v>
      </c>
      <c r="O249">
        <v>6</v>
      </c>
      <c r="P249">
        <v>6</v>
      </c>
      <c r="Q249">
        <v>9</v>
      </c>
      <c r="R249">
        <v>12</v>
      </c>
      <c r="S249">
        <v>6</v>
      </c>
      <c r="T249">
        <v>2</v>
      </c>
      <c r="U249">
        <v>0</v>
      </c>
      <c r="V249">
        <v>1</v>
      </c>
      <c r="W249">
        <v>0</v>
      </c>
      <c r="X249">
        <v>0</v>
      </c>
      <c r="Y249">
        <v>1.8</v>
      </c>
      <c r="Z249">
        <v>3.4</v>
      </c>
      <c r="AA249">
        <v>5</v>
      </c>
      <c r="AE249">
        <v>1.83</v>
      </c>
      <c r="AF249">
        <v>3.4</v>
      </c>
      <c r="AG249">
        <v>4.75</v>
      </c>
      <c r="AH249">
        <v>1.79</v>
      </c>
      <c r="AI249">
        <v>3.5</v>
      </c>
      <c r="AJ249">
        <v>5.17</v>
      </c>
      <c r="AK249">
        <v>1.85</v>
      </c>
      <c r="AL249">
        <v>3.3</v>
      </c>
      <c r="AM249">
        <v>4.5999999999999996</v>
      </c>
      <c r="AN249">
        <v>1.84</v>
      </c>
      <c r="AO249">
        <v>3.54</v>
      </c>
      <c r="AP249">
        <v>4.99</v>
      </c>
      <c r="AQ249">
        <v>1.87</v>
      </c>
      <c r="AR249">
        <v>3.57</v>
      </c>
      <c r="AS249">
        <v>5.3</v>
      </c>
      <c r="AT249">
        <v>1.81</v>
      </c>
      <c r="AU249">
        <v>3.45</v>
      </c>
      <c r="AV249">
        <v>4.9400000000000004</v>
      </c>
      <c r="AW249">
        <v>1.87</v>
      </c>
      <c r="AX249">
        <v>3.6</v>
      </c>
      <c r="AY249">
        <v>5.2</v>
      </c>
      <c r="AZ249">
        <v>2.2000000000000002</v>
      </c>
      <c r="BA249">
        <v>1.67</v>
      </c>
      <c r="BB249">
        <v>2.27</v>
      </c>
      <c r="BC249">
        <v>1.68</v>
      </c>
      <c r="BD249">
        <v>2.29</v>
      </c>
      <c r="BE249">
        <v>1.71</v>
      </c>
      <c r="BF249">
        <v>2.23</v>
      </c>
      <c r="BG249">
        <v>1.67</v>
      </c>
      <c r="BH249">
        <v>2.36</v>
      </c>
      <c r="BI249">
        <v>1.71</v>
      </c>
      <c r="BJ249">
        <v>-0.5</v>
      </c>
      <c r="BK249">
        <v>1.82</v>
      </c>
      <c r="BL249">
        <v>2.08</v>
      </c>
      <c r="BM249">
        <v>1.79</v>
      </c>
      <c r="BN249">
        <v>2.12</v>
      </c>
      <c r="BO249">
        <v>1.87</v>
      </c>
      <c r="BP249">
        <v>2.12</v>
      </c>
      <c r="BQ249">
        <v>1.8</v>
      </c>
      <c r="BR249">
        <v>2.06</v>
      </c>
      <c r="BS249">
        <v>1.87</v>
      </c>
      <c r="BT249">
        <v>2.13</v>
      </c>
      <c r="BU249">
        <v>1.95</v>
      </c>
      <c r="BV249">
        <v>3.1</v>
      </c>
      <c r="BW249">
        <v>4.5</v>
      </c>
      <c r="CA249">
        <v>2</v>
      </c>
      <c r="CB249">
        <v>3</v>
      </c>
      <c r="CC249">
        <v>4.2</v>
      </c>
      <c r="CD249">
        <v>2</v>
      </c>
      <c r="CE249">
        <v>3.25</v>
      </c>
      <c r="CF249">
        <v>4.53</v>
      </c>
      <c r="CG249">
        <v>2.0499999999999998</v>
      </c>
      <c r="CH249">
        <v>3.1</v>
      </c>
      <c r="CI249">
        <v>4</v>
      </c>
      <c r="CJ249">
        <v>2.09</v>
      </c>
      <c r="CK249">
        <v>3.17</v>
      </c>
      <c r="CL249">
        <v>4.22</v>
      </c>
      <c r="CM249">
        <v>2.09</v>
      </c>
      <c r="CN249">
        <v>3.33</v>
      </c>
      <c r="CO249">
        <v>4.7</v>
      </c>
      <c r="CP249">
        <v>2.02</v>
      </c>
      <c r="CQ249">
        <v>3.18</v>
      </c>
      <c r="CR249">
        <v>4.3600000000000003</v>
      </c>
      <c r="CS249">
        <v>2.1</v>
      </c>
      <c r="CT249">
        <v>3.25</v>
      </c>
      <c r="CU249">
        <v>4.5</v>
      </c>
      <c r="CV249">
        <v>2.63</v>
      </c>
      <c r="CW249">
        <v>1.5</v>
      </c>
      <c r="CX249">
        <v>2.62</v>
      </c>
      <c r="CY249">
        <v>1.53</v>
      </c>
      <c r="CZ249">
        <v>2.63</v>
      </c>
      <c r="DA249">
        <v>1.63</v>
      </c>
      <c r="DB249">
        <v>2.5</v>
      </c>
      <c r="DC249">
        <v>1.56</v>
      </c>
      <c r="DD249">
        <v>2.6</v>
      </c>
      <c r="DE249">
        <v>1.61</v>
      </c>
      <c r="DF249">
        <v>-0.5</v>
      </c>
      <c r="DG249">
        <v>2.0099999999999998</v>
      </c>
      <c r="DH249">
        <v>1.89</v>
      </c>
      <c r="DI249">
        <v>2.0099999999999998</v>
      </c>
      <c r="DJ249">
        <v>1.92</v>
      </c>
      <c r="DK249">
        <v>2.06</v>
      </c>
      <c r="DL249">
        <v>1.92</v>
      </c>
      <c r="DM249">
        <v>2.0099999999999998</v>
      </c>
      <c r="DN249">
        <v>1.86</v>
      </c>
      <c r="DO249">
        <v>2.09</v>
      </c>
      <c r="DP249">
        <v>1.91</v>
      </c>
    </row>
    <row r="250" spans="1:120" x14ac:dyDescent="0.3">
      <c r="A250" t="s">
        <v>120</v>
      </c>
      <c r="B250" t="s">
        <v>211</v>
      </c>
      <c r="C250" s="1">
        <v>0.58333333333333337</v>
      </c>
      <c r="D250" t="s">
        <v>129</v>
      </c>
      <c r="E250" t="s">
        <v>133</v>
      </c>
      <c r="F250">
        <v>2</v>
      </c>
      <c r="G250">
        <v>1</v>
      </c>
      <c r="H250" t="s">
        <v>124</v>
      </c>
      <c r="I250">
        <v>2</v>
      </c>
      <c r="J250">
        <v>0</v>
      </c>
      <c r="K250" t="s">
        <v>124</v>
      </c>
      <c r="L250" t="s">
        <v>137</v>
      </c>
      <c r="M250">
        <v>10</v>
      </c>
      <c r="N250">
        <v>16</v>
      </c>
      <c r="O250">
        <v>3</v>
      </c>
      <c r="P250">
        <v>4</v>
      </c>
      <c r="Q250">
        <v>15</v>
      </c>
      <c r="R250">
        <v>13</v>
      </c>
      <c r="S250">
        <v>4</v>
      </c>
      <c r="T250">
        <v>3</v>
      </c>
      <c r="U250">
        <v>2</v>
      </c>
      <c r="V250">
        <v>2</v>
      </c>
      <c r="W250">
        <v>0</v>
      </c>
      <c r="X250">
        <v>0</v>
      </c>
      <c r="Y250">
        <v>1.1499999999999999</v>
      </c>
      <c r="Z250">
        <v>8</v>
      </c>
      <c r="AA250">
        <v>12</v>
      </c>
      <c r="AE250">
        <v>1.18</v>
      </c>
      <c r="AF250">
        <v>8</v>
      </c>
      <c r="AG250">
        <v>13</v>
      </c>
      <c r="AH250">
        <v>1.19</v>
      </c>
      <c r="AI250">
        <v>8.2200000000000006</v>
      </c>
      <c r="AJ250">
        <v>12.7</v>
      </c>
      <c r="AK250">
        <v>1.2</v>
      </c>
      <c r="AL250">
        <v>7</v>
      </c>
      <c r="AM250">
        <v>13</v>
      </c>
      <c r="AN250">
        <v>1.21</v>
      </c>
      <c r="AO250">
        <v>7.85</v>
      </c>
      <c r="AP250">
        <v>14.2</v>
      </c>
      <c r="AQ250">
        <v>1.21</v>
      </c>
      <c r="AR250">
        <v>8.5</v>
      </c>
      <c r="AS250">
        <v>15</v>
      </c>
      <c r="AT250">
        <v>1.19</v>
      </c>
      <c r="AU250">
        <v>7.85</v>
      </c>
      <c r="AV250">
        <v>12.84</v>
      </c>
      <c r="AW250">
        <v>1.21</v>
      </c>
      <c r="AX250">
        <v>8.8000000000000007</v>
      </c>
      <c r="AY250">
        <v>15.5</v>
      </c>
      <c r="AZ250">
        <v>1.36</v>
      </c>
      <c r="BA250">
        <v>3.2</v>
      </c>
      <c r="BB250">
        <v>1.37</v>
      </c>
      <c r="BC250">
        <v>3.13</v>
      </c>
      <c r="BD250">
        <v>1.41</v>
      </c>
      <c r="BE250">
        <v>3.3</v>
      </c>
      <c r="BF250">
        <v>1.37</v>
      </c>
      <c r="BG250">
        <v>3.12</v>
      </c>
      <c r="BH250">
        <v>1.4</v>
      </c>
      <c r="BI250">
        <v>3.3</v>
      </c>
      <c r="BJ250">
        <v>-2</v>
      </c>
      <c r="BK250">
        <v>1.92</v>
      </c>
      <c r="BL250">
        <v>1.98</v>
      </c>
      <c r="BM250">
        <v>1.93</v>
      </c>
      <c r="BN250">
        <v>1.96</v>
      </c>
      <c r="BO250">
        <v>1.94</v>
      </c>
      <c r="BP250">
        <v>2</v>
      </c>
      <c r="BQ250">
        <v>1.9</v>
      </c>
      <c r="BR250">
        <v>1.94</v>
      </c>
      <c r="BS250">
        <v>1.92</v>
      </c>
      <c r="BT250">
        <v>2.0099999999999998</v>
      </c>
      <c r="BU250">
        <v>1.22</v>
      </c>
      <c r="BV250">
        <v>7</v>
      </c>
      <c r="BW250">
        <v>11</v>
      </c>
      <c r="CA250">
        <v>1.2</v>
      </c>
      <c r="CB250">
        <v>6.5</v>
      </c>
      <c r="CC250">
        <v>11</v>
      </c>
      <c r="CD250">
        <v>1.23</v>
      </c>
      <c r="CE250">
        <v>7.1</v>
      </c>
      <c r="CF250">
        <v>12.75</v>
      </c>
      <c r="CG250">
        <v>1.22</v>
      </c>
      <c r="CH250">
        <v>6.5</v>
      </c>
      <c r="CI250">
        <v>11</v>
      </c>
      <c r="CJ250">
        <v>1.24</v>
      </c>
      <c r="CK250">
        <v>7.2</v>
      </c>
      <c r="CL250">
        <v>11.8</v>
      </c>
      <c r="CM250">
        <v>1.25</v>
      </c>
      <c r="CN250">
        <v>7.4</v>
      </c>
      <c r="CO250">
        <v>13</v>
      </c>
      <c r="CP250">
        <v>1.23</v>
      </c>
      <c r="CQ250">
        <v>6.99</v>
      </c>
      <c r="CR250">
        <v>11.94</v>
      </c>
      <c r="CS250">
        <v>1.26</v>
      </c>
      <c r="CT250">
        <v>7.2</v>
      </c>
      <c r="CU250">
        <v>14</v>
      </c>
      <c r="CV250">
        <v>1.44</v>
      </c>
      <c r="CW250">
        <v>2.75</v>
      </c>
      <c r="CX250">
        <v>1.43</v>
      </c>
      <c r="CY250">
        <v>2.87</v>
      </c>
      <c r="CZ250">
        <v>1.47</v>
      </c>
      <c r="DA250">
        <v>3</v>
      </c>
      <c r="DB250">
        <v>1.43</v>
      </c>
      <c r="DC250">
        <v>2.88</v>
      </c>
      <c r="DD250">
        <v>1.47</v>
      </c>
      <c r="DE250">
        <v>3.1</v>
      </c>
      <c r="DF250">
        <v>-1.75</v>
      </c>
      <c r="DG250">
        <v>1.87</v>
      </c>
      <c r="DH250">
        <v>2.06</v>
      </c>
      <c r="DI250">
        <v>1.85</v>
      </c>
      <c r="DJ250">
        <v>2.0499999999999998</v>
      </c>
      <c r="DK250">
        <v>1.88</v>
      </c>
      <c r="DL250">
        <v>2.08</v>
      </c>
      <c r="DM250">
        <v>1.83</v>
      </c>
      <c r="DN250">
        <v>2.04</v>
      </c>
      <c r="DO250">
        <v>1.9</v>
      </c>
      <c r="DP250">
        <v>2.1</v>
      </c>
    </row>
    <row r="251" spans="1:120" x14ac:dyDescent="0.3">
      <c r="A251" t="s">
        <v>120</v>
      </c>
      <c r="B251" t="s">
        <v>211</v>
      </c>
      <c r="C251" s="1">
        <v>0.6875</v>
      </c>
      <c r="D251" t="s">
        <v>156</v>
      </c>
      <c r="E251" t="s">
        <v>122</v>
      </c>
      <c r="F251">
        <v>1</v>
      </c>
      <c r="G251">
        <v>0</v>
      </c>
      <c r="H251" t="s">
        <v>124</v>
      </c>
      <c r="I251">
        <v>1</v>
      </c>
      <c r="J251">
        <v>0</v>
      </c>
      <c r="K251" t="s">
        <v>124</v>
      </c>
      <c r="L251" t="s">
        <v>171</v>
      </c>
      <c r="M251">
        <v>22</v>
      </c>
      <c r="N251">
        <v>16</v>
      </c>
      <c r="O251">
        <v>7</v>
      </c>
      <c r="P251">
        <v>6</v>
      </c>
      <c r="Q251">
        <v>13</v>
      </c>
      <c r="R251">
        <v>9</v>
      </c>
      <c r="S251">
        <v>10</v>
      </c>
      <c r="T251">
        <v>5</v>
      </c>
      <c r="U251">
        <v>1</v>
      </c>
      <c r="V251">
        <v>2</v>
      </c>
      <c r="W251">
        <v>0</v>
      </c>
      <c r="X251">
        <v>0</v>
      </c>
      <c r="Y251">
        <v>2.4500000000000002</v>
      </c>
      <c r="Z251">
        <v>3.75</v>
      </c>
      <c r="AA251">
        <v>2.62</v>
      </c>
      <c r="AE251">
        <v>2.4500000000000002</v>
      </c>
      <c r="AF251">
        <v>3.7</v>
      </c>
      <c r="AG251">
        <v>2.7</v>
      </c>
      <c r="AH251">
        <v>2.46</v>
      </c>
      <c r="AI251">
        <v>3.84</v>
      </c>
      <c r="AJ251">
        <v>2.73</v>
      </c>
      <c r="AK251">
        <v>2.4500000000000002</v>
      </c>
      <c r="AL251">
        <v>3.7</v>
      </c>
      <c r="AM251">
        <v>2.62</v>
      </c>
      <c r="AN251">
        <v>2.5</v>
      </c>
      <c r="AO251">
        <v>3.83</v>
      </c>
      <c r="AP251">
        <v>2.74</v>
      </c>
      <c r="AQ251">
        <v>2.5099999999999998</v>
      </c>
      <c r="AR251">
        <v>3.85</v>
      </c>
      <c r="AS251">
        <v>2.8</v>
      </c>
      <c r="AT251">
        <v>2.4500000000000002</v>
      </c>
      <c r="AU251">
        <v>3.73</v>
      </c>
      <c r="AV251">
        <v>2.69</v>
      </c>
      <c r="AW251">
        <v>2.48</v>
      </c>
      <c r="AX251">
        <v>3.9</v>
      </c>
      <c r="AY251">
        <v>2.86</v>
      </c>
      <c r="AZ251">
        <v>1.5</v>
      </c>
      <c r="BA251">
        <v>2.63</v>
      </c>
      <c r="BB251">
        <v>1.49</v>
      </c>
      <c r="BC251">
        <v>2.68</v>
      </c>
      <c r="BD251">
        <v>1.5</v>
      </c>
      <c r="BE251">
        <v>2.79</v>
      </c>
      <c r="BF251">
        <v>1.48</v>
      </c>
      <c r="BG251">
        <v>2.67</v>
      </c>
      <c r="BH251">
        <v>1.54</v>
      </c>
      <c r="BI251">
        <v>2.8</v>
      </c>
      <c r="BJ251">
        <v>0</v>
      </c>
      <c r="BK251">
        <v>1.86</v>
      </c>
      <c r="BL251">
        <v>2.04</v>
      </c>
      <c r="BM251">
        <v>1.85</v>
      </c>
      <c r="BN251">
        <v>2.06</v>
      </c>
      <c r="BO251">
        <v>1.88</v>
      </c>
      <c r="BP251">
        <v>2.06</v>
      </c>
      <c r="BQ251">
        <v>1.84</v>
      </c>
      <c r="BR251">
        <v>2.0099999999999998</v>
      </c>
      <c r="BS251">
        <v>1.84</v>
      </c>
      <c r="BT251">
        <v>2.13</v>
      </c>
      <c r="BU251">
        <v>2.15</v>
      </c>
      <c r="BV251">
        <v>3.8</v>
      </c>
      <c r="BW251">
        <v>3.1</v>
      </c>
      <c r="CA251">
        <v>2.15</v>
      </c>
      <c r="CB251">
        <v>3.7</v>
      </c>
      <c r="CC251">
        <v>3</v>
      </c>
      <c r="CD251">
        <v>2.21</v>
      </c>
      <c r="CE251">
        <v>3.9</v>
      </c>
      <c r="CF251">
        <v>3.13</v>
      </c>
      <c r="CG251">
        <v>2.25</v>
      </c>
      <c r="CH251">
        <v>3.7</v>
      </c>
      <c r="CI251">
        <v>3</v>
      </c>
      <c r="CJ251">
        <v>2.19</v>
      </c>
      <c r="CK251">
        <v>3.87</v>
      </c>
      <c r="CL251">
        <v>3.16</v>
      </c>
      <c r="CM251">
        <v>2.25</v>
      </c>
      <c r="CN251">
        <v>4</v>
      </c>
      <c r="CO251">
        <v>3.16</v>
      </c>
      <c r="CP251">
        <v>2.2000000000000002</v>
      </c>
      <c r="CQ251">
        <v>3.85</v>
      </c>
      <c r="CR251">
        <v>3.08</v>
      </c>
      <c r="CS251">
        <v>2.2400000000000002</v>
      </c>
      <c r="CT251">
        <v>4</v>
      </c>
      <c r="CU251">
        <v>3.25</v>
      </c>
      <c r="CV251">
        <v>1.5</v>
      </c>
      <c r="CW251">
        <v>2.63</v>
      </c>
      <c r="CX251">
        <v>1.52</v>
      </c>
      <c r="CY251">
        <v>2.64</v>
      </c>
      <c r="CZ251">
        <v>1.57</v>
      </c>
      <c r="DA251">
        <v>2.85</v>
      </c>
      <c r="DB251">
        <v>1.49</v>
      </c>
      <c r="DC251">
        <v>2.67</v>
      </c>
      <c r="DD251">
        <v>1.53</v>
      </c>
      <c r="DE251">
        <v>2.86</v>
      </c>
      <c r="DF251">
        <v>-0.25</v>
      </c>
      <c r="DG251">
        <v>1.94</v>
      </c>
      <c r="DH251">
        <v>1.99</v>
      </c>
      <c r="DI251">
        <v>1.94</v>
      </c>
      <c r="DJ251">
        <v>1.98</v>
      </c>
      <c r="DK251">
        <v>1.95</v>
      </c>
      <c r="DL251">
        <v>2</v>
      </c>
      <c r="DM251">
        <v>1.92</v>
      </c>
      <c r="DN251">
        <v>1.94</v>
      </c>
      <c r="DO251">
        <v>1.96</v>
      </c>
      <c r="DP251">
        <v>2.0299999999999998</v>
      </c>
    </row>
    <row r="252" spans="1:120" x14ac:dyDescent="0.3">
      <c r="A252" t="s">
        <v>120</v>
      </c>
      <c r="B252" t="s">
        <v>212</v>
      </c>
      <c r="C252" s="1">
        <v>0.8125</v>
      </c>
      <c r="D252" t="s">
        <v>145</v>
      </c>
      <c r="E252" t="s">
        <v>129</v>
      </c>
      <c r="F252">
        <v>2</v>
      </c>
      <c r="G252">
        <v>2</v>
      </c>
      <c r="H252" t="s">
        <v>125</v>
      </c>
      <c r="I252">
        <v>2</v>
      </c>
      <c r="J252">
        <v>1</v>
      </c>
      <c r="K252" t="s">
        <v>124</v>
      </c>
      <c r="L252" t="s">
        <v>140</v>
      </c>
      <c r="M252">
        <v>9</v>
      </c>
      <c r="N252">
        <v>17</v>
      </c>
      <c r="O252">
        <v>4</v>
      </c>
      <c r="P252">
        <v>3</v>
      </c>
      <c r="Q252">
        <v>8</v>
      </c>
      <c r="R252">
        <v>6</v>
      </c>
      <c r="S252">
        <v>6</v>
      </c>
      <c r="T252">
        <v>8</v>
      </c>
      <c r="U252">
        <v>1</v>
      </c>
      <c r="V252">
        <v>0</v>
      </c>
      <c r="W252">
        <v>0</v>
      </c>
      <c r="X252">
        <v>0</v>
      </c>
      <c r="Y252">
        <v>3.9</v>
      </c>
      <c r="Z252">
        <v>4</v>
      </c>
      <c r="AA252">
        <v>1.83</v>
      </c>
      <c r="AE252">
        <v>3.9</v>
      </c>
      <c r="AF252">
        <v>3.9</v>
      </c>
      <c r="AG252">
        <v>1.87</v>
      </c>
      <c r="AH252">
        <v>4.0199999999999996</v>
      </c>
      <c r="AI252">
        <v>4.09</v>
      </c>
      <c r="AJ252">
        <v>1.85</v>
      </c>
      <c r="AK252">
        <v>3.8</v>
      </c>
      <c r="AL252">
        <v>3.9</v>
      </c>
      <c r="AM252">
        <v>1.85</v>
      </c>
      <c r="AN252">
        <v>4.01</v>
      </c>
      <c r="AO252">
        <v>4.17</v>
      </c>
      <c r="AP252">
        <v>1.86</v>
      </c>
      <c r="AQ252">
        <v>4.0999999999999996</v>
      </c>
      <c r="AR252">
        <v>4.17</v>
      </c>
      <c r="AS252">
        <v>1.9</v>
      </c>
      <c r="AT252">
        <v>3.93</v>
      </c>
      <c r="AU252">
        <v>4</v>
      </c>
      <c r="AV252">
        <v>1.85</v>
      </c>
      <c r="AW252">
        <v>4.0999999999999996</v>
      </c>
      <c r="AX252">
        <v>4.0999999999999996</v>
      </c>
      <c r="AY252">
        <v>1.92</v>
      </c>
      <c r="AZ252">
        <v>1.57</v>
      </c>
      <c r="BA252">
        <v>2.38</v>
      </c>
      <c r="BB252">
        <v>1.58</v>
      </c>
      <c r="BC252">
        <v>2.48</v>
      </c>
      <c r="BD252">
        <v>1.59</v>
      </c>
      <c r="BE252">
        <v>2.52</v>
      </c>
      <c r="BF252">
        <v>1.56</v>
      </c>
      <c r="BG252">
        <v>2.4500000000000002</v>
      </c>
      <c r="BH252">
        <v>1.6</v>
      </c>
      <c r="BI252">
        <v>2.58</v>
      </c>
      <c r="BJ252">
        <v>0.5</v>
      </c>
      <c r="BK252">
        <v>2.0499999999999998</v>
      </c>
      <c r="BL252">
        <v>1.85</v>
      </c>
      <c r="BM252">
        <v>2.06</v>
      </c>
      <c r="BN252">
        <v>1.85</v>
      </c>
      <c r="BO252">
        <v>2.06</v>
      </c>
      <c r="BP252">
        <v>1.88</v>
      </c>
      <c r="BQ252">
        <v>2.0099999999999998</v>
      </c>
      <c r="BR252">
        <v>1.84</v>
      </c>
      <c r="BS252">
        <v>2.09</v>
      </c>
      <c r="BT252">
        <v>1.9</v>
      </c>
      <c r="BU252">
        <v>3.75</v>
      </c>
      <c r="BV252">
        <v>4</v>
      </c>
      <c r="BW252">
        <v>1.85</v>
      </c>
      <c r="CA252">
        <v>3.8</v>
      </c>
      <c r="CB252">
        <v>3.9</v>
      </c>
      <c r="CC252">
        <v>1.91</v>
      </c>
      <c r="CD252">
        <v>3.97</v>
      </c>
      <c r="CE252">
        <v>4.04</v>
      </c>
      <c r="CF252">
        <v>1.88</v>
      </c>
      <c r="CG252">
        <v>3.75</v>
      </c>
      <c r="CH252">
        <v>3.9</v>
      </c>
      <c r="CI252">
        <v>1.85</v>
      </c>
      <c r="CJ252">
        <v>3.95</v>
      </c>
      <c r="CK252">
        <v>4.0599999999999996</v>
      </c>
      <c r="CL252">
        <v>1.88</v>
      </c>
      <c r="CM252">
        <v>3.97</v>
      </c>
      <c r="CN252">
        <v>4.0999999999999996</v>
      </c>
      <c r="CO252">
        <v>1.95</v>
      </c>
      <c r="CP252">
        <v>3.83</v>
      </c>
      <c r="CQ252">
        <v>3.98</v>
      </c>
      <c r="CR252">
        <v>1.9</v>
      </c>
      <c r="CS252">
        <v>4</v>
      </c>
      <c r="CT252">
        <v>4.0999999999999996</v>
      </c>
      <c r="CU252">
        <v>1.94</v>
      </c>
      <c r="CV252">
        <v>1.57</v>
      </c>
      <c r="CW252">
        <v>2.38</v>
      </c>
      <c r="CX252">
        <v>1.6</v>
      </c>
      <c r="CY252">
        <v>2.48</v>
      </c>
      <c r="CZ252">
        <v>1.6</v>
      </c>
      <c r="DA252">
        <v>2.5499999999999998</v>
      </c>
      <c r="DB252">
        <v>1.57</v>
      </c>
      <c r="DC252">
        <v>2.46</v>
      </c>
      <c r="DD252">
        <v>1.64</v>
      </c>
      <c r="DE252">
        <v>2.54</v>
      </c>
      <c r="DF252">
        <v>0.5</v>
      </c>
      <c r="DG252">
        <v>2.0099999999999998</v>
      </c>
      <c r="DH252">
        <v>1.89</v>
      </c>
      <c r="DI252">
        <v>2.0299999999999998</v>
      </c>
      <c r="DJ252">
        <v>1.89</v>
      </c>
      <c r="DK252">
        <v>2.04</v>
      </c>
      <c r="DL252">
        <v>1.94</v>
      </c>
      <c r="DM252">
        <v>1.97</v>
      </c>
      <c r="DN252">
        <v>1.89</v>
      </c>
      <c r="DO252">
        <v>2.04</v>
      </c>
      <c r="DP252">
        <v>1.95</v>
      </c>
    </row>
    <row r="253" spans="1:120" x14ac:dyDescent="0.3">
      <c r="A253" t="s">
        <v>120</v>
      </c>
      <c r="B253" t="s">
        <v>213</v>
      </c>
      <c r="C253" s="1">
        <v>0.83333333333333337</v>
      </c>
      <c r="D253" t="s">
        <v>155</v>
      </c>
      <c r="E253" t="s">
        <v>148</v>
      </c>
      <c r="F253">
        <v>0</v>
      </c>
      <c r="G253">
        <v>4</v>
      </c>
      <c r="H253" t="s">
        <v>130</v>
      </c>
      <c r="I253">
        <v>0</v>
      </c>
      <c r="J253">
        <v>3</v>
      </c>
      <c r="K253" t="s">
        <v>130</v>
      </c>
      <c r="L253" t="s">
        <v>146</v>
      </c>
      <c r="M253">
        <v>8</v>
      </c>
      <c r="N253">
        <v>14</v>
      </c>
      <c r="O253">
        <v>3</v>
      </c>
      <c r="P253">
        <v>6</v>
      </c>
      <c r="Q253">
        <v>10</v>
      </c>
      <c r="R253">
        <v>10</v>
      </c>
      <c r="S253">
        <v>5</v>
      </c>
      <c r="T253">
        <v>6</v>
      </c>
      <c r="U253">
        <v>4</v>
      </c>
      <c r="V253">
        <v>0</v>
      </c>
      <c r="W253">
        <v>0</v>
      </c>
      <c r="X253">
        <v>0</v>
      </c>
      <c r="Y253">
        <v>3.6</v>
      </c>
      <c r="Z253">
        <v>3.8</v>
      </c>
      <c r="AA253">
        <v>1.91</v>
      </c>
      <c r="AE253">
        <v>3.75</v>
      </c>
      <c r="AF253">
        <v>3.9</v>
      </c>
      <c r="AG253">
        <v>1.95</v>
      </c>
      <c r="AH253">
        <v>3.79</v>
      </c>
      <c r="AI253">
        <v>3.87</v>
      </c>
      <c r="AJ253">
        <v>1.97</v>
      </c>
      <c r="AK253">
        <v>3.6</v>
      </c>
      <c r="AL253">
        <v>3.8</v>
      </c>
      <c r="AM253">
        <v>1.95</v>
      </c>
      <c r="AN253">
        <v>3.77</v>
      </c>
      <c r="AO253">
        <v>4.01</v>
      </c>
      <c r="AP253">
        <v>1.96</v>
      </c>
      <c r="AQ253">
        <v>3.81</v>
      </c>
      <c r="AR253">
        <v>4.01</v>
      </c>
      <c r="AS253">
        <v>2</v>
      </c>
      <c r="AT253">
        <v>3.7</v>
      </c>
      <c r="AU253">
        <v>3.86</v>
      </c>
      <c r="AV253">
        <v>1.96</v>
      </c>
      <c r="AW253">
        <v>3.9</v>
      </c>
      <c r="AX253">
        <v>4</v>
      </c>
      <c r="AY253">
        <v>2</v>
      </c>
      <c r="AZ253">
        <v>1.57</v>
      </c>
      <c r="BA253">
        <v>2.38</v>
      </c>
      <c r="BB253">
        <v>1.62</v>
      </c>
      <c r="BC253">
        <v>2.41</v>
      </c>
      <c r="BD253">
        <v>1.62</v>
      </c>
      <c r="BE253">
        <v>2.52</v>
      </c>
      <c r="BF253">
        <v>1.58</v>
      </c>
      <c r="BG253">
        <v>2.42</v>
      </c>
      <c r="BH253">
        <v>1.64</v>
      </c>
      <c r="BI253">
        <v>2.56</v>
      </c>
      <c r="BJ253">
        <v>0.5</v>
      </c>
      <c r="BK253">
        <v>1.95</v>
      </c>
      <c r="BL253">
        <v>1.98</v>
      </c>
      <c r="BM253">
        <v>1.94</v>
      </c>
      <c r="BN253">
        <v>1.98</v>
      </c>
      <c r="BO253">
        <v>1.96</v>
      </c>
      <c r="BP253">
        <v>2.0099999999999998</v>
      </c>
      <c r="BQ253">
        <v>1.9</v>
      </c>
      <c r="BR253">
        <v>1.96</v>
      </c>
      <c r="BS253">
        <v>1.98</v>
      </c>
      <c r="BT253">
        <v>2</v>
      </c>
      <c r="BU253">
        <v>3.5</v>
      </c>
      <c r="BV253">
        <v>3.8</v>
      </c>
      <c r="BW253">
        <v>1.95</v>
      </c>
      <c r="CA253">
        <v>3.6</v>
      </c>
      <c r="CB253">
        <v>3.75</v>
      </c>
      <c r="CC253">
        <v>2</v>
      </c>
      <c r="CD253">
        <v>3.74</v>
      </c>
      <c r="CE253">
        <v>3.86</v>
      </c>
      <c r="CF253">
        <v>1.99</v>
      </c>
      <c r="CG253">
        <v>3.6</v>
      </c>
      <c r="CH253">
        <v>3.75</v>
      </c>
      <c r="CI253">
        <v>1.95</v>
      </c>
      <c r="CJ253">
        <v>3.6</v>
      </c>
      <c r="CK253">
        <v>3.91</v>
      </c>
      <c r="CL253">
        <v>2.0099999999999998</v>
      </c>
      <c r="CM253">
        <v>3.9</v>
      </c>
      <c r="CN253">
        <v>3.91</v>
      </c>
      <c r="CO253">
        <v>2.02</v>
      </c>
      <c r="CP253">
        <v>3.66</v>
      </c>
      <c r="CQ253">
        <v>3.84</v>
      </c>
      <c r="CR253">
        <v>1.98</v>
      </c>
      <c r="CS253">
        <v>3.8</v>
      </c>
      <c r="CT253">
        <v>3.95</v>
      </c>
      <c r="CU253">
        <v>2.04</v>
      </c>
      <c r="CV253">
        <v>1.57</v>
      </c>
      <c r="CW253">
        <v>2.38</v>
      </c>
      <c r="CX253">
        <v>1.63</v>
      </c>
      <c r="CY253">
        <v>2.4</v>
      </c>
      <c r="CZ253">
        <v>1.63</v>
      </c>
      <c r="DA253">
        <v>2.5099999999999998</v>
      </c>
      <c r="DB253">
        <v>1.59</v>
      </c>
      <c r="DC253">
        <v>2.42</v>
      </c>
      <c r="DD253">
        <v>1.64</v>
      </c>
      <c r="DE253">
        <v>2.54</v>
      </c>
      <c r="DF253">
        <v>0.5</v>
      </c>
      <c r="DG253">
        <v>1.94</v>
      </c>
      <c r="DH253">
        <v>1.99</v>
      </c>
      <c r="DI253">
        <v>1.93</v>
      </c>
      <c r="DJ253">
        <v>2</v>
      </c>
      <c r="DK253">
        <v>1.97</v>
      </c>
      <c r="DL253">
        <v>2</v>
      </c>
      <c r="DM253">
        <v>1.9</v>
      </c>
      <c r="DN253">
        <v>1.97</v>
      </c>
      <c r="DO253">
        <v>1.95</v>
      </c>
      <c r="DP253">
        <v>2.04</v>
      </c>
    </row>
    <row r="254" spans="1:120" x14ac:dyDescent="0.3">
      <c r="A254" t="s">
        <v>120</v>
      </c>
      <c r="B254" t="s">
        <v>214</v>
      </c>
      <c r="C254" s="1">
        <v>0.52083333333333337</v>
      </c>
      <c r="D254" t="s">
        <v>135</v>
      </c>
      <c r="E254" t="s">
        <v>122</v>
      </c>
      <c r="F254">
        <v>2</v>
      </c>
      <c r="G254">
        <v>2</v>
      </c>
      <c r="H254" t="s">
        <v>125</v>
      </c>
      <c r="I254">
        <v>2</v>
      </c>
      <c r="J254">
        <v>0</v>
      </c>
      <c r="K254" t="s">
        <v>124</v>
      </c>
      <c r="L254" t="s">
        <v>176</v>
      </c>
      <c r="M254">
        <v>9</v>
      </c>
      <c r="N254">
        <v>9</v>
      </c>
      <c r="O254">
        <v>8</v>
      </c>
      <c r="P254">
        <v>3</v>
      </c>
      <c r="Q254">
        <v>12</v>
      </c>
      <c r="R254">
        <v>9</v>
      </c>
      <c r="S254">
        <v>7</v>
      </c>
      <c r="T254">
        <v>9</v>
      </c>
      <c r="U254">
        <v>4</v>
      </c>
      <c r="V254">
        <v>1</v>
      </c>
      <c r="W254">
        <v>0</v>
      </c>
      <c r="X254">
        <v>0</v>
      </c>
      <c r="Y254">
        <v>2.5</v>
      </c>
      <c r="Z254">
        <v>3.2</v>
      </c>
      <c r="AA254">
        <v>2.9</v>
      </c>
      <c r="AE254">
        <v>2.5499999999999998</v>
      </c>
      <c r="AF254">
        <v>3.1</v>
      </c>
      <c r="AG254">
        <v>3</v>
      </c>
      <c r="AH254">
        <v>2.58</v>
      </c>
      <c r="AI254">
        <v>3.23</v>
      </c>
      <c r="AJ254">
        <v>2.98</v>
      </c>
      <c r="AK254">
        <v>2.6</v>
      </c>
      <c r="AL254">
        <v>3.1</v>
      </c>
      <c r="AM254">
        <v>2.88</v>
      </c>
      <c r="AN254">
        <v>2.61</v>
      </c>
      <c r="AO254">
        <v>3.28</v>
      </c>
      <c r="AP254">
        <v>2.96</v>
      </c>
      <c r="AQ254">
        <v>2.61</v>
      </c>
      <c r="AR254">
        <v>3.3</v>
      </c>
      <c r="AS254">
        <v>3.05</v>
      </c>
      <c r="AT254">
        <v>2.5499999999999998</v>
      </c>
      <c r="AU254">
        <v>3.2</v>
      </c>
      <c r="AV254">
        <v>2.96</v>
      </c>
      <c r="AW254">
        <v>2.68</v>
      </c>
      <c r="AX254">
        <v>3.25</v>
      </c>
      <c r="AY254">
        <v>3.05</v>
      </c>
      <c r="AZ254">
        <v>2.2000000000000002</v>
      </c>
      <c r="BA254">
        <v>1.67</v>
      </c>
      <c r="BB254">
        <v>2.23</v>
      </c>
      <c r="BC254">
        <v>1.71</v>
      </c>
      <c r="BD254">
        <v>2.2400000000000002</v>
      </c>
      <c r="BE254">
        <v>1.74</v>
      </c>
      <c r="BF254">
        <v>2.19</v>
      </c>
      <c r="BG254">
        <v>1.7</v>
      </c>
      <c r="BH254">
        <v>2.2799999999999998</v>
      </c>
      <c r="BI254">
        <v>1.76</v>
      </c>
      <c r="BJ254">
        <v>0</v>
      </c>
      <c r="BK254">
        <v>1.8</v>
      </c>
      <c r="BL254">
        <v>2.1</v>
      </c>
      <c r="BM254">
        <v>1.82</v>
      </c>
      <c r="BN254">
        <v>2.11</v>
      </c>
      <c r="BO254">
        <v>1.84</v>
      </c>
      <c r="BP254">
        <v>2.17</v>
      </c>
      <c r="BQ254">
        <v>1.79</v>
      </c>
      <c r="BR254">
        <v>2.0699999999999998</v>
      </c>
      <c r="BS254">
        <v>1.87</v>
      </c>
      <c r="BT254">
        <v>2.13</v>
      </c>
      <c r="BU254">
        <v>2.63</v>
      </c>
      <c r="BV254">
        <v>3</v>
      </c>
      <c r="BW254">
        <v>2.88</v>
      </c>
      <c r="CA254">
        <v>2.63</v>
      </c>
      <c r="CB254">
        <v>3.1</v>
      </c>
      <c r="CC254">
        <v>2.88</v>
      </c>
      <c r="CD254">
        <v>2.67</v>
      </c>
      <c r="CE254">
        <v>3.15</v>
      </c>
      <c r="CF254">
        <v>2.97</v>
      </c>
      <c r="CG254">
        <v>2.62</v>
      </c>
      <c r="CH254">
        <v>3.1</v>
      </c>
      <c r="CI254">
        <v>2.8</v>
      </c>
      <c r="CJ254">
        <v>2.86</v>
      </c>
      <c r="CK254">
        <v>3.09</v>
      </c>
      <c r="CL254">
        <v>2.79</v>
      </c>
      <c r="CM254">
        <v>2.86</v>
      </c>
      <c r="CN254">
        <v>3.23</v>
      </c>
      <c r="CO254">
        <v>3</v>
      </c>
      <c r="CP254">
        <v>2.65</v>
      </c>
      <c r="CQ254">
        <v>3.13</v>
      </c>
      <c r="CR254">
        <v>2.92</v>
      </c>
      <c r="CS254">
        <v>2.7</v>
      </c>
      <c r="CT254">
        <v>3.25</v>
      </c>
      <c r="CU254">
        <v>3.05</v>
      </c>
      <c r="CV254">
        <v>2.2000000000000002</v>
      </c>
      <c r="CW254">
        <v>1.67</v>
      </c>
      <c r="CX254">
        <v>2.29</v>
      </c>
      <c r="CY254">
        <v>1.68</v>
      </c>
      <c r="CZ254">
        <v>2.34</v>
      </c>
      <c r="DA254">
        <v>1.74</v>
      </c>
      <c r="DB254">
        <v>2.25</v>
      </c>
      <c r="DC254">
        <v>1.68</v>
      </c>
      <c r="DD254">
        <v>2.34</v>
      </c>
      <c r="DE254">
        <v>1.73</v>
      </c>
      <c r="DF254">
        <v>0</v>
      </c>
      <c r="DG254">
        <v>1.85</v>
      </c>
      <c r="DH254">
        <v>2.08</v>
      </c>
      <c r="DI254">
        <v>1.86</v>
      </c>
      <c r="DJ254">
        <v>2.0699999999999998</v>
      </c>
      <c r="DK254">
        <v>1.91</v>
      </c>
      <c r="DL254">
        <v>2.08</v>
      </c>
      <c r="DM254">
        <v>1.85</v>
      </c>
      <c r="DN254">
        <v>2.0299999999999998</v>
      </c>
      <c r="DO254">
        <v>1.87</v>
      </c>
      <c r="DP254">
        <v>2.13</v>
      </c>
    </row>
    <row r="255" spans="1:120" x14ac:dyDescent="0.3">
      <c r="A255" t="s">
        <v>120</v>
      </c>
      <c r="B255" t="s">
        <v>214</v>
      </c>
      <c r="C255" s="1">
        <v>0.625</v>
      </c>
      <c r="D255" t="s">
        <v>132</v>
      </c>
      <c r="E255" t="s">
        <v>144</v>
      </c>
      <c r="F255">
        <v>0</v>
      </c>
      <c r="G255">
        <v>1</v>
      </c>
      <c r="H255" t="s">
        <v>130</v>
      </c>
      <c r="I255">
        <v>0</v>
      </c>
      <c r="J255">
        <v>1</v>
      </c>
      <c r="K255" t="s">
        <v>130</v>
      </c>
      <c r="L255" t="s">
        <v>140</v>
      </c>
      <c r="M255">
        <v>20</v>
      </c>
      <c r="N255">
        <v>5</v>
      </c>
      <c r="O255">
        <v>2</v>
      </c>
      <c r="P255">
        <v>2</v>
      </c>
      <c r="Q255">
        <v>16</v>
      </c>
      <c r="R255">
        <v>15</v>
      </c>
      <c r="S255">
        <v>2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1.27</v>
      </c>
      <c r="Z255">
        <v>6</v>
      </c>
      <c r="AA255">
        <v>10</v>
      </c>
      <c r="AE255">
        <v>1.25</v>
      </c>
      <c r="AF255">
        <v>6</v>
      </c>
      <c r="AG255">
        <v>12</v>
      </c>
      <c r="AH255">
        <v>1.25</v>
      </c>
      <c r="AI255">
        <v>6.42</v>
      </c>
      <c r="AJ255">
        <v>11.04</v>
      </c>
      <c r="AK255">
        <v>1.25</v>
      </c>
      <c r="AL255">
        <v>5.5</v>
      </c>
      <c r="AM255">
        <v>12</v>
      </c>
      <c r="AN255">
        <v>1.27</v>
      </c>
      <c r="AO255">
        <v>6.11</v>
      </c>
      <c r="AP255">
        <v>12.9</v>
      </c>
      <c r="AQ255">
        <v>1.27</v>
      </c>
      <c r="AR255">
        <v>6.7</v>
      </c>
      <c r="AS255">
        <v>13</v>
      </c>
      <c r="AT255">
        <v>1.25</v>
      </c>
      <c r="AU255">
        <v>6.2</v>
      </c>
      <c r="AV255">
        <v>11.63</v>
      </c>
      <c r="AW255">
        <v>1.28</v>
      </c>
      <c r="AX255">
        <v>6.6</v>
      </c>
      <c r="AY255">
        <v>13</v>
      </c>
      <c r="AZ255">
        <v>1.67</v>
      </c>
      <c r="BA255">
        <v>2.2000000000000002</v>
      </c>
      <c r="BB255">
        <v>1.69</v>
      </c>
      <c r="BC255">
        <v>2.23</v>
      </c>
      <c r="BD255">
        <v>1.8</v>
      </c>
      <c r="BE255">
        <v>2.29</v>
      </c>
      <c r="BF255">
        <v>1.68</v>
      </c>
      <c r="BG255">
        <v>2.2200000000000002</v>
      </c>
      <c r="BH255">
        <v>1.74</v>
      </c>
      <c r="BI255">
        <v>2.2799999999999998</v>
      </c>
      <c r="BJ255">
        <v>-1.75</v>
      </c>
      <c r="BK255">
        <v>2.0499999999999998</v>
      </c>
      <c r="BL255">
        <v>1.85</v>
      </c>
      <c r="BM255">
        <v>2.0499999999999998</v>
      </c>
      <c r="BN255">
        <v>1.85</v>
      </c>
      <c r="BO255">
        <v>2.12</v>
      </c>
      <c r="BP255">
        <v>1.9</v>
      </c>
      <c r="BQ255">
        <v>2.0099999999999998</v>
      </c>
      <c r="BR255">
        <v>1.83</v>
      </c>
      <c r="BS255">
        <v>2.13</v>
      </c>
      <c r="BT255">
        <v>1.84</v>
      </c>
      <c r="BU255">
        <v>1.27</v>
      </c>
      <c r="BV255">
        <v>5.75</v>
      </c>
      <c r="BW255">
        <v>11</v>
      </c>
      <c r="CA255">
        <v>1.25</v>
      </c>
      <c r="CB255">
        <v>5.5</v>
      </c>
      <c r="CC255">
        <v>13</v>
      </c>
      <c r="CD255">
        <v>1.29</v>
      </c>
      <c r="CE255">
        <v>5.82</v>
      </c>
      <c r="CF255">
        <v>12.73</v>
      </c>
      <c r="CG255">
        <v>1.3</v>
      </c>
      <c r="CH255">
        <v>5</v>
      </c>
      <c r="CI255">
        <v>11</v>
      </c>
      <c r="CJ255">
        <v>1.29</v>
      </c>
      <c r="CK255">
        <v>5.87</v>
      </c>
      <c r="CL255">
        <v>11.7</v>
      </c>
      <c r="CM255">
        <v>1.32</v>
      </c>
      <c r="CN255">
        <v>6</v>
      </c>
      <c r="CO255">
        <v>13</v>
      </c>
      <c r="CP255">
        <v>1.29</v>
      </c>
      <c r="CQ255">
        <v>5.63</v>
      </c>
      <c r="CR255">
        <v>11.79</v>
      </c>
      <c r="CS255">
        <v>1.32</v>
      </c>
      <c r="CT255">
        <v>5.9</v>
      </c>
      <c r="CU255">
        <v>13</v>
      </c>
      <c r="CV255">
        <v>1.84</v>
      </c>
      <c r="CW255">
        <v>2.06</v>
      </c>
      <c r="CX255">
        <v>1.85</v>
      </c>
      <c r="CY255">
        <v>2.0699999999999998</v>
      </c>
      <c r="CZ255">
        <v>1.87</v>
      </c>
      <c r="DA255">
        <v>2.11</v>
      </c>
      <c r="DB255">
        <v>1.81</v>
      </c>
      <c r="DC255">
        <v>2.0499999999999998</v>
      </c>
      <c r="DD255">
        <v>1.88</v>
      </c>
      <c r="DE255">
        <v>2.12</v>
      </c>
      <c r="DF255">
        <v>-1.5</v>
      </c>
      <c r="DG255">
        <v>1.89</v>
      </c>
      <c r="DH255">
        <v>2.04</v>
      </c>
      <c r="DI255">
        <v>1.94</v>
      </c>
      <c r="DJ255">
        <v>1.98</v>
      </c>
      <c r="DK255">
        <v>1.97</v>
      </c>
      <c r="DL255">
        <v>2.06</v>
      </c>
      <c r="DM255">
        <v>1.88</v>
      </c>
      <c r="DN255">
        <v>1.98</v>
      </c>
      <c r="DO255">
        <v>1.91</v>
      </c>
      <c r="DP255">
        <v>2.06</v>
      </c>
    </row>
    <row r="256" spans="1:120" x14ac:dyDescent="0.3">
      <c r="A256" t="s">
        <v>120</v>
      </c>
      <c r="B256" t="s">
        <v>214</v>
      </c>
      <c r="C256" s="1">
        <v>0.625</v>
      </c>
      <c r="D256" t="s">
        <v>142</v>
      </c>
      <c r="E256" t="s">
        <v>133</v>
      </c>
      <c r="F256">
        <v>0</v>
      </c>
      <c r="G256">
        <v>1</v>
      </c>
      <c r="H256" t="s">
        <v>130</v>
      </c>
      <c r="I256">
        <v>0</v>
      </c>
      <c r="J256">
        <v>1</v>
      </c>
      <c r="K256" t="s">
        <v>130</v>
      </c>
      <c r="L256" t="s">
        <v>160</v>
      </c>
      <c r="M256">
        <v>8</v>
      </c>
      <c r="N256">
        <v>13</v>
      </c>
      <c r="O256">
        <v>3</v>
      </c>
      <c r="P256">
        <v>5</v>
      </c>
      <c r="Q256">
        <v>17</v>
      </c>
      <c r="R256">
        <v>9</v>
      </c>
      <c r="S256">
        <v>6</v>
      </c>
      <c r="T256">
        <v>7</v>
      </c>
      <c r="U256">
        <v>3</v>
      </c>
      <c r="V256">
        <v>3</v>
      </c>
      <c r="W256">
        <v>1</v>
      </c>
      <c r="X256">
        <v>0</v>
      </c>
      <c r="Y256">
        <v>1.53</v>
      </c>
      <c r="Z256">
        <v>4.5</v>
      </c>
      <c r="AA256">
        <v>5.5</v>
      </c>
      <c r="AE256">
        <v>1.57</v>
      </c>
      <c r="AF256">
        <v>4.33</v>
      </c>
      <c r="AG256">
        <v>5.5</v>
      </c>
      <c r="AH256">
        <v>1.57</v>
      </c>
      <c r="AI256">
        <v>4.5199999999999996</v>
      </c>
      <c r="AJ256">
        <v>5.58</v>
      </c>
      <c r="AK256">
        <v>1.57</v>
      </c>
      <c r="AL256">
        <v>4.4000000000000004</v>
      </c>
      <c r="AM256">
        <v>5</v>
      </c>
      <c r="AN256">
        <v>1.59</v>
      </c>
      <c r="AO256">
        <v>4.59</v>
      </c>
      <c r="AP256">
        <v>5.6</v>
      </c>
      <c r="AQ256">
        <v>1.6</v>
      </c>
      <c r="AR256">
        <v>4.5999999999999996</v>
      </c>
      <c r="AS256">
        <v>5.8</v>
      </c>
      <c r="AT256">
        <v>1.56</v>
      </c>
      <c r="AU256">
        <v>4.45</v>
      </c>
      <c r="AV256">
        <v>5.5</v>
      </c>
      <c r="AW256">
        <v>1.61</v>
      </c>
      <c r="AX256">
        <v>4.5</v>
      </c>
      <c r="AY256">
        <v>6</v>
      </c>
      <c r="AZ256">
        <v>1.57</v>
      </c>
      <c r="BA256">
        <v>2.38</v>
      </c>
      <c r="BB256">
        <v>1.61</v>
      </c>
      <c r="BC256">
        <v>2.41</v>
      </c>
      <c r="BD256">
        <v>1.62</v>
      </c>
      <c r="BE256">
        <v>2.4500000000000002</v>
      </c>
      <c r="BF256">
        <v>1.59</v>
      </c>
      <c r="BG256">
        <v>2.39</v>
      </c>
      <c r="BH256">
        <v>1.63</v>
      </c>
      <c r="BI256">
        <v>2.54</v>
      </c>
      <c r="BJ256">
        <v>-1</v>
      </c>
      <c r="BK256">
        <v>1.92</v>
      </c>
      <c r="BL256">
        <v>1.98</v>
      </c>
      <c r="BM256">
        <v>1.94</v>
      </c>
      <c r="BN256">
        <v>1.96</v>
      </c>
      <c r="BO256">
        <v>2</v>
      </c>
      <c r="BP256">
        <v>1.99</v>
      </c>
      <c r="BQ256">
        <v>1.92</v>
      </c>
      <c r="BR256">
        <v>1.93</v>
      </c>
      <c r="BS256">
        <v>1.97</v>
      </c>
      <c r="BT256">
        <v>1.99</v>
      </c>
      <c r="BU256">
        <v>1.62</v>
      </c>
      <c r="BV256">
        <v>4.0999999999999996</v>
      </c>
      <c r="BW256">
        <v>5</v>
      </c>
      <c r="CA256">
        <v>1.62</v>
      </c>
      <c r="CB256">
        <v>4.2</v>
      </c>
      <c r="CC256">
        <v>5</v>
      </c>
      <c r="CD256">
        <v>1.66</v>
      </c>
      <c r="CE256">
        <v>4.21</v>
      </c>
      <c r="CF256">
        <v>5.27</v>
      </c>
      <c r="CG256">
        <v>1.65</v>
      </c>
      <c r="CH256">
        <v>4</v>
      </c>
      <c r="CI256">
        <v>5</v>
      </c>
      <c r="CJ256">
        <v>1.65</v>
      </c>
      <c r="CK256">
        <v>4.2300000000000004</v>
      </c>
      <c r="CL256">
        <v>5.37</v>
      </c>
      <c r="CM256">
        <v>1.68</v>
      </c>
      <c r="CN256">
        <v>4.33</v>
      </c>
      <c r="CO256">
        <v>5.6</v>
      </c>
      <c r="CP256">
        <v>1.64</v>
      </c>
      <c r="CQ256">
        <v>4.18</v>
      </c>
      <c r="CR256">
        <v>5.22</v>
      </c>
      <c r="CS256">
        <v>1.68</v>
      </c>
      <c r="CT256">
        <v>4.3</v>
      </c>
      <c r="CU256">
        <v>5.6</v>
      </c>
      <c r="CV256">
        <v>1.67</v>
      </c>
      <c r="CW256">
        <v>2.2000000000000002</v>
      </c>
      <c r="CX256">
        <v>1.71</v>
      </c>
      <c r="CY256">
        <v>2.2400000000000002</v>
      </c>
      <c r="CZ256">
        <v>1.72</v>
      </c>
      <c r="DA256">
        <v>2.36</v>
      </c>
      <c r="DB256">
        <v>1.67</v>
      </c>
      <c r="DC256">
        <v>2.2599999999999998</v>
      </c>
      <c r="DD256">
        <v>1.74</v>
      </c>
      <c r="DE256">
        <v>2.34</v>
      </c>
      <c r="DF256">
        <v>-0.75</v>
      </c>
      <c r="DG256">
        <v>1.84</v>
      </c>
      <c r="DH256">
        <v>2.09</v>
      </c>
      <c r="DI256">
        <v>1.84</v>
      </c>
      <c r="DJ256">
        <v>2.1</v>
      </c>
      <c r="DK256">
        <v>1.87</v>
      </c>
      <c r="DL256">
        <v>2.13</v>
      </c>
      <c r="DM256">
        <v>1.8</v>
      </c>
      <c r="DN256">
        <v>2.0699999999999998</v>
      </c>
      <c r="DO256">
        <v>1.84</v>
      </c>
      <c r="DP256">
        <v>2.16</v>
      </c>
    </row>
    <row r="257" spans="1:120" x14ac:dyDescent="0.3">
      <c r="A257" t="s">
        <v>120</v>
      </c>
      <c r="B257" t="s">
        <v>214</v>
      </c>
      <c r="C257" s="1">
        <v>0.625</v>
      </c>
      <c r="D257" t="s">
        <v>123</v>
      </c>
      <c r="E257" t="s">
        <v>149</v>
      </c>
      <c r="F257">
        <v>0</v>
      </c>
      <c r="G257">
        <v>2</v>
      </c>
      <c r="H257" t="s">
        <v>130</v>
      </c>
      <c r="I257">
        <v>0</v>
      </c>
      <c r="J257">
        <v>1</v>
      </c>
      <c r="K257" t="s">
        <v>130</v>
      </c>
      <c r="L257" t="s">
        <v>126</v>
      </c>
      <c r="M257">
        <v>10</v>
      </c>
      <c r="N257">
        <v>10</v>
      </c>
      <c r="O257">
        <v>0</v>
      </c>
      <c r="P257">
        <v>5</v>
      </c>
      <c r="Q257">
        <v>10</v>
      </c>
      <c r="R257">
        <v>7</v>
      </c>
      <c r="S257">
        <v>7</v>
      </c>
      <c r="T257">
        <v>7</v>
      </c>
      <c r="U257">
        <v>1</v>
      </c>
      <c r="V257">
        <v>3</v>
      </c>
      <c r="W257">
        <v>0</v>
      </c>
      <c r="X257">
        <v>0</v>
      </c>
      <c r="Y257">
        <v>2.0499999999999998</v>
      </c>
      <c r="Z257">
        <v>3.4</v>
      </c>
      <c r="AA257">
        <v>3.7</v>
      </c>
      <c r="AE257">
        <v>2.0499999999999998</v>
      </c>
      <c r="AF257">
        <v>3.4</v>
      </c>
      <c r="AG257">
        <v>3.75</v>
      </c>
      <c r="AH257">
        <v>2.04</v>
      </c>
      <c r="AI257">
        <v>3.52</v>
      </c>
      <c r="AJ257">
        <v>3.84</v>
      </c>
      <c r="AK257">
        <v>2.0499999999999998</v>
      </c>
      <c r="AL257">
        <v>3.4</v>
      </c>
      <c r="AM257">
        <v>3.7</v>
      </c>
      <c r="AN257">
        <v>2.0699999999999998</v>
      </c>
      <c r="AO257">
        <v>3.61</v>
      </c>
      <c r="AP257">
        <v>3.77</v>
      </c>
      <c r="AQ257">
        <v>2.08</v>
      </c>
      <c r="AR257">
        <v>3.61</v>
      </c>
      <c r="AS257">
        <v>3.89</v>
      </c>
      <c r="AT257">
        <v>2.0499999999999998</v>
      </c>
      <c r="AU257">
        <v>3.48</v>
      </c>
      <c r="AV257">
        <v>3.74</v>
      </c>
      <c r="AW257">
        <v>2.12</v>
      </c>
      <c r="AX257">
        <v>3.55</v>
      </c>
      <c r="AY257">
        <v>3.9</v>
      </c>
      <c r="AZ257">
        <v>2.02</v>
      </c>
      <c r="BA257">
        <v>1.88</v>
      </c>
      <c r="BB257">
        <v>2</v>
      </c>
      <c r="BC257">
        <v>1.89</v>
      </c>
      <c r="BD257">
        <v>2.02</v>
      </c>
      <c r="BE257">
        <v>1.9</v>
      </c>
      <c r="BF257">
        <v>1.98</v>
      </c>
      <c r="BG257">
        <v>1.87</v>
      </c>
      <c r="BH257">
        <v>2.04</v>
      </c>
      <c r="BI257">
        <v>1.92</v>
      </c>
      <c r="BJ257">
        <v>-0.5</v>
      </c>
      <c r="BK257">
        <v>2.06</v>
      </c>
      <c r="BL257">
        <v>1.84</v>
      </c>
      <c r="BM257">
        <v>2.0499999999999998</v>
      </c>
      <c r="BN257">
        <v>1.86</v>
      </c>
      <c r="BO257">
        <v>2.08</v>
      </c>
      <c r="BP257">
        <v>1.87</v>
      </c>
      <c r="BQ257">
        <v>2.0299999999999998</v>
      </c>
      <c r="BR257">
        <v>1.82</v>
      </c>
      <c r="BS257">
        <v>2.12</v>
      </c>
      <c r="BT257">
        <v>1.87</v>
      </c>
      <c r="BU257">
        <v>2.1</v>
      </c>
      <c r="BV257">
        <v>3.4</v>
      </c>
      <c r="BW257">
        <v>3.6</v>
      </c>
      <c r="CA257">
        <v>2.1</v>
      </c>
      <c r="CB257">
        <v>3.4</v>
      </c>
      <c r="CC257">
        <v>3.7</v>
      </c>
      <c r="CD257">
        <v>2.1</v>
      </c>
      <c r="CE257">
        <v>3.49</v>
      </c>
      <c r="CF257">
        <v>3.77</v>
      </c>
      <c r="CG257">
        <v>2.0499999999999998</v>
      </c>
      <c r="CH257">
        <v>3.4</v>
      </c>
      <c r="CI257">
        <v>3.7</v>
      </c>
      <c r="CJ257">
        <v>2.09</v>
      </c>
      <c r="CK257">
        <v>3.46</v>
      </c>
      <c r="CL257">
        <v>3.81</v>
      </c>
      <c r="CM257">
        <v>2.12</v>
      </c>
      <c r="CN257">
        <v>3.57</v>
      </c>
      <c r="CO257">
        <v>3.9</v>
      </c>
      <c r="CP257">
        <v>2.08</v>
      </c>
      <c r="CQ257">
        <v>3.46</v>
      </c>
      <c r="CR257">
        <v>3.72</v>
      </c>
      <c r="CS257">
        <v>2.16</v>
      </c>
      <c r="CT257">
        <v>3.55</v>
      </c>
      <c r="CU257">
        <v>3.85</v>
      </c>
      <c r="CV257">
        <v>1.98</v>
      </c>
      <c r="CW257">
        <v>1.92</v>
      </c>
      <c r="CX257">
        <v>2</v>
      </c>
      <c r="CY257">
        <v>1.9</v>
      </c>
      <c r="CZ257">
        <v>2</v>
      </c>
      <c r="DA257">
        <v>1.96</v>
      </c>
      <c r="DB257">
        <v>1.97</v>
      </c>
      <c r="DC257">
        <v>1.89</v>
      </c>
      <c r="DD257">
        <v>2.02</v>
      </c>
      <c r="DE257">
        <v>1.97</v>
      </c>
      <c r="DF257">
        <v>-0.25</v>
      </c>
      <c r="DG257">
        <v>1.86</v>
      </c>
      <c r="DH257">
        <v>2.0699999999999998</v>
      </c>
      <c r="DI257">
        <v>1.81</v>
      </c>
      <c r="DJ257">
        <v>2.12</v>
      </c>
      <c r="DK257">
        <v>1.86</v>
      </c>
      <c r="DL257">
        <v>2.13</v>
      </c>
      <c r="DM257">
        <v>1.79</v>
      </c>
      <c r="DN257">
        <v>2.1</v>
      </c>
      <c r="DO257">
        <v>1.85</v>
      </c>
      <c r="DP257">
        <v>2.15</v>
      </c>
    </row>
    <row r="258" spans="1:120" x14ac:dyDescent="0.3">
      <c r="A258" t="s">
        <v>120</v>
      </c>
      <c r="B258" t="s">
        <v>214</v>
      </c>
      <c r="C258" s="1">
        <v>0.625</v>
      </c>
      <c r="D258" t="s">
        <v>128</v>
      </c>
      <c r="E258" t="s">
        <v>156</v>
      </c>
      <c r="F258">
        <v>1</v>
      </c>
      <c r="G258">
        <v>4</v>
      </c>
      <c r="H258" t="s">
        <v>130</v>
      </c>
      <c r="I258">
        <v>1</v>
      </c>
      <c r="J258">
        <v>2</v>
      </c>
      <c r="K258" t="s">
        <v>130</v>
      </c>
      <c r="L258" t="s">
        <v>131</v>
      </c>
      <c r="M258">
        <v>17</v>
      </c>
      <c r="N258">
        <v>10</v>
      </c>
      <c r="O258">
        <v>5</v>
      </c>
      <c r="P258">
        <v>6</v>
      </c>
      <c r="Q258">
        <v>15</v>
      </c>
      <c r="R258">
        <v>14</v>
      </c>
      <c r="S258">
        <v>4</v>
      </c>
      <c r="T258">
        <v>4</v>
      </c>
      <c r="U258">
        <v>2</v>
      </c>
      <c r="V258">
        <v>1</v>
      </c>
      <c r="W258">
        <v>0</v>
      </c>
      <c r="X258">
        <v>0</v>
      </c>
      <c r="Y258">
        <v>4.0999999999999996</v>
      </c>
      <c r="Z258">
        <v>3.6</v>
      </c>
      <c r="AA258">
        <v>1.9</v>
      </c>
      <c r="AE258">
        <v>3.9</v>
      </c>
      <c r="AF258">
        <v>3.9</v>
      </c>
      <c r="AG258">
        <v>1.87</v>
      </c>
      <c r="AH258">
        <v>3.92</v>
      </c>
      <c r="AI258">
        <v>3.96</v>
      </c>
      <c r="AJ258">
        <v>1.89</v>
      </c>
      <c r="AK258">
        <v>3.75</v>
      </c>
      <c r="AL258">
        <v>3.8</v>
      </c>
      <c r="AM258">
        <v>1.91</v>
      </c>
      <c r="AN258">
        <v>4</v>
      </c>
      <c r="AO258">
        <v>4</v>
      </c>
      <c r="AP258">
        <v>1.9</v>
      </c>
      <c r="AQ258">
        <v>4.0999999999999996</v>
      </c>
      <c r="AR258">
        <v>4.05</v>
      </c>
      <c r="AS258">
        <v>1.93</v>
      </c>
      <c r="AT258">
        <v>3.87</v>
      </c>
      <c r="AU258">
        <v>3.89</v>
      </c>
      <c r="AV258">
        <v>1.89</v>
      </c>
      <c r="AW258">
        <v>4.2</v>
      </c>
      <c r="AX258">
        <v>4</v>
      </c>
      <c r="AY258">
        <v>1.93</v>
      </c>
      <c r="AZ258">
        <v>1.53</v>
      </c>
      <c r="BA258">
        <v>2.5</v>
      </c>
      <c r="BB258">
        <v>1.53</v>
      </c>
      <c r="BC258">
        <v>2.58</v>
      </c>
      <c r="BD258">
        <v>1.54</v>
      </c>
      <c r="BE258">
        <v>2.66</v>
      </c>
      <c r="BF258">
        <v>1.52</v>
      </c>
      <c r="BG258">
        <v>2.56</v>
      </c>
      <c r="BH258">
        <v>1.55</v>
      </c>
      <c r="BI258">
        <v>2.68</v>
      </c>
      <c r="BJ258">
        <v>0.5</v>
      </c>
      <c r="BK258">
        <v>2</v>
      </c>
      <c r="BL258">
        <v>1.9</v>
      </c>
      <c r="BM258">
        <v>2</v>
      </c>
      <c r="BN258">
        <v>1.9</v>
      </c>
      <c r="BO258">
        <v>2.02</v>
      </c>
      <c r="BP258">
        <v>1.92</v>
      </c>
      <c r="BQ258">
        <v>1.96</v>
      </c>
      <c r="BR258">
        <v>1.89</v>
      </c>
      <c r="BS258">
        <v>2.06</v>
      </c>
      <c r="BT258">
        <v>1.93</v>
      </c>
      <c r="BU258">
        <v>3.3</v>
      </c>
      <c r="BV258">
        <v>3.75</v>
      </c>
      <c r="BW258">
        <v>2.0499999999999998</v>
      </c>
      <c r="CA258">
        <v>3.4</v>
      </c>
      <c r="CB258">
        <v>3.75</v>
      </c>
      <c r="CC258">
        <v>2.0499999999999998</v>
      </c>
      <c r="CD258">
        <v>3.42</v>
      </c>
      <c r="CE258">
        <v>3.85</v>
      </c>
      <c r="CF258">
        <v>2.1</v>
      </c>
      <c r="CG258">
        <v>3.3</v>
      </c>
      <c r="CH258">
        <v>3.6</v>
      </c>
      <c r="CI258">
        <v>2.0499999999999998</v>
      </c>
      <c r="CJ258">
        <v>3.63</v>
      </c>
      <c r="CK258">
        <v>3.9</v>
      </c>
      <c r="CL258">
        <v>2.0099999999999998</v>
      </c>
      <c r="CM258">
        <v>3.7</v>
      </c>
      <c r="CN258">
        <v>3.93</v>
      </c>
      <c r="CO258">
        <v>2.16</v>
      </c>
      <c r="CP258">
        <v>3.38</v>
      </c>
      <c r="CQ258">
        <v>3.8</v>
      </c>
      <c r="CR258">
        <v>2.0699999999999998</v>
      </c>
      <c r="CS258">
        <v>3.6</v>
      </c>
      <c r="CT258">
        <v>3.85</v>
      </c>
      <c r="CU258">
        <v>2.14</v>
      </c>
      <c r="CV258">
        <v>1.5</v>
      </c>
      <c r="CW258">
        <v>2.63</v>
      </c>
      <c r="CX258">
        <v>1.51</v>
      </c>
      <c r="CY258">
        <v>2.66</v>
      </c>
      <c r="CZ258">
        <v>1.54</v>
      </c>
      <c r="DA258">
        <v>2.77</v>
      </c>
      <c r="DB258">
        <v>1.5</v>
      </c>
      <c r="DC258">
        <v>2.64</v>
      </c>
      <c r="DD258">
        <v>1.55</v>
      </c>
      <c r="DE258">
        <v>2.78</v>
      </c>
      <c r="DF258">
        <v>0.5</v>
      </c>
      <c r="DG258">
        <v>1.75</v>
      </c>
      <c r="DH258">
        <v>2.0499999999999998</v>
      </c>
      <c r="DI258">
        <v>1.82</v>
      </c>
      <c r="DJ258">
        <v>2.09</v>
      </c>
      <c r="DK258">
        <v>1.91</v>
      </c>
      <c r="DL258">
        <v>2.13</v>
      </c>
      <c r="DM258">
        <v>1.8</v>
      </c>
      <c r="DN258">
        <v>2.0699999999999998</v>
      </c>
      <c r="DO258">
        <v>1.88</v>
      </c>
      <c r="DP258">
        <v>2.12</v>
      </c>
    </row>
    <row r="259" spans="1:120" x14ac:dyDescent="0.3">
      <c r="A259" t="s">
        <v>120</v>
      </c>
      <c r="B259" t="s">
        <v>214</v>
      </c>
      <c r="C259" s="1">
        <v>0.625</v>
      </c>
      <c r="D259" t="s">
        <v>139</v>
      </c>
      <c r="E259" t="s">
        <v>136</v>
      </c>
      <c r="F259">
        <v>0</v>
      </c>
      <c r="G259">
        <v>4</v>
      </c>
      <c r="H259" t="s">
        <v>130</v>
      </c>
      <c r="I259">
        <v>0</v>
      </c>
      <c r="J259">
        <v>1</v>
      </c>
      <c r="K259" t="s">
        <v>130</v>
      </c>
      <c r="L259" t="s">
        <v>159</v>
      </c>
      <c r="M259">
        <v>6</v>
      </c>
      <c r="N259">
        <v>18</v>
      </c>
      <c r="O259">
        <v>1</v>
      </c>
      <c r="P259">
        <v>12</v>
      </c>
      <c r="Q259">
        <v>11</v>
      </c>
      <c r="R259">
        <v>12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6</v>
      </c>
      <c r="Z259">
        <v>4.0999999999999996</v>
      </c>
      <c r="AA259">
        <v>1.55</v>
      </c>
      <c r="AE259">
        <v>5.5</v>
      </c>
      <c r="AF259">
        <v>4.33</v>
      </c>
      <c r="AG259">
        <v>1.55</v>
      </c>
      <c r="AH259">
        <v>5.56</v>
      </c>
      <c r="AI259">
        <v>4.53</v>
      </c>
      <c r="AJ259">
        <v>1.57</v>
      </c>
      <c r="AK259">
        <v>5</v>
      </c>
      <c r="AL259">
        <v>4.2</v>
      </c>
      <c r="AM259">
        <v>1.57</v>
      </c>
      <c r="AN259">
        <v>5.44</v>
      </c>
      <c r="AO259">
        <v>4.53</v>
      </c>
      <c r="AP259">
        <v>1.61</v>
      </c>
      <c r="AQ259">
        <v>6</v>
      </c>
      <c r="AR259">
        <v>4.5999999999999996</v>
      </c>
      <c r="AS259">
        <v>1.61</v>
      </c>
      <c r="AT259">
        <v>5.52</v>
      </c>
      <c r="AU259">
        <v>4.38</v>
      </c>
      <c r="AV259">
        <v>1.57</v>
      </c>
      <c r="AW259">
        <v>6.2</v>
      </c>
      <c r="AX259">
        <v>4.5999999999999996</v>
      </c>
      <c r="AY259">
        <v>1.6</v>
      </c>
      <c r="AZ259">
        <v>1.57</v>
      </c>
      <c r="BA259">
        <v>2.38</v>
      </c>
      <c r="BB259">
        <v>1.59</v>
      </c>
      <c r="BC259">
        <v>2.46</v>
      </c>
      <c r="BD259">
        <v>1.62</v>
      </c>
      <c r="BE259">
        <v>2.5</v>
      </c>
      <c r="BF259">
        <v>1.58</v>
      </c>
      <c r="BG259">
        <v>2.42</v>
      </c>
      <c r="BH259">
        <v>1.61</v>
      </c>
      <c r="BI259">
        <v>2.54</v>
      </c>
      <c r="BJ259">
        <v>1</v>
      </c>
      <c r="BK259">
        <v>1.97</v>
      </c>
      <c r="BL259">
        <v>1.93</v>
      </c>
      <c r="BM259">
        <v>1.97</v>
      </c>
      <c r="BN259">
        <v>1.93</v>
      </c>
      <c r="BO259">
        <v>1.99</v>
      </c>
      <c r="BP259">
        <v>1.98</v>
      </c>
      <c r="BQ259">
        <v>1.91</v>
      </c>
      <c r="BR259">
        <v>1.93</v>
      </c>
      <c r="BS259">
        <v>1.99</v>
      </c>
      <c r="BT259">
        <v>1.96</v>
      </c>
      <c r="BU259">
        <v>5.25</v>
      </c>
      <c r="BV259">
        <v>4.33</v>
      </c>
      <c r="BW259">
        <v>1.53</v>
      </c>
      <c r="CA259">
        <v>5.5</v>
      </c>
      <c r="CB259">
        <v>4.33</v>
      </c>
      <c r="CC259">
        <v>1.57</v>
      </c>
      <c r="CD259">
        <v>5.83</v>
      </c>
      <c r="CE259">
        <v>4.51</v>
      </c>
      <c r="CF259">
        <v>1.57</v>
      </c>
      <c r="CG259">
        <v>5.5</v>
      </c>
      <c r="CH259">
        <v>4.4000000000000004</v>
      </c>
      <c r="CI259">
        <v>1.57</v>
      </c>
      <c r="CJ259">
        <v>5.92</v>
      </c>
      <c r="CK259">
        <v>4.4800000000000004</v>
      </c>
      <c r="CL259">
        <v>1.57</v>
      </c>
      <c r="CM259">
        <v>6</v>
      </c>
      <c r="CN259">
        <v>4.66</v>
      </c>
      <c r="CO259">
        <v>1.58</v>
      </c>
      <c r="CP259">
        <v>5.7</v>
      </c>
      <c r="CQ259">
        <v>4.5</v>
      </c>
      <c r="CR259">
        <v>1.56</v>
      </c>
      <c r="CS259">
        <v>6</v>
      </c>
      <c r="CT259">
        <v>4.5999999999999996</v>
      </c>
      <c r="CU259">
        <v>1.6</v>
      </c>
      <c r="CV259">
        <v>1.53</v>
      </c>
      <c r="CW259">
        <v>2.5</v>
      </c>
      <c r="CX259">
        <v>1.52</v>
      </c>
      <c r="CY259">
        <v>2.62</v>
      </c>
      <c r="CZ259">
        <v>1.56</v>
      </c>
      <c r="DA259">
        <v>2.69</v>
      </c>
      <c r="DB259">
        <v>1.52</v>
      </c>
      <c r="DC259">
        <v>2.59</v>
      </c>
      <c r="DD259">
        <v>1.56</v>
      </c>
      <c r="DE259">
        <v>2.76</v>
      </c>
      <c r="DF259">
        <v>1</v>
      </c>
      <c r="DG259">
        <v>2.02</v>
      </c>
      <c r="DH259">
        <v>1.91</v>
      </c>
      <c r="DI259">
        <v>2.0099999999999998</v>
      </c>
      <c r="DJ259">
        <v>1.92</v>
      </c>
      <c r="DK259">
        <v>2.06</v>
      </c>
      <c r="DL259">
        <v>1.93</v>
      </c>
      <c r="DM259">
        <v>1.98</v>
      </c>
      <c r="DN259">
        <v>1.89</v>
      </c>
      <c r="DO259">
        <v>2.0299999999999998</v>
      </c>
      <c r="DP259">
        <v>1.94</v>
      </c>
    </row>
    <row r="260" spans="1:120" x14ac:dyDescent="0.3">
      <c r="A260" t="s">
        <v>120</v>
      </c>
      <c r="B260" t="s">
        <v>214</v>
      </c>
      <c r="C260" s="1">
        <v>0.72916666666666663</v>
      </c>
      <c r="D260" t="s">
        <v>145</v>
      </c>
      <c r="E260" t="s">
        <v>151</v>
      </c>
      <c r="F260">
        <v>2</v>
      </c>
      <c r="G260">
        <v>1</v>
      </c>
      <c r="H260" t="s">
        <v>124</v>
      </c>
      <c r="I260">
        <v>0</v>
      </c>
      <c r="J260">
        <v>1</v>
      </c>
      <c r="K260" t="s">
        <v>130</v>
      </c>
      <c r="L260" t="s">
        <v>143</v>
      </c>
      <c r="M260">
        <v>12</v>
      </c>
      <c r="N260">
        <v>15</v>
      </c>
      <c r="O260">
        <v>6</v>
      </c>
      <c r="P260">
        <v>7</v>
      </c>
      <c r="Q260">
        <v>15</v>
      </c>
      <c r="R260">
        <v>16</v>
      </c>
      <c r="S260">
        <v>2</v>
      </c>
      <c r="T260">
        <v>3</v>
      </c>
      <c r="U260">
        <v>1</v>
      </c>
      <c r="V260">
        <v>3</v>
      </c>
      <c r="W260">
        <v>0</v>
      </c>
      <c r="X260">
        <v>0</v>
      </c>
      <c r="Y260">
        <v>2.63</v>
      </c>
      <c r="Z260">
        <v>3.4</v>
      </c>
      <c r="AA260">
        <v>2.6</v>
      </c>
      <c r="AE260">
        <v>2.63</v>
      </c>
      <c r="AF260">
        <v>3.6</v>
      </c>
      <c r="AG260">
        <v>2.63</v>
      </c>
      <c r="AH260">
        <v>2.62</v>
      </c>
      <c r="AI260">
        <v>3.78</v>
      </c>
      <c r="AJ260">
        <v>2.58</v>
      </c>
      <c r="AK260">
        <v>2.62</v>
      </c>
      <c r="AL260">
        <v>3.6</v>
      </c>
      <c r="AM260">
        <v>2.5</v>
      </c>
      <c r="AN260">
        <v>2.67</v>
      </c>
      <c r="AO260">
        <v>3.77</v>
      </c>
      <c r="AP260">
        <v>2.59</v>
      </c>
      <c r="AQ260">
        <v>2.67</v>
      </c>
      <c r="AR260">
        <v>3.84</v>
      </c>
      <c r="AS260">
        <v>2.63</v>
      </c>
      <c r="AT260">
        <v>2.62</v>
      </c>
      <c r="AU260">
        <v>3.7</v>
      </c>
      <c r="AV260">
        <v>2.56</v>
      </c>
      <c r="AW260">
        <v>2.7</v>
      </c>
      <c r="AX260">
        <v>3.8</v>
      </c>
      <c r="AY260">
        <v>2.7</v>
      </c>
      <c r="AZ260">
        <v>1.57</v>
      </c>
      <c r="BA260">
        <v>2.38</v>
      </c>
      <c r="BB260">
        <v>1.58</v>
      </c>
      <c r="BC260">
        <v>2.4900000000000002</v>
      </c>
      <c r="BD260">
        <v>1.58</v>
      </c>
      <c r="BE260">
        <v>2.5499999999999998</v>
      </c>
      <c r="BF260">
        <v>1.56</v>
      </c>
      <c r="BG260">
        <v>2.4500000000000002</v>
      </c>
      <c r="BH260">
        <v>1.61</v>
      </c>
      <c r="BI260">
        <v>2.54</v>
      </c>
      <c r="BJ260">
        <v>0</v>
      </c>
      <c r="BK260">
        <v>1.98</v>
      </c>
      <c r="BL260">
        <v>1.92</v>
      </c>
      <c r="BM260">
        <v>1.97</v>
      </c>
      <c r="BN260">
        <v>1.93</v>
      </c>
      <c r="BO260">
        <v>2</v>
      </c>
      <c r="BP260">
        <v>1.95</v>
      </c>
      <c r="BQ260">
        <v>1.95</v>
      </c>
      <c r="BR260">
        <v>1.89</v>
      </c>
      <c r="BS260">
        <v>1.98</v>
      </c>
      <c r="BT260">
        <v>2</v>
      </c>
      <c r="BU260">
        <v>2.6</v>
      </c>
      <c r="BV260">
        <v>3.3</v>
      </c>
      <c r="BW260">
        <v>2.63</v>
      </c>
      <c r="CA260">
        <v>2.5499999999999998</v>
      </c>
      <c r="CB260">
        <v>3.5</v>
      </c>
      <c r="CC260">
        <v>2.6</v>
      </c>
      <c r="CD260">
        <v>2.68</v>
      </c>
      <c r="CE260">
        <v>3.61</v>
      </c>
      <c r="CF260">
        <v>2.65</v>
      </c>
      <c r="CG260">
        <v>2.62</v>
      </c>
      <c r="CH260">
        <v>3.5</v>
      </c>
      <c r="CI260">
        <v>2.5</v>
      </c>
      <c r="CJ260">
        <v>2.7</v>
      </c>
      <c r="CK260">
        <v>3.42</v>
      </c>
      <c r="CL260">
        <v>2.72</v>
      </c>
      <c r="CM260">
        <v>2.7</v>
      </c>
      <c r="CN260">
        <v>3.67</v>
      </c>
      <c r="CO260">
        <v>2.72</v>
      </c>
      <c r="CP260">
        <v>2.62</v>
      </c>
      <c r="CQ260">
        <v>3.53</v>
      </c>
      <c r="CR260">
        <v>2.65</v>
      </c>
      <c r="CS260">
        <v>2.7</v>
      </c>
      <c r="CT260">
        <v>3.7</v>
      </c>
      <c r="CU260">
        <v>2.74</v>
      </c>
      <c r="CV260">
        <v>1.62</v>
      </c>
      <c r="CW260">
        <v>2.2999999999999998</v>
      </c>
      <c r="CX260">
        <v>1.63</v>
      </c>
      <c r="CY260">
        <v>2.38</v>
      </c>
      <c r="CZ260">
        <v>1.65</v>
      </c>
      <c r="DA260">
        <v>2.44</v>
      </c>
      <c r="DB260">
        <v>1.62</v>
      </c>
      <c r="DC260">
        <v>2.36</v>
      </c>
      <c r="DD260">
        <v>1.65</v>
      </c>
      <c r="DE260">
        <v>2.5</v>
      </c>
      <c r="DF260">
        <v>0</v>
      </c>
      <c r="DG260">
        <v>1.95</v>
      </c>
      <c r="DH260">
        <v>1.98</v>
      </c>
      <c r="DI260">
        <v>1.97</v>
      </c>
      <c r="DJ260">
        <v>1.95</v>
      </c>
      <c r="DK260">
        <v>1.97</v>
      </c>
      <c r="DL260">
        <v>1.99</v>
      </c>
      <c r="DM260">
        <v>1.93</v>
      </c>
      <c r="DN260">
        <v>1.95</v>
      </c>
      <c r="DO260">
        <v>1.98</v>
      </c>
      <c r="DP260">
        <v>2</v>
      </c>
    </row>
    <row r="261" spans="1:120" x14ac:dyDescent="0.3">
      <c r="A261" t="s">
        <v>120</v>
      </c>
      <c r="B261" t="s">
        <v>215</v>
      </c>
      <c r="C261" s="1">
        <v>0.58333333333333337</v>
      </c>
      <c r="D261" t="s">
        <v>138</v>
      </c>
      <c r="E261" t="s">
        <v>141</v>
      </c>
      <c r="F261">
        <v>4</v>
      </c>
      <c r="G261">
        <v>3</v>
      </c>
      <c r="H261" t="s">
        <v>124</v>
      </c>
      <c r="I261">
        <v>4</v>
      </c>
      <c r="J261">
        <v>1</v>
      </c>
      <c r="K261" t="s">
        <v>124</v>
      </c>
      <c r="L261" t="s">
        <v>134</v>
      </c>
      <c r="M261">
        <v>13</v>
      </c>
      <c r="N261">
        <v>17</v>
      </c>
      <c r="O261">
        <v>5</v>
      </c>
      <c r="P261">
        <v>5</v>
      </c>
      <c r="Q261">
        <v>11</v>
      </c>
      <c r="R261">
        <v>13</v>
      </c>
      <c r="S261">
        <v>7</v>
      </c>
      <c r="T261">
        <v>6</v>
      </c>
      <c r="U261">
        <v>1</v>
      </c>
      <c r="V261">
        <v>4</v>
      </c>
      <c r="W261">
        <v>0</v>
      </c>
      <c r="X261">
        <v>0</v>
      </c>
      <c r="Y261">
        <v>1.8</v>
      </c>
      <c r="Z261">
        <v>3.8</v>
      </c>
      <c r="AA261">
        <v>4.2</v>
      </c>
      <c r="AE261">
        <v>1.8</v>
      </c>
      <c r="AF261">
        <v>3.9</v>
      </c>
      <c r="AG261">
        <v>4.33</v>
      </c>
      <c r="AH261">
        <v>1.84</v>
      </c>
      <c r="AI261">
        <v>4.03</v>
      </c>
      <c r="AJ261">
        <v>4.0999999999999996</v>
      </c>
      <c r="AK261">
        <v>1.8</v>
      </c>
      <c r="AL261">
        <v>3.9</v>
      </c>
      <c r="AM261">
        <v>4</v>
      </c>
      <c r="AN261">
        <v>1.83</v>
      </c>
      <c r="AO261">
        <v>4.12</v>
      </c>
      <c r="AP261">
        <v>4.22</v>
      </c>
      <c r="AQ261">
        <v>1.85</v>
      </c>
      <c r="AR261">
        <v>4.12</v>
      </c>
      <c r="AS261">
        <v>4.5</v>
      </c>
      <c r="AT261">
        <v>1.81</v>
      </c>
      <c r="AU261">
        <v>3.96</v>
      </c>
      <c r="AV261">
        <v>4.1100000000000003</v>
      </c>
      <c r="AW261">
        <v>1.86</v>
      </c>
      <c r="AX261">
        <v>4</v>
      </c>
      <c r="AY261">
        <v>4.4000000000000004</v>
      </c>
      <c r="AZ261">
        <v>1.67</v>
      </c>
      <c r="BA261">
        <v>2.2000000000000002</v>
      </c>
      <c r="BB261">
        <v>1.68</v>
      </c>
      <c r="BC261">
        <v>2.27</v>
      </c>
      <c r="BD261">
        <v>1.7</v>
      </c>
      <c r="BE261">
        <v>2.33</v>
      </c>
      <c r="BF261">
        <v>1.66</v>
      </c>
      <c r="BG261">
        <v>2.25</v>
      </c>
      <c r="BH261">
        <v>1.71</v>
      </c>
      <c r="BI261">
        <v>2.3199999999999998</v>
      </c>
      <c r="BJ261">
        <v>-0.75</v>
      </c>
      <c r="BK261">
        <v>2.06</v>
      </c>
      <c r="BL261">
        <v>1.84</v>
      </c>
      <c r="BM261">
        <v>2.08</v>
      </c>
      <c r="BN261">
        <v>1.82</v>
      </c>
      <c r="BO261">
        <v>2.08</v>
      </c>
      <c r="BP261">
        <v>1.87</v>
      </c>
      <c r="BQ261">
        <v>2.0299999999999998</v>
      </c>
      <c r="BR261">
        <v>1.81</v>
      </c>
      <c r="BS261">
        <v>2.11</v>
      </c>
      <c r="BT261">
        <v>1.87</v>
      </c>
      <c r="BU261">
        <v>1.9</v>
      </c>
      <c r="BV261">
        <v>3.8</v>
      </c>
      <c r="BW261">
        <v>3.75</v>
      </c>
      <c r="CA261">
        <v>1.85</v>
      </c>
      <c r="CB261">
        <v>3.75</v>
      </c>
      <c r="CC261">
        <v>3.9</v>
      </c>
      <c r="CD261">
        <v>1.92</v>
      </c>
      <c r="CE261">
        <v>3.88</v>
      </c>
      <c r="CF261">
        <v>4.01</v>
      </c>
      <c r="CG261">
        <v>1.91</v>
      </c>
      <c r="CH261">
        <v>3.8</v>
      </c>
      <c r="CI261">
        <v>3.6</v>
      </c>
      <c r="CJ261">
        <v>1.94</v>
      </c>
      <c r="CK261">
        <v>3.89</v>
      </c>
      <c r="CL261">
        <v>3.84</v>
      </c>
      <c r="CM261">
        <v>1.95</v>
      </c>
      <c r="CN261">
        <v>3.95</v>
      </c>
      <c r="CO261">
        <v>4.09</v>
      </c>
      <c r="CP261">
        <v>1.91</v>
      </c>
      <c r="CQ261">
        <v>3.84</v>
      </c>
      <c r="CR261">
        <v>3.89</v>
      </c>
      <c r="CS261">
        <v>1.95</v>
      </c>
      <c r="CT261">
        <v>4</v>
      </c>
      <c r="CU261">
        <v>4.0999999999999996</v>
      </c>
      <c r="CV261">
        <v>1.57</v>
      </c>
      <c r="CW261">
        <v>2.38</v>
      </c>
      <c r="CX261">
        <v>1.61</v>
      </c>
      <c r="CY261">
        <v>2.4300000000000002</v>
      </c>
      <c r="CZ261">
        <v>1.62</v>
      </c>
      <c r="DA261">
        <v>2.5299999999999998</v>
      </c>
      <c r="DB261">
        <v>1.59</v>
      </c>
      <c r="DC261">
        <v>2.42</v>
      </c>
      <c r="DD261">
        <v>1.66</v>
      </c>
      <c r="DE261">
        <v>2.5</v>
      </c>
      <c r="DF261">
        <v>-0.5</v>
      </c>
      <c r="DG261">
        <v>1.92</v>
      </c>
      <c r="DH261">
        <v>1.98</v>
      </c>
      <c r="DI261">
        <v>1.93</v>
      </c>
      <c r="DJ261">
        <v>2</v>
      </c>
      <c r="DK261">
        <v>1.94</v>
      </c>
      <c r="DL261">
        <v>2</v>
      </c>
      <c r="DM261">
        <v>1.9</v>
      </c>
      <c r="DN261">
        <v>1.96</v>
      </c>
      <c r="DO261">
        <v>1.95</v>
      </c>
      <c r="DP261">
        <v>2.04</v>
      </c>
    </row>
    <row r="262" spans="1:120" x14ac:dyDescent="0.3">
      <c r="A262" t="s">
        <v>120</v>
      </c>
      <c r="B262" t="s">
        <v>215</v>
      </c>
      <c r="C262" s="1">
        <v>0.6875</v>
      </c>
      <c r="D262" t="s">
        <v>152</v>
      </c>
      <c r="E262" t="s">
        <v>129</v>
      </c>
      <c r="F262">
        <v>0</v>
      </c>
      <c r="G262">
        <v>2</v>
      </c>
      <c r="H262" t="s">
        <v>130</v>
      </c>
      <c r="I262">
        <v>0</v>
      </c>
      <c r="J262">
        <v>2</v>
      </c>
      <c r="K262" t="s">
        <v>130</v>
      </c>
      <c r="L262" t="s">
        <v>153</v>
      </c>
      <c r="M262">
        <v>16</v>
      </c>
      <c r="N262">
        <v>8</v>
      </c>
      <c r="O262">
        <v>5</v>
      </c>
      <c r="P262">
        <v>4</v>
      </c>
      <c r="Q262">
        <v>3</v>
      </c>
      <c r="R262">
        <v>10</v>
      </c>
      <c r="S262">
        <v>7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2.88</v>
      </c>
      <c r="Z262">
        <v>3.8</v>
      </c>
      <c r="AA262">
        <v>2.25</v>
      </c>
      <c r="AE262">
        <v>2.9</v>
      </c>
      <c r="AF262">
        <v>3.9</v>
      </c>
      <c r="AG262">
        <v>2.2000000000000002</v>
      </c>
      <c r="AH262">
        <v>2.95</v>
      </c>
      <c r="AI262">
        <v>3.97</v>
      </c>
      <c r="AJ262">
        <v>2.2599999999999998</v>
      </c>
      <c r="AK262">
        <v>2.88</v>
      </c>
      <c r="AL262">
        <v>3.75</v>
      </c>
      <c r="AM262">
        <v>2.2999999999999998</v>
      </c>
      <c r="AN262">
        <v>3</v>
      </c>
      <c r="AO262">
        <v>3.97</v>
      </c>
      <c r="AP262">
        <v>2.27</v>
      </c>
      <c r="AQ262">
        <v>3</v>
      </c>
      <c r="AR262">
        <v>3.97</v>
      </c>
      <c r="AS262">
        <v>2.2999999999999998</v>
      </c>
      <c r="AT262">
        <v>2.9</v>
      </c>
      <c r="AU262">
        <v>3.86</v>
      </c>
      <c r="AV262">
        <v>2.2599999999999998</v>
      </c>
      <c r="AW262">
        <v>3</v>
      </c>
      <c r="AX262">
        <v>4.0999999999999996</v>
      </c>
      <c r="AY262">
        <v>2.3199999999999998</v>
      </c>
      <c r="AZ262">
        <v>1.4</v>
      </c>
      <c r="BA262">
        <v>3</v>
      </c>
      <c r="BB262">
        <v>1.44</v>
      </c>
      <c r="BC262">
        <v>2.87</v>
      </c>
      <c r="BD262">
        <v>1.44</v>
      </c>
      <c r="BE262">
        <v>3.02</v>
      </c>
      <c r="BF262">
        <v>1.41</v>
      </c>
      <c r="BG262">
        <v>2.89</v>
      </c>
      <c r="BH262">
        <v>1.44</v>
      </c>
      <c r="BI262">
        <v>3.1</v>
      </c>
      <c r="BJ262">
        <v>0.25</v>
      </c>
      <c r="BK262">
        <v>1.9</v>
      </c>
      <c r="BL262">
        <v>2</v>
      </c>
      <c r="BM262">
        <v>1.91</v>
      </c>
      <c r="BN262">
        <v>1.99</v>
      </c>
      <c r="BO262">
        <v>1.91</v>
      </c>
      <c r="BP262">
        <v>2.02</v>
      </c>
      <c r="BQ262">
        <v>1.87</v>
      </c>
      <c r="BR262">
        <v>1.97</v>
      </c>
      <c r="BS262">
        <v>1.95</v>
      </c>
      <c r="BT262">
        <v>2.04</v>
      </c>
      <c r="BU262">
        <v>3</v>
      </c>
      <c r="BV262">
        <v>3.8</v>
      </c>
      <c r="BW262">
        <v>2.2000000000000002</v>
      </c>
      <c r="CA262">
        <v>3</v>
      </c>
      <c r="CB262">
        <v>3.75</v>
      </c>
      <c r="CC262">
        <v>2.15</v>
      </c>
      <c r="CD262">
        <v>3.24</v>
      </c>
      <c r="CE262">
        <v>3.87</v>
      </c>
      <c r="CF262">
        <v>2.21</v>
      </c>
      <c r="CG262">
        <v>3.2</v>
      </c>
      <c r="CH262">
        <v>3.7</v>
      </c>
      <c r="CI262">
        <v>2.15</v>
      </c>
      <c r="CJ262">
        <v>3.22</v>
      </c>
      <c r="CK262">
        <v>3.87</v>
      </c>
      <c r="CL262">
        <v>2.17</v>
      </c>
      <c r="CM262">
        <v>3.31</v>
      </c>
      <c r="CN262">
        <v>3.92</v>
      </c>
      <c r="CO262">
        <v>2.25</v>
      </c>
      <c r="CP262">
        <v>3.14</v>
      </c>
      <c r="CQ262">
        <v>3.82</v>
      </c>
      <c r="CR262">
        <v>2.19</v>
      </c>
      <c r="CS262">
        <v>3.2</v>
      </c>
      <c r="CT262">
        <v>4</v>
      </c>
      <c r="CU262">
        <v>2.2599999999999998</v>
      </c>
      <c r="CV262">
        <v>1.5</v>
      </c>
      <c r="CW262">
        <v>2.63</v>
      </c>
      <c r="CX262">
        <v>1.53</v>
      </c>
      <c r="CY262">
        <v>2.61</v>
      </c>
      <c r="CZ262">
        <v>1.58</v>
      </c>
      <c r="DA262">
        <v>2.79</v>
      </c>
      <c r="DB262">
        <v>1.52</v>
      </c>
      <c r="DC262">
        <v>2.6</v>
      </c>
      <c r="DD262">
        <v>1.58</v>
      </c>
      <c r="DE262">
        <v>2.7</v>
      </c>
      <c r="DF262">
        <v>0.25</v>
      </c>
      <c r="DG262">
        <v>1.97</v>
      </c>
      <c r="DH262">
        <v>1.93</v>
      </c>
      <c r="DI262">
        <v>1.98</v>
      </c>
      <c r="DJ262">
        <v>1.94</v>
      </c>
      <c r="DK262">
        <v>2.02</v>
      </c>
      <c r="DL262">
        <v>1.98</v>
      </c>
      <c r="DM262">
        <v>1.95</v>
      </c>
      <c r="DN262">
        <v>1.91</v>
      </c>
      <c r="DO262">
        <v>2.02</v>
      </c>
      <c r="DP262">
        <v>1.98</v>
      </c>
    </row>
    <row r="263" spans="1:120" x14ac:dyDescent="0.3">
      <c r="A263" t="s">
        <v>120</v>
      </c>
      <c r="B263" t="s">
        <v>216</v>
      </c>
      <c r="C263" s="1">
        <v>0.8125</v>
      </c>
      <c r="D263" t="s">
        <v>136</v>
      </c>
      <c r="E263" t="s">
        <v>142</v>
      </c>
      <c r="F263">
        <v>2</v>
      </c>
      <c r="G263">
        <v>1</v>
      </c>
      <c r="H263" t="s">
        <v>124</v>
      </c>
      <c r="I263">
        <v>1</v>
      </c>
      <c r="J263">
        <v>0</v>
      </c>
      <c r="K263" t="s">
        <v>124</v>
      </c>
      <c r="L263" t="s">
        <v>143</v>
      </c>
      <c r="M263">
        <v>11</v>
      </c>
      <c r="N263">
        <v>19</v>
      </c>
      <c r="O263">
        <v>4</v>
      </c>
      <c r="P263">
        <v>5</v>
      </c>
      <c r="Q263">
        <v>12</v>
      </c>
      <c r="R263">
        <v>14</v>
      </c>
      <c r="S263">
        <v>1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2</v>
      </c>
      <c r="Z263">
        <v>3.8</v>
      </c>
      <c r="AA263">
        <v>3.3</v>
      </c>
      <c r="AE263">
        <v>2.0499999999999998</v>
      </c>
      <c r="AF263">
        <v>3.75</v>
      </c>
      <c r="AG263">
        <v>3.4</v>
      </c>
      <c r="AH263">
        <v>2.06</v>
      </c>
      <c r="AI263">
        <v>3.84</v>
      </c>
      <c r="AJ263">
        <v>3.53</v>
      </c>
      <c r="AK263">
        <v>2.0499999999999998</v>
      </c>
      <c r="AL263">
        <v>3.75</v>
      </c>
      <c r="AM263">
        <v>3.3</v>
      </c>
      <c r="AN263">
        <v>2.0499999999999998</v>
      </c>
      <c r="AO263">
        <v>3.96</v>
      </c>
      <c r="AP263">
        <v>3.51</v>
      </c>
      <c r="AQ263">
        <v>2.11</v>
      </c>
      <c r="AR263">
        <v>3.96</v>
      </c>
      <c r="AS263">
        <v>3.58</v>
      </c>
      <c r="AT263">
        <v>2.06</v>
      </c>
      <c r="AU263">
        <v>3.81</v>
      </c>
      <c r="AV263">
        <v>3.43</v>
      </c>
      <c r="AW263">
        <v>2.14</v>
      </c>
      <c r="AX263">
        <v>3.95</v>
      </c>
      <c r="AY263">
        <v>3.5</v>
      </c>
      <c r="AZ263">
        <v>1.62</v>
      </c>
      <c r="BA263">
        <v>2.2999999999999998</v>
      </c>
      <c r="BB263">
        <v>1.65</v>
      </c>
      <c r="BC263">
        <v>2.35</v>
      </c>
      <c r="BD263">
        <v>1.66</v>
      </c>
      <c r="BE263">
        <v>2.42</v>
      </c>
      <c r="BF263">
        <v>1.62</v>
      </c>
      <c r="BG263">
        <v>2.35</v>
      </c>
      <c r="BH263">
        <v>1.67</v>
      </c>
      <c r="BI263">
        <v>2.46</v>
      </c>
      <c r="BJ263">
        <v>-0.25</v>
      </c>
      <c r="BK263">
        <v>1.78</v>
      </c>
      <c r="BL263">
        <v>2.0299999999999998</v>
      </c>
      <c r="BM263">
        <v>1.8</v>
      </c>
      <c r="BN263">
        <v>2.13</v>
      </c>
      <c r="BO263">
        <v>1.85</v>
      </c>
      <c r="BP263">
        <v>2.13</v>
      </c>
      <c r="BQ263">
        <v>1.8</v>
      </c>
      <c r="BR263">
        <v>2.06</v>
      </c>
      <c r="BS263">
        <v>1.87</v>
      </c>
      <c r="BT263">
        <v>2.13</v>
      </c>
      <c r="BU263">
        <v>1.95</v>
      </c>
      <c r="BV263">
        <v>3.8</v>
      </c>
      <c r="BW263">
        <v>3.6</v>
      </c>
      <c r="CA263">
        <v>1.95</v>
      </c>
      <c r="CB263">
        <v>3.9</v>
      </c>
      <c r="CC263">
        <v>3.7</v>
      </c>
      <c r="CD263">
        <v>2.0099999999999998</v>
      </c>
      <c r="CE263">
        <v>3.92</v>
      </c>
      <c r="CF263">
        <v>3.63</v>
      </c>
      <c r="CG263">
        <v>1.95</v>
      </c>
      <c r="CH263">
        <v>3.7</v>
      </c>
      <c r="CI263">
        <v>3.6</v>
      </c>
      <c r="CJ263">
        <v>1.99</v>
      </c>
      <c r="CK263">
        <v>3.88</v>
      </c>
      <c r="CL263">
        <v>3.68</v>
      </c>
      <c r="CM263">
        <v>2.0099999999999998</v>
      </c>
      <c r="CN263">
        <v>3.99</v>
      </c>
      <c r="CO263">
        <v>3.8</v>
      </c>
      <c r="CP263">
        <v>1.98</v>
      </c>
      <c r="CQ263">
        <v>3.87</v>
      </c>
      <c r="CR263">
        <v>3.64</v>
      </c>
      <c r="CS263">
        <v>2.02</v>
      </c>
      <c r="CT263">
        <v>4</v>
      </c>
      <c r="CU263">
        <v>3.85</v>
      </c>
      <c r="CV263">
        <v>1.57</v>
      </c>
      <c r="CW263">
        <v>2.38</v>
      </c>
      <c r="CX263">
        <v>1.6</v>
      </c>
      <c r="CY263">
        <v>2.48</v>
      </c>
      <c r="CZ263">
        <v>1.61</v>
      </c>
      <c r="DA263">
        <v>2.5099999999999998</v>
      </c>
      <c r="DB263">
        <v>1.58</v>
      </c>
      <c r="DC263">
        <v>2.4500000000000002</v>
      </c>
      <c r="DD263">
        <v>1.63</v>
      </c>
      <c r="DE263">
        <v>2.58</v>
      </c>
      <c r="DF263">
        <v>-0.5</v>
      </c>
      <c r="DG263">
        <v>2.02</v>
      </c>
      <c r="DH263">
        <v>1.91</v>
      </c>
      <c r="DI263">
        <v>2.02</v>
      </c>
      <c r="DJ263">
        <v>1.91</v>
      </c>
      <c r="DK263">
        <v>2.02</v>
      </c>
      <c r="DL263">
        <v>1.94</v>
      </c>
      <c r="DM263">
        <v>1.97</v>
      </c>
      <c r="DN263">
        <v>1.89</v>
      </c>
      <c r="DO263">
        <v>2.0299999999999998</v>
      </c>
      <c r="DP263">
        <v>1.96</v>
      </c>
    </row>
    <row r="264" spans="1:120" x14ac:dyDescent="0.3">
      <c r="A264" t="s">
        <v>120</v>
      </c>
      <c r="B264" t="s">
        <v>216</v>
      </c>
      <c r="C264" s="1">
        <v>0.8125</v>
      </c>
      <c r="D264" t="s">
        <v>149</v>
      </c>
      <c r="E264" t="s">
        <v>145</v>
      </c>
      <c r="F264">
        <v>4</v>
      </c>
      <c r="G264">
        <v>1</v>
      </c>
      <c r="H264" t="s">
        <v>124</v>
      </c>
      <c r="I264">
        <v>1</v>
      </c>
      <c r="J264">
        <v>0</v>
      </c>
      <c r="K264" t="s">
        <v>124</v>
      </c>
      <c r="L264" t="s">
        <v>150</v>
      </c>
      <c r="M264">
        <v>19</v>
      </c>
      <c r="N264">
        <v>6</v>
      </c>
      <c r="O264">
        <v>6</v>
      </c>
      <c r="P264">
        <v>2</v>
      </c>
      <c r="Q264">
        <v>19</v>
      </c>
      <c r="R264">
        <v>10</v>
      </c>
      <c r="S264">
        <v>3</v>
      </c>
      <c r="T264">
        <v>8</v>
      </c>
      <c r="U264">
        <v>3</v>
      </c>
      <c r="V264">
        <v>1</v>
      </c>
      <c r="W264">
        <v>0</v>
      </c>
      <c r="X264">
        <v>0</v>
      </c>
      <c r="Y264">
        <v>2.4500000000000002</v>
      </c>
      <c r="Z264">
        <v>3.4</v>
      </c>
      <c r="AA264">
        <v>2.8</v>
      </c>
      <c r="AE264">
        <v>2.5499999999999998</v>
      </c>
      <c r="AF264">
        <v>3.4</v>
      </c>
      <c r="AG264">
        <v>2.8</v>
      </c>
      <c r="AH264">
        <v>2.57</v>
      </c>
      <c r="AI264">
        <v>3.42</v>
      </c>
      <c r="AJ264">
        <v>2.89</v>
      </c>
      <c r="AK264">
        <v>2.5</v>
      </c>
      <c r="AL264">
        <v>3.25</v>
      </c>
      <c r="AM264">
        <v>2.8</v>
      </c>
      <c r="AN264">
        <v>2.61</v>
      </c>
      <c r="AO264">
        <v>3.4</v>
      </c>
      <c r="AP264">
        <v>2.87</v>
      </c>
      <c r="AQ264">
        <v>2.61</v>
      </c>
      <c r="AR264">
        <v>3.45</v>
      </c>
      <c r="AS264">
        <v>2.91</v>
      </c>
      <c r="AT264">
        <v>2.5499999999999998</v>
      </c>
      <c r="AU264">
        <v>3.38</v>
      </c>
      <c r="AV264">
        <v>2.83</v>
      </c>
      <c r="AW264">
        <v>2.64</v>
      </c>
      <c r="AX264">
        <v>3.5</v>
      </c>
      <c r="AY264">
        <v>2.94</v>
      </c>
      <c r="AZ264">
        <v>1.9</v>
      </c>
      <c r="BA264">
        <v>2</v>
      </c>
      <c r="BB264">
        <v>1.93</v>
      </c>
      <c r="BC264">
        <v>1.97</v>
      </c>
      <c r="BD264">
        <v>1.94</v>
      </c>
      <c r="BE264">
        <v>2.02</v>
      </c>
      <c r="BF264">
        <v>1.9</v>
      </c>
      <c r="BG264">
        <v>1.95</v>
      </c>
      <c r="BH264">
        <v>1.94</v>
      </c>
      <c r="BI264">
        <v>2.04</v>
      </c>
      <c r="BJ264">
        <v>0</v>
      </c>
      <c r="BK264">
        <v>1.84</v>
      </c>
      <c r="BL264">
        <v>2.09</v>
      </c>
      <c r="BM264">
        <v>1.85</v>
      </c>
      <c r="BN264">
        <v>2.08</v>
      </c>
      <c r="BO264">
        <v>1.87</v>
      </c>
      <c r="BP264">
        <v>2.09</v>
      </c>
      <c r="BQ264">
        <v>1.84</v>
      </c>
      <c r="BR264">
        <v>2.0299999999999998</v>
      </c>
      <c r="BS264">
        <v>1.89</v>
      </c>
      <c r="BT264">
        <v>2.1</v>
      </c>
      <c r="BU264">
        <v>2.2000000000000002</v>
      </c>
      <c r="BV264">
        <v>3.5</v>
      </c>
      <c r="BW264">
        <v>3.1</v>
      </c>
      <c r="CA264">
        <v>2.2999999999999998</v>
      </c>
      <c r="CB264">
        <v>3.4</v>
      </c>
      <c r="CC264">
        <v>3.2</v>
      </c>
      <c r="CD264">
        <v>2.27</v>
      </c>
      <c r="CE264">
        <v>3.55</v>
      </c>
      <c r="CF264">
        <v>3.26</v>
      </c>
      <c r="CG264">
        <v>2.25</v>
      </c>
      <c r="CH264">
        <v>3.4</v>
      </c>
      <c r="CI264">
        <v>3.1</v>
      </c>
      <c r="CJ264">
        <v>2.35</v>
      </c>
      <c r="CK264">
        <v>3.61</v>
      </c>
      <c r="CL264">
        <v>3.05</v>
      </c>
      <c r="CM264">
        <v>2.35</v>
      </c>
      <c r="CN264">
        <v>3.61</v>
      </c>
      <c r="CO264">
        <v>3.33</v>
      </c>
      <c r="CP264">
        <v>2.2599999999999998</v>
      </c>
      <c r="CQ264">
        <v>3.52</v>
      </c>
      <c r="CR264">
        <v>3.19</v>
      </c>
      <c r="CS264">
        <v>2.2799999999999998</v>
      </c>
      <c r="CT264">
        <v>3.6</v>
      </c>
      <c r="CU264">
        <v>3.45</v>
      </c>
      <c r="CV264">
        <v>1.73</v>
      </c>
      <c r="CW264">
        <v>2.1</v>
      </c>
      <c r="CX264">
        <v>1.77</v>
      </c>
      <c r="CY264">
        <v>2.13</v>
      </c>
      <c r="CZ264">
        <v>1.84</v>
      </c>
      <c r="DA264">
        <v>2.21</v>
      </c>
      <c r="DB264">
        <v>1.76</v>
      </c>
      <c r="DC264">
        <v>2.11</v>
      </c>
      <c r="DD264">
        <v>1.83</v>
      </c>
      <c r="DE264">
        <v>2.1800000000000002</v>
      </c>
      <c r="DF264">
        <v>-0.25</v>
      </c>
      <c r="DG264">
        <v>1.99</v>
      </c>
      <c r="DH264">
        <v>1.94</v>
      </c>
      <c r="DI264">
        <v>1.97</v>
      </c>
      <c r="DJ264">
        <v>1.95</v>
      </c>
      <c r="DK264">
        <v>2</v>
      </c>
      <c r="DL264">
        <v>1.97</v>
      </c>
      <c r="DM264">
        <v>1.95</v>
      </c>
      <c r="DN264">
        <v>1.92</v>
      </c>
      <c r="DO264">
        <v>1.97</v>
      </c>
      <c r="DP264">
        <v>2.0099999999999998</v>
      </c>
    </row>
    <row r="265" spans="1:120" x14ac:dyDescent="0.3">
      <c r="A265" t="s">
        <v>120</v>
      </c>
      <c r="B265" t="s">
        <v>216</v>
      </c>
      <c r="C265" s="1">
        <v>0.8125</v>
      </c>
      <c r="D265" t="s">
        <v>133</v>
      </c>
      <c r="E265" t="s">
        <v>123</v>
      </c>
      <c r="F265">
        <v>1</v>
      </c>
      <c r="G265">
        <v>2</v>
      </c>
      <c r="H265" t="s">
        <v>130</v>
      </c>
      <c r="I265">
        <v>1</v>
      </c>
      <c r="J265">
        <v>1</v>
      </c>
      <c r="K265" t="s">
        <v>125</v>
      </c>
      <c r="L265" t="s">
        <v>171</v>
      </c>
      <c r="M265">
        <v>18</v>
      </c>
      <c r="N265">
        <v>11</v>
      </c>
      <c r="O265">
        <v>5</v>
      </c>
      <c r="P265">
        <v>5</v>
      </c>
      <c r="Q265">
        <v>8</v>
      </c>
      <c r="R265">
        <v>15</v>
      </c>
      <c r="S265">
        <v>7</v>
      </c>
      <c r="T265">
        <v>5</v>
      </c>
      <c r="U265">
        <v>1</v>
      </c>
      <c r="V265">
        <v>3</v>
      </c>
      <c r="W265">
        <v>0</v>
      </c>
      <c r="X265">
        <v>0</v>
      </c>
      <c r="Y265">
        <v>2.63</v>
      </c>
      <c r="Z265">
        <v>3.3</v>
      </c>
      <c r="AA265">
        <v>2.63</v>
      </c>
      <c r="AE265">
        <v>2.7</v>
      </c>
      <c r="AF265">
        <v>3.4</v>
      </c>
      <c r="AG265">
        <v>2.63</v>
      </c>
      <c r="AH265">
        <v>2.74</v>
      </c>
      <c r="AI265">
        <v>3.36</v>
      </c>
      <c r="AJ265">
        <v>2.74</v>
      </c>
      <c r="AK265">
        <v>2.7</v>
      </c>
      <c r="AL265">
        <v>3.3</v>
      </c>
      <c r="AM265">
        <v>2.62</v>
      </c>
      <c r="AN265">
        <v>2.75</v>
      </c>
      <c r="AO265">
        <v>3.4</v>
      </c>
      <c r="AP265">
        <v>2.72</v>
      </c>
      <c r="AQ265">
        <v>2.75</v>
      </c>
      <c r="AR265">
        <v>3.45</v>
      </c>
      <c r="AS265">
        <v>2.75</v>
      </c>
      <c r="AT265">
        <v>2.71</v>
      </c>
      <c r="AU265">
        <v>3.34</v>
      </c>
      <c r="AV265">
        <v>2.69</v>
      </c>
      <c r="AW265">
        <v>2.8</v>
      </c>
      <c r="AX265">
        <v>3.45</v>
      </c>
      <c r="AY265">
        <v>2.78</v>
      </c>
      <c r="AZ265">
        <v>2.0499999999999998</v>
      </c>
      <c r="BA265">
        <v>1.85</v>
      </c>
      <c r="BB265">
        <v>2.0699999999999998</v>
      </c>
      <c r="BC265">
        <v>1.85</v>
      </c>
      <c r="BD265">
        <v>2.0699999999999998</v>
      </c>
      <c r="BE265">
        <v>1.88</v>
      </c>
      <c r="BF265">
        <v>2.0099999999999998</v>
      </c>
      <c r="BG265">
        <v>1.84</v>
      </c>
      <c r="BH265">
        <v>2.1</v>
      </c>
      <c r="BI265">
        <v>1.89</v>
      </c>
      <c r="BJ265">
        <v>0</v>
      </c>
      <c r="BK265">
        <v>1.95</v>
      </c>
      <c r="BL265">
        <v>1.98</v>
      </c>
      <c r="BM265">
        <v>1.96</v>
      </c>
      <c r="BN265">
        <v>1.96</v>
      </c>
      <c r="BO265">
        <v>1.98</v>
      </c>
      <c r="BP265">
        <v>1.98</v>
      </c>
      <c r="BQ265">
        <v>1.94</v>
      </c>
      <c r="BR265">
        <v>1.93</v>
      </c>
      <c r="BS265">
        <v>2</v>
      </c>
      <c r="BT265">
        <v>1.99</v>
      </c>
      <c r="BU265">
        <v>2.35</v>
      </c>
      <c r="BV265">
        <v>3.3</v>
      </c>
      <c r="BW265">
        <v>2.9</v>
      </c>
      <c r="CA265">
        <v>2.4500000000000002</v>
      </c>
      <c r="CB265">
        <v>3.3</v>
      </c>
      <c r="CC265">
        <v>3</v>
      </c>
      <c r="CD265">
        <v>2.42</v>
      </c>
      <c r="CE265">
        <v>3.31</v>
      </c>
      <c r="CF265">
        <v>3.2</v>
      </c>
      <c r="CG265">
        <v>2.4</v>
      </c>
      <c r="CH265">
        <v>3.2</v>
      </c>
      <c r="CI265">
        <v>3</v>
      </c>
      <c r="CJ265">
        <v>2.5299999999999998</v>
      </c>
      <c r="CK265">
        <v>3.44</v>
      </c>
      <c r="CL265">
        <v>2.9</v>
      </c>
      <c r="CM265">
        <v>2.5299999999999998</v>
      </c>
      <c r="CN265">
        <v>3.44</v>
      </c>
      <c r="CO265">
        <v>3.21</v>
      </c>
      <c r="CP265">
        <v>2.42</v>
      </c>
      <c r="CQ265">
        <v>3.28</v>
      </c>
      <c r="CR265">
        <v>3.1</v>
      </c>
      <c r="CS265">
        <v>2.5</v>
      </c>
      <c r="CT265">
        <v>3.4</v>
      </c>
      <c r="CU265">
        <v>3.25</v>
      </c>
      <c r="CV265">
        <v>2.1</v>
      </c>
      <c r="CW265">
        <v>1.73</v>
      </c>
      <c r="CX265">
        <v>2.19</v>
      </c>
      <c r="CY265">
        <v>1.75</v>
      </c>
      <c r="CZ265">
        <v>2.2000000000000002</v>
      </c>
      <c r="DA265">
        <v>1.83</v>
      </c>
      <c r="DB265">
        <v>2.13</v>
      </c>
      <c r="DC265">
        <v>1.75</v>
      </c>
      <c r="DD265">
        <v>2.2000000000000002</v>
      </c>
      <c r="DE265">
        <v>1.81</v>
      </c>
      <c r="DF265">
        <v>-0.25</v>
      </c>
      <c r="DG265">
        <v>2.0699999999999998</v>
      </c>
      <c r="DH265">
        <v>1.86</v>
      </c>
      <c r="DI265">
        <v>2.08</v>
      </c>
      <c r="DJ265">
        <v>1.86</v>
      </c>
      <c r="DK265">
        <v>2.1</v>
      </c>
      <c r="DL265">
        <v>1.88</v>
      </c>
      <c r="DM265">
        <v>2.0499999999999998</v>
      </c>
      <c r="DN265">
        <v>1.82</v>
      </c>
      <c r="DO265">
        <v>2.13</v>
      </c>
      <c r="DP265">
        <v>1.87</v>
      </c>
    </row>
    <row r="266" spans="1:120" x14ac:dyDescent="0.3">
      <c r="A266" t="s">
        <v>120</v>
      </c>
      <c r="B266" t="s">
        <v>216</v>
      </c>
      <c r="C266" s="1">
        <v>0.84375</v>
      </c>
      <c r="D266" t="s">
        <v>151</v>
      </c>
      <c r="E266" t="s">
        <v>139</v>
      </c>
      <c r="F266">
        <v>4</v>
      </c>
      <c r="G266">
        <v>0</v>
      </c>
      <c r="H266" t="s">
        <v>124</v>
      </c>
      <c r="I266">
        <v>3</v>
      </c>
      <c r="J266">
        <v>0</v>
      </c>
      <c r="K266" t="s">
        <v>124</v>
      </c>
      <c r="L266" t="s">
        <v>185</v>
      </c>
      <c r="M266">
        <v>19</v>
      </c>
      <c r="N266">
        <v>7</v>
      </c>
      <c r="O266">
        <v>10</v>
      </c>
      <c r="P266">
        <v>2</v>
      </c>
      <c r="Q266">
        <v>6</v>
      </c>
      <c r="R266">
        <v>9</v>
      </c>
      <c r="S266">
        <v>4</v>
      </c>
      <c r="T266">
        <v>2</v>
      </c>
      <c r="U266">
        <v>1</v>
      </c>
      <c r="V266">
        <v>2</v>
      </c>
      <c r="W266">
        <v>0</v>
      </c>
      <c r="X266">
        <v>0</v>
      </c>
      <c r="Y266">
        <v>1.17</v>
      </c>
      <c r="Z266">
        <v>8</v>
      </c>
      <c r="AA266">
        <v>13</v>
      </c>
      <c r="AE266">
        <v>1.1499999999999999</v>
      </c>
      <c r="AF266">
        <v>9</v>
      </c>
      <c r="AG266">
        <v>15</v>
      </c>
      <c r="AH266">
        <v>1.17</v>
      </c>
      <c r="AI266">
        <v>8.9700000000000006</v>
      </c>
      <c r="AJ266">
        <v>14.66</v>
      </c>
      <c r="AK266">
        <v>1.17</v>
      </c>
      <c r="AL266">
        <v>8</v>
      </c>
      <c r="AM266">
        <v>15</v>
      </c>
      <c r="AN266">
        <v>1.17</v>
      </c>
      <c r="AO266">
        <v>8.9</v>
      </c>
      <c r="AP266">
        <v>16.5</v>
      </c>
      <c r="AQ266">
        <v>1.19</v>
      </c>
      <c r="AR266">
        <v>9.4</v>
      </c>
      <c r="AS266">
        <v>16.5</v>
      </c>
      <c r="AT266">
        <v>1.17</v>
      </c>
      <c r="AU266">
        <v>8.5500000000000007</v>
      </c>
      <c r="AV266">
        <v>14.69</v>
      </c>
      <c r="AW266">
        <v>1.19</v>
      </c>
      <c r="AX266">
        <v>9.6</v>
      </c>
      <c r="AY266">
        <v>17.5</v>
      </c>
      <c r="AZ266">
        <v>1.29</v>
      </c>
      <c r="BA266">
        <v>3.75</v>
      </c>
      <c r="BB266">
        <v>1.31</v>
      </c>
      <c r="BC266">
        <v>3.38</v>
      </c>
      <c r="BD266">
        <v>1.3</v>
      </c>
      <c r="BE266">
        <v>3.9</v>
      </c>
      <c r="BF266">
        <v>1.28</v>
      </c>
      <c r="BG266">
        <v>3.72</v>
      </c>
      <c r="BH266">
        <v>1.32</v>
      </c>
      <c r="BI266">
        <v>4</v>
      </c>
      <c r="BJ266">
        <v>-2.25</v>
      </c>
      <c r="BK266">
        <v>2</v>
      </c>
      <c r="BL266">
        <v>1.93</v>
      </c>
      <c r="BM266">
        <v>1.95</v>
      </c>
      <c r="BN266">
        <v>1.95</v>
      </c>
      <c r="BO266">
        <v>2.0099999999999998</v>
      </c>
      <c r="BP266">
        <v>1.96</v>
      </c>
      <c r="BQ266">
        <v>1.95</v>
      </c>
      <c r="BR266">
        <v>1.9</v>
      </c>
      <c r="BS266">
        <v>1.99</v>
      </c>
      <c r="BT266">
        <v>1.96</v>
      </c>
      <c r="BU266">
        <v>1.17</v>
      </c>
      <c r="BV266">
        <v>8</v>
      </c>
      <c r="BW266">
        <v>15</v>
      </c>
      <c r="CA266">
        <v>1.1499999999999999</v>
      </c>
      <c r="CB266">
        <v>8.5</v>
      </c>
      <c r="CC266">
        <v>18</v>
      </c>
      <c r="CD266">
        <v>1.18</v>
      </c>
      <c r="CE266">
        <v>8.25</v>
      </c>
      <c r="CF266">
        <v>16</v>
      </c>
      <c r="CG266">
        <v>1.18</v>
      </c>
      <c r="CH266">
        <v>7.5</v>
      </c>
      <c r="CI266">
        <v>15</v>
      </c>
      <c r="CJ266">
        <v>1.19</v>
      </c>
      <c r="CK266">
        <v>8.24</v>
      </c>
      <c r="CL266">
        <v>14.9</v>
      </c>
      <c r="CM266">
        <v>1.19</v>
      </c>
      <c r="CN266">
        <v>9.4</v>
      </c>
      <c r="CO266">
        <v>18</v>
      </c>
      <c r="CP266">
        <v>1.17</v>
      </c>
      <c r="CQ266">
        <v>8.31</v>
      </c>
      <c r="CR266">
        <v>16.079999999999998</v>
      </c>
      <c r="CS266">
        <v>1.19</v>
      </c>
      <c r="CT266">
        <v>9.1999999999999993</v>
      </c>
      <c r="CU266">
        <v>18</v>
      </c>
      <c r="CV266">
        <v>1.29</v>
      </c>
      <c r="CW266">
        <v>3.75</v>
      </c>
      <c r="CX266">
        <v>1.31</v>
      </c>
      <c r="CY266">
        <v>3.38</v>
      </c>
      <c r="CZ266">
        <v>1.31</v>
      </c>
      <c r="DA266">
        <v>4</v>
      </c>
      <c r="DB266">
        <v>1.29</v>
      </c>
      <c r="DC266">
        <v>3.7</v>
      </c>
      <c r="DD266">
        <v>1.33</v>
      </c>
      <c r="DE266">
        <v>3.95</v>
      </c>
      <c r="DF266">
        <v>-2.25</v>
      </c>
      <c r="DG266">
        <v>1.96</v>
      </c>
      <c r="DH266">
        <v>1.97</v>
      </c>
      <c r="DI266">
        <v>1.94</v>
      </c>
      <c r="DJ266">
        <v>1.96</v>
      </c>
      <c r="DK266">
        <v>1.99</v>
      </c>
      <c r="DL266">
        <v>2.04</v>
      </c>
      <c r="DM266">
        <v>1.93</v>
      </c>
      <c r="DN266">
        <v>1.93</v>
      </c>
      <c r="DO266">
        <v>1.99</v>
      </c>
      <c r="DP266">
        <v>2</v>
      </c>
    </row>
    <row r="267" spans="1:120" x14ac:dyDescent="0.3">
      <c r="A267" t="s">
        <v>120</v>
      </c>
      <c r="B267" t="s">
        <v>217</v>
      </c>
      <c r="C267" s="1">
        <v>0.8125</v>
      </c>
      <c r="D267" t="s">
        <v>148</v>
      </c>
      <c r="E267" t="s">
        <v>135</v>
      </c>
      <c r="F267">
        <v>1</v>
      </c>
      <c r="G267">
        <v>1</v>
      </c>
      <c r="H267" t="s">
        <v>125</v>
      </c>
      <c r="I267">
        <v>1</v>
      </c>
      <c r="J267">
        <v>0</v>
      </c>
      <c r="K267" t="s">
        <v>124</v>
      </c>
      <c r="L267" t="s">
        <v>137</v>
      </c>
      <c r="M267">
        <v>12</v>
      </c>
      <c r="N267">
        <v>14</v>
      </c>
      <c r="O267">
        <v>3</v>
      </c>
      <c r="P267">
        <v>4</v>
      </c>
      <c r="Q267">
        <v>3</v>
      </c>
      <c r="R267">
        <v>6</v>
      </c>
      <c r="S267">
        <v>2</v>
      </c>
      <c r="T267">
        <v>5</v>
      </c>
      <c r="U267">
        <v>2</v>
      </c>
      <c r="V267">
        <v>1</v>
      </c>
      <c r="W267">
        <v>0</v>
      </c>
      <c r="X267">
        <v>0</v>
      </c>
      <c r="Y267">
        <v>2</v>
      </c>
      <c r="Z267">
        <v>3.7</v>
      </c>
      <c r="AA267">
        <v>3.5</v>
      </c>
      <c r="AE267">
        <v>2.0499999999999998</v>
      </c>
      <c r="AF267">
        <v>3.6</v>
      </c>
      <c r="AG267">
        <v>3.6</v>
      </c>
      <c r="AH267">
        <v>2.0299999999999998</v>
      </c>
      <c r="AI267">
        <v>3.75</v>
      </c>
      <c r="AJ267">
        <v>3.64</v>
      </c>
      <c r="AK267">
        <v>2</v>
      </c>
      <c r="AL267">
        <v>3.5</v>
      </c>
      <c r="AM267">
        <v>3.6</v>
      </c>
      <c r="AN267">
        <v>2.06</v>
      </c>
      <c r="AO267">
        <v>3.75</v>
      </c>
      <c r="AP267">
        <v>3.67</v>
      </c>
      <c r="AQ267">
        <v>2.06</v>
      </c>
      <c r="AR267">
        <v>3.82</v>
      </c>
      <c r="AS267">
        <v>3.67</v>
      </c>
      <c r="AT267">
        <v>2.02</v>
      </c>
      <c r="AU267">
        <v>3.68</v>
      </c>
      <c r="AV267">
        <v>3.59</v>
      </c>
      <c r="AW267">
        <v>2.1</v>
      </c>
      <c r="AX267">
        <v>3.8</v>
      </c>
      <c r="AY267">
        <v>3.75</v>
      </c>
      <c r="AZ267">
        <v>1.87</v>
      </c>
      <c r="BA267">
        <v>2.0299999999999998</v>
      </c>
      <c r="BB267">
        <v>1.85</v>
      </c>
      <c r="BC267">
        <v>2.04</v>
      </c>
      <c r="BD267">
        <v>1.89</v>
      </c>
      <c r="BE267">
        <v>2.04</v>
      </c>
      <c r="BF267">
        <v>1.85</v>
      </c>
      <c r="BG267">
        <v>1.99</v>
      </c>
      <c r="BH267">
        <v>1.88</v>
      </c>
      <c r="BI267">
        <v>2.08</v>
      </c>
      <c r="BJ267">
        <v>-0.5</v>
      </c>
      <c r="BK267">
        <v>2.04</v>
      </c>
      <c r="BL267">
        <v>1.86</v>
      </c>
      <c r="BM267">
        <v>2.04</v>
      </c>
      <c r="BN267">
        <v>1.87</v>
      </c>
      <c r="BO267">
        <v>2.0499999999999998</v>
      </c>
      <c r="BP267">
        <v>1.87</v>
      </c>
      <c r="BQ267">
        <v>2.0099999999999998</v>
      </c>
      <c r="BR267">
        <v>1.83</v>
      </c>
      <c r="BS267">
        <v>2.1</v>
      </c>
      <c r="BT267">
        <v>1.88</v>
      </c>
      <c r="BU267">
        <v>1.95</v>
      </c>
      <c r="BV267">
        <v>3.6</v>
      </c>
      <c r="BW267">
        <v>3.5</v>
      </c>
      <c r="CA267">
        <v>2.1</v>
      </c>
      <c r="CB267">
        <v>3.5</v>
      </c>
      <c r="CC267">
        <v>3.5</v>
      </c>
      <c r="CD267">
        <v>2.0299999999999998</v>
      </c>
      <c r="CE267">
        <v>3.68</v>
      </c>
      <c r="CF267">
        <v>3.8</v>
      </c>
      <c r="CG267">
        <v>2.1</v>
      </c>
      <c r="CH267">
        <v>3.5</v>
      </c>
      <c r="CI267">
        <v>3.3</v>
      </c>
      <c r="CJ267">
        <v>2.14</v>
      </c>
      <c r="CK267">
        <v>3.65</v>
      </c>
      <c r="CL267">
        <v>3.45</v>
      </c>
      <c r="CM267">
        <v>2.15</v>
      </c>
      <c r="CN267">
        <v>3.7</v>
      </c>
      <c r="CO267">
        <v>3.8</v>
      </c>
      <c r="CP267">
        <v>2.08</v>
      </c>
      <c r="CQ267">
        <v>3.6</v>
      </c>
      <c r="CR267">
        <v>3.54</v>
      </c>
      <c r="CS267">
        <v>2.14</v>
      </c>
      <c r="CT267">
        <v>3.7</v>
      </c>
      <c r="CU267">
        <v>3.75</v>
      </c>
      <c r="CV267">
        <v>1.8</v>
      </c>
      <c r="CW267">
        <v>2</v>
      </c>
      <c r="CX267">
        <v>1.81</v>
      </c>
      <c r="CY267">
        <v>2.1</v>
      </c>
      <c r="CZ267">
        <v>1.86</v>
      </c>
      <c r="DA267">
        <v>2.12</v>
      </c>
      <c r="DB267">
        <v>1.79</v>
      </c>
      <c r="DC267">
        <v>2.0699999999999998</v>
      </c>
      <c r="DD267">
        <v>1.86</v>
      </c>
      <c r="DE267">
        <v>2.14</v>
      </c>
      <c r="DF267">
        <v>-0.5</v>
      </c>
      <c r="DG267">
        <v>2.0499999999999998</v>
      </c>
      <c r="DH267">
        <v>1.88</v>
      </c>
      <c r="DI267">
        <v>2.04</v>
      </c>
      <c r="DJ267">
        <v>1.89</v>
      </c>
      <c r="DK267">
        <v>2.13</v>
      </c>
      <c r="DL267">
        <v>1.89</v>
      </c>
      <c r="DM267">
        <v>2.0699999999999998</v>
      </c>
      <c r="DN267">
        <v>1.81</v>
      </c>
      <c r="DO267">
        <v>2.1</v>
      </c>
      <c r="DP267">
        <v>1.9</v>
      </c>
    </row>
    <row r="268" spans="1:120" x14ac:dyDescent="0.3">
      <c r="A268" t="s">
        <v>120</v>
      </c>
      <c r="B268" t="s">
        <v>217</v>
      </c>
      <c r="C268" s="1">
        <v>0.8125</v>
      </c>
      <c r="D268" t="s">
        <v>122</v>
      </c>
      <c r="E268" t="s">
        <v>128</v>
      </c>
      <c r="F268">
        <v>3</v>
      </c>
      <c r="G268">
        <v>2</v>
      </c>
      <c r="H268" t="s">
        <v>124</v>
      </c>
      <c r="I268">
        <v>2</v>
      </c>
      <c r="J268">
        <v>2</v>
      </c>
      <c r="K268" t="s">
        <v>125</v>
      </c>
      <c r="L268" t="s">
        <v>163</v>
      </c>
      <c r="M268">
        <v>10</v>
      </c>
      <c r="N268">
        <v>12</v>
      </c>
      <c r="O268">
        <v>6</v>
      </c>
      <c r="P268">
        <v>3</v>
      </c>
      <c r="Q268">
        <v>9</v>
      </c>
      <c r="R268">
        <v>16</v>
      </c>
      <c r="S268">
        <v>5</v>
      </c>
      <c r="T268">
        <v>6</v>
      </c>
      <c r="U268">
        <v>4</v>
      </c>
      <c r="V268">
        <v>4</v>
      </c>
      <c r="W268">
        <v>1</v>
      </c>
      <c r="X268">
        <v>0</v>
      </c>
      <c r="Y268">
        <v>1.53</v>
      </c>
      <c r="Z268">
        <v>4.33</v>
      </c>
      <c r="AA268">
        <v>6</v>
      </c>
      <c r="AE268">
        <v>1.5</v>
      </c>
      <c r="AF268">
        <v>4.5</v>
      </c>
      <c r="AG268">
        <v>6</v>
      </c>
      <c r="AH268">
        <v>1.53</v>
      </c>
      <c r="AI268">
        <v>4.6900000000000004</v>
      </c>
      <c r="AJ268">
        <v>5.8</v>
      </c>
      <c r="AK268">
        <v>1.53</v>
      </c>
      <c r="AL268">
        <v>4.4000000000000004</v>
      </c>
      <c r="AM268">
        <v>5.5</v>
      </c>
      <c r="AN268">
        <v>1.56</v>
      </c>
      <c r="AO268">
        <v>4.74</v>
      </c>
      <c r="AP268">
        <v>5.76</v>
      </c>
      <c r="AQ268">
        <v>1.56</v>
      </c>
      <c r="AR268">
        <v>4.75</v>
      </c>
      <c r="AS268">
        <v>6.5</v>
      </c>
      <c r="AT268">
        <v>1.52</v>
      </c>
      <c r="AU268">
        <v>4.55</v>
      </c>
      <c r="AV268">
        <v>5.83</v>
      </c>
      <c r="AW268">
        <v>1.56</v>
      </c>
      <c r="AX268">
        <v>4.8</v>
      </c>
      <c r="AY268">
        <v>6.6</v>
      </c>
      <c r="AZ268">
        <v>1.67</v>
      </c>
      <c r="BA268">
        <v>2.2000000000000002</v>
      </c>
      <c r="BB268">
        <v>1.65</v>
      </c>
      <c r="BC268">
        <v>2.33</v>
      </c>
      <c r="BD268">
        <v>1.69</v>
      </c>
      <c r="BE268">
        <v>2.34</v>
      </c>
      <c r="BF268">
        <v>1.64</v>
      </c>
      <c r="BG268">
        <v>2.29</v>
      </c>
      <c r="BH268">
        <v>1.69</v>
      </c>
      <c r="BI268">
        <v>2.4</v>
      </c>
      <c r="BJ268">
        <v>-1</v>
      </c>
      <c r="BK268">
        <v>1.88</v>
      </c>
      <c r="BL268">
        <v>2.02</v>
      </c>
      <c r="BM268">
        <v>1.88</v>
      </c>
      <c r="BN268">
        <v>2.0299999999999998</v>
      </c>
      <c r="BO268">
        <v>1.89</v>
      </c>
      <c r="BP268">
        <v>2.0499999999999998</v>
      </c>
      <c r="BQ268">
        <v>1.85</v>
      </c>
      <c r="BR268">
        <v>2</v>
      </c>
      <c r="BS268">
        <v>1.9</v>
      </c>
      <c r="BT268">
        <v>2.0699999999999998</v>
      </c>
      <c r="BU268">
        <v>1.48</v>
      </c>
      <c r="BV268">
        <v>4.5</v>
      </c>
      <c r="BW268">
        <v>6.25</v>
      </c>
      <c r="CA268">
        <v>1.5</v>
      </c>
      <c r="CB268">
        <v>4.5</v>
      </c>
      <c r="CC268">
        <v>6.5</v>
      </c>
      <c r="CD268">
        <v>1.52</v>
      </c>
      <c r="CE268">
        <v>4.5199999999999996</v>
      </c>
      <c r="CF268">
        <v>6.65</v>
      </c>
      <c r="CG268">
        <v>1.53</v>
      </c>
      <c r="CH268">
        <v>4.33</v>
      </c>
      <c r="CI268">
        <v>5.8</v>
      </c>
      <c r="CJ268">
        <v>1.54</v>
      </c>
      <c r="CK268">
        <v>4.47</v>
      </c>
      <c r="CL268">
        <v>6.45</v>
      </c>
      <c r="CM268">
        <v>1.56</v>
      </c>
      <c r="CN268">
        <v>4.75</v>
      </c>
      <c r="CO268">
        <v>6.86</v>
      </c>
      <c r="CP268">
        <v>1.51</v>
      </c>
      <c r="CQ268">
        <v>4.5</v>
      </c>
      <c r="CR268">
        <v>6.35</v>
      </c>
      <c r="CS268">
        <v>1.55</v>
      </c>
      <c r="CT268">
        <v>4.7</v>
      </c>
      <c r="CU268">
        <v>7</v>
      </c>
      <c r="CV268">
        <v>1.67</v>
      </c>
      <c r="CW268">
        <v>2.2000000000000002</v>
      </c>
      <c r="CX268">
        <v>1.67</v>
      </c>
      <c r="CY268">
        <v>2.31</v>
      </c>
      <c r="CZ268">
        <v>1.69</v>
      </c>
      <c r="DA268">
        <v>2.38</v>
      </c>
      <c r="DB268">
        <v>1.64</v>
      </c>
      <c r="DC268">
        <v>2.2799999999999998</v>
      </c>
      <c r="DD268">
        <v>1.72</v>
      </c>
      <c r="DE268">
        <v>2.38</v>
      </c>
      <c r="DF268">
        <v>-1</v>
      </c>
      <c r="DG268">
        <v>1.83</v>
      </c>
      <c r="DH268">
        <v>2.1</v>
      </c>
      <c r="DI268">
        <v>1.87</v>
      </c>
      <c r="DJ268">
        <v>2.1</v>
      </c>
      <c r="DK268">
        <v>1.9</v>
      </c>
      <c r="DL268">
        <v>2.12</v>
      </c>
      <c r="DM268">
        <v>1.83</v>
      </c>
      <c r="DN268">
        <v>2.0499999999999998</v>
      </c>
      <c r="DO268">
        <v>1.88</v>
      </c>
      <c r="DP268">
        <v>2.12</v>
      </c>
    </row>
    <row r="269" spans="1:120" x14ac:dyDescent="0.3">
      <c r="A269" t="s">
        <v>120</v>
      </c>
      <c r="B269" t="s">
        <v>217</v>
      </c>
      <c r="C269" s="1">
        <v>0.8125</v>
      </c>
      <c r="D269" t="s">
        <v>141</v>
      </c>
      <c r="E269" t="s">
        <v>132</v>
      </c>
      <c r="F269">
        <v>0</v>
      </c>
      <c r="G269">
        <v>0</v>
      </c>
      <c r="H269" t="s">
        <v>125</v>
      </c>
      <c r="I269">
        <v>0</v>
      </c>
      <c r="J269">
        <v>0</v>
      </c>
      <c r="K269" t="s">
        <v>125</v>
      </c>
      <c r="L269" t="s">
        <v>176</v>
      </c>
      <c r="M269">
        <v>6</v>
      </c>
      <c r="N269">
        <v>13</v>
      </c>
      <c r="O269">
        <v>2</v>
      </c>
      <c r="P269">
        <v>1</v>
      </c>
      <c r="Q269">
        <v>10</v>
      </c>
      <c r="R269">
        <v>17</v>
      </c>
      <c r="S269">
        <v>3</v>
      </c>
      <c r="T269">
        <v>11</v>
      </c>
      <c r="U269">
        <v>1</v>
      </c>
      <c r="V269">
        <v>1</v>
      </c>
      <c r="W269">
        <v>0</v>
      </c>
      <c r="X269">
        <v>0</v>
      </c>
      <c r="Y269">
        <v>3.9</v>
      </c>
      <c r="Z269">
        <v>3.6</v>
      </c>
      <c r="AA269">
        <v>1.95</v>
      </c>
      <c r="AE269">
        <v>3.9</v>
      </c>
      <c r="AF269">
        <v>3.4</v>
      </c>
      <c r="AG269">
        <v>2</v>
      </c>
      <c r="AH269">
        <v>4.0199999999999996</v>
      </c>
      <c r="AI269">
        <v>3.51</v>
      </c>
      <c r="AJ269">
        <v>1.99</v>
      </c>
      <c r="AK269">
        <v>3.9</v>
      </c>
      <c r="AL269">
        <v>3.4</v>
      </c>
      <c r="AM269">
        <v>1.95</v>
      </c>
      <c r="AN269">
        <v>4.04</v>
      </c>
      <c r="AO269">
        <v>3.57</v>
      </c>
      <c r="AP269">
        <v>2.0099999999999998</v>
      </c>
      <c r="AQ269">
        <v>4.0999999999999996</v>
      </c>
      <c r="AR269">
        <v>3.6</v>
      </c>
      <c r="AS269">
        <v>2.02</v>
      </c>
      <c r="AT269">
        <v>3.94</v>
      </c>
      <c r="AU269">
        <v>3.48</v>
      </c>
      <c r="AV269">
        <v>1.98</v>
      </c>
      <c r="AW269">
        <v>4.0999999999999996</v>
      </c>
      <c r="AX269">
        <v>3.65</v>
      </c>
      <c r="AY269">
        <v>2.06</v>
      </c>
      <c r="AZ269">
        <v>2.2000000000000002</v>
      </c>
      <c r="BA269">
        <v>1.67</v>
      </c>
      <c r="BB269">
        <v>2.23</v>
      </c>
      <c r="BC269">
        <v>1.7</v>
      </c>
      <c r="BD269">
        <v>2.2400000000000002</v>
      </c>
      <c r="BE269">
        <v>1.75</v>
      </c>
      <c r="BF269">
        <v>2.17</v>
      </c>
      <c r="BG269">
        <v>1.71</v>
      </c>
      <c r="BH269">
        <v>2.2400000000000002</v>
      </c>
      <c r="BI269">
        <v>1.78</v>
      </c>
      <c r="BJ269">
        <v>0.5</v>
      </c>
      <c r="BK269">
        <v>1.9</v>
      </c>
      <c r="BL269">
        <v>2</v>
      </c>
      <c r="BM269">
        <v>1.9</v>
      </c>
      <c r="BN269">
        <v>2</v>
      </c>
      <c r="BO269">
        <v>1.91</v>
      </c>
      <c r="BP269">
        <v>2.0099999999999998</v>
      </c>
      <c r="BQ269">
        <v>1.87</v>
      </c>
      <c r="BR269">
        <v>1.98</v>
      </c>
      <c r="BS269">
        <v>1.93</v>
      </c>
      <c r="BT269">
        <v>2.06</v>
      </c>
      <c r="BU269">
        <v>4.2</v>
      </c>
      <c r="BV269">
        <v>3.4</v>
      </c>
      <c r="BW269">
        <v>1.91</v>
      </c>
      <c r="CA269">
        <v>4.2</v>
      </c>
      <c r="CB269">
        <v>3.5</v>
      </c>
      <c r="CC269">
        <v>1.91</v>
      </c>
      <c r="CD269">
        <v>4.37</v>
      </c>
      <c r="CE269">
        <v>3.45</v>
      </c>
      <c r="CF269">
        <v>1.96</v>
      </c>
      <c r="CG269">
        <v>4</v>
      </c>
      <c r="CH269">
        <v>3.4</v>
      </c>
      <c r="CI269">
        <v>1.95</v>
      </c>
      <c r="CJ269">
        <v>4.3499999999999996</v>
      </c>
      <c r="CK269">
        <v>3.46</v>
      </c>
      <c r="CL269">
        <v>1.95</v>
      </c>
      <c r="CM269">
        <v>4.38</v>
      </c>
      <c r="CN269">
        <v>3.55</v>
      </c>
      <c r="CO269">
        <v>1.98</v>
      </c>
      <c r="CP269">
        <v>4.2300000000000004</v>
      </c>
      <c r="CQ269">
        <v>3.45</v>
      </c>
      <c r="CR269">
        <v>1.94</v>
      </c>
      <c r="CS269">
        <v>4.5</v>
      </c>
      <c r="CT269">
        <v>3.55</v>
      </c>
      <c r="CU269">
        <v>1.99</v>
      </c>
      <c r="CV269">
        <v>2.2000000000000002</v>
      </c>
      <c r="CW269">
        <v>1.67</v>
      </c>
      <c r="CX269">
        <v>2.2999999999999998</v>
      </c>
      <c r="CY269">
        <v>1.68</v>
      </c>
      <c r="CZ269">
        <v>2.3199999999999998</v>
      </c>
      <c r="DA269">
        <v>1.78</v>
      </c>
      <c r="DB269">
        <v>2.2000000000000002</v>
      </c>
      <c r="DC269">
        <v>1.7</v>
      </c>
      <c r="DD269">
        <v>2.34</v>
      </c>
      <c r="DE269">
        <v>1.73</v>
      </c>
      <c r="DF269">
        <v>0.5</v>
      </c>
      <c r="DG269">
        <v>1.95</v>
      </c>
      <c r="DH269">
        <v>1.98</v>
      </c>
      <c r="DI269">
        <v>1.95</v>
      </c>
      <c r="DJ269">
        <v>1.97</v>
      </c>
      <c r="DK269">
        <v>1.98</v>
      </c>
      <c r="DL269">
        <v>1.98</v>
      </c>
      <c r="DM269">
        <v>1.92</v>
      </c>
      <c r="DN269">
        <v>1.94</v>
      </c>
      <c r="DO269">
        <v>2</v>
      </c>
      <c r="DP269">
        <v>1.99</v>
      </c>
    </row>
    <row r="270" spans="1:120" x14ac:dyDescent="0.3">
      <c r="A270" t="s">
        <v>120</v>
      </c>
      <c r="B270" t="s">
        <v>217</v>
      </c>
      <c r="C270" s="1">
        <v>0.8125</v>
      </c>
      <c r="D270" t="s">
        <v>156</v>
      </c>
      <c r="E270" t="s">
        <v>152</v>
      </c>
      <c r="F270">
        <v>0</v>
      </c>
      <c r="G270">
        <v>1</v>
      </c>
      <c r="H270" t="s">
        <v>130</v>
      </c>
      <c r="I270">
        <v>0</v>
      </c>
      <c r="J270">
        <v>1</v>
      </c>
      <c r="K270" t="s">
        <v>130</v>
      </c>
      <c r="L270" t="s">
        <v>134</v>
      </c>
      <c r="M270">
        <v>11</v>
      </c>
      <c r="N270">
        <v>12</v>
      </c>
      <c r="O270">
        <v>6</v>
      </c>
      <c r="P270">
        <v>5</v>
      </c>
      <c r="Q270">
        <v>12</v>
      </c>
      <c r="R270">
        <v>15</v>
      </c>
      <c r="S270">
        <v>8</v>
      </c>
      <c r="T270">
        <v>3</v>
      </c>
      <c r="U270">
        <v>3</v>
      </c>
      <c r="V270">
        <v>0</v>
      </c>
      <c r="W270">
        <v>0</v>
      </c>
      <c r="X270">
        <v>0</v>
      </c>
      <c r="Y270">
        <v>3.25</v>
      </c>
      <c r="Z270">
        <v>4</v>
      </c>
      <c r="AA270">
        <v>2</v>
      </c>
      <c r="AE270">
        <v>3.3</v>
      </c>
      <c r="AF270">
        <v>4</v>
      </c>
      <c r="AG270">
        <v>2.0499999999999998</v>
      </c>
      <c r="AH270">
        <v>3.23</v>
      </c>
      <c r="AI270">
        <v>4.1500000000000004</v>
      </c>
      <c r="AJ270">
        <v>2.0699999999999998</v>
      </c>
      <c r="AK270">
        <v>3.2</v>
      </c>
      <c r="AL270">
        <v>4</v>
      </c>
      <c r="AM270">
        <v>2</v>
      </c>
      <c r="AN270">
        <v>3.3</v>
      </c>
      <c r="AO270">
        <v>4.18</v>
      </c>
      <c r="AP270">
        <v>2.0699999999999998</v>
      </c>
      <c r="AQ270">
        <v>3.35</v>
      </c>
      <c r="AR270">
        <v>4.25</v>
      </c>
      <c r="AS270">
        <v>2.1</v>
      </c>
      <c r="AT270">
        <v>3.22</v>
      </c>
      <c r="AU270">
        <v>4.09</v>
      </c>
      <c r="AV270">
        <v>2.04</v>
      </c>
      <c r="AW270">
        <v>3.45</v>
      </c>
      <c r="AX270">
        <v>4.2</v>
      </c>
      <c r="AY270">
        <v>2.1</v>
      </c>
      <c r="AZ270">
        <v>1.36</v>
      </c>
      <c r="BA270">
        <v>3.2</v>
      </c>
      <c r="BB270">
        <v>1.36</v>
      </c>
      <c r="BC270">
        <v>3.24</v>
      </c>
      <c r="BD270">
        <v>1.37</v>
      </c>
      <c r="BE270">
        <v>3.4</v>
      </c>
      <c r="BF270">
        <v>1.34</v>
      </c>
      <c r="BG270">
        <v>3.29</v>
      </c>
      <c r="BH270">
        <v>1.39</v>
      </c>
      <c r="BI270">
        <v>3.45</v>
      </c>
      <c r="BJ270">
        <v>0.5</v>
      </c>
      <c r="BK270">
        <v>1.84</v>
      </c>
      <c r="BL270">
        <v>2.06</v>
      </c>
      <c r="BM270">
        <v>1.84</v>
      </c>
      <c r="BN270">
        <v>2.08</v>
      </c>
      <c r="BO270">
        <v>1.87</v>
      </c>
      <c r="BP270">
        <v>2.08</v>
      </c>
      <c r="BQ270">
        <v>1.82</v>
      </c>
      <c r="BR270">
        <v>2.04</v>
      </c>
      <c r="BS270">
        <v>1.89</v>
      </c>
      <c r="BT270">
        <v>2.1</v>
      </c>
      <c r="BU270">
        <v>3.8</v>
      </c>
      <c r="BV270">
        <v>4.2</v>
      </c>
      <c r="BW270">
        <v>1.8</v>
      </c>
      <c r="CA270">
        <v>3.9</v>
      </c>
      <c r="CB270">
        <v>4.33</v>
      </c>
      <c r="CC270">
        <v>1.8</v>
      </c>
      <c r="CD270">
        <v>3.96</v>
      </c>
      <c r="CE270">
        <v>4.1900000000000004</v>
      </c>
      <c r="CF270">
        <v>1.85</v>
      </c>
      <c r="CG270">
        <v>3.8</v>
      </c>
      <c r="CH270">
        <v>4</v>
      </c>
      <c r="CI270">
        <v>1.85</v>
      </c>
      <c r="CJ270">
        <v>4.0999999999999996</v>
      </c>
      <c r="CK270">
        <v>4.3</v>
      </c>
      <c r="CL270">
        <v>1.8</v>
      </c>
      <c r="CM270">
        <v>4.0999999999999996</v>
      </c>
      <c r="CN270">
        <v>4.5</v>
      </c>
      <c r="CO270">
        <v>1.85</v>
      </c>
      <c r="CP270">
        <v>3.88</v>
      </c>
      <c r="CQ270">
        <v>4.29</v>
      </c>
      <c r="CR270">
        <v>1.82</v>
      </c>
      <c r="CS270">
        <v>4.0999999999999996</v>
      </c>
      <c r="CT270">
        <v>4.4000000000000004</v>
      </c>
      <c r="CU270">
        <v>1.89</v>
      </c>
      <c r="CV270">
        <v>1.33</v>
      </c>
      <c r="CW270">
        <v>3.4</v>
      </c>
      <c r="CX270">
        <v>1.35</v>
      </c>
      <c r="CY270">
        <v>3.33</v>
      </c>
      <c r="CZ270">
        <v>1.37</v>
      </c>
      <c r="DA270">
        <v>3.43</v>
      </c>
      <c r="DB270">
        <v>1.34</v>
      </c>
      <c r="DC270">
        <v>3.32</v>
      </c>
      <c r="DD270">
        <v>1.39</v>
      </c>
      <c r="DE270">
        <v>3.5</v>
      </c>
      <c r="DF270">
        <v>0.5</v>
      </c>
      <c r="DG270">
        <v>2.0299999999999998</v>
      </c>
      <c r="DH270">
        <v>1.78</v>
      </c>
      <c r="DI270">
        <v>2.0699999999999998</v>
      </c>
      <c r="DJ270">
        <v>1.86</v>
      </c>
      <c r="DK270">
        <v>2.11</v>
      </c>
      <c r="DL270">
        <v>1.86</v>
      </c>
      <c r="DM270">
        <v>2.04</v>
      </c>
      <c r="DN270">
        <v>1.82</v>
      </c>
      <c r="DO270">
        <v>2.12</v>
      </c>
      <c r="DP270">
        <v>1.89</v>
      </c>
    </row>
    <row r="271" spans="1:120" x14ac:dyDescent="0.3">
      <c r="A271" t="s">
        <v>120</v>
      </c>
      <c r="B271" t="s">
        <v>217</v>
      </c>
      <c r="C271" s="1">
        <v>0.84375</v>
      </c>
      <c r="D271" t="s">
        <v>129</v>
      </c>
      <c r="E271" t="s">
        <v>138</v>
      </c>
      <c r="F271">
        <v>2</v>
      </c>
      <c r="G271">
        <v>0</v>
      </c>
      <c r="H271" t="s">
        <v>124</v>
      </c>
      <c r="I271">
        <v>1</v>
      </c>
      <c r="J271">
        <v>0</v>
      </c>
      <c r="K271" t="s">
        <v>124</v>
      </c>
      <c r="L271" t="s">
        <v>157</v>
      </c>
      <c r="M271">
        <v>12</v>
      </c>
      <c r="N271">
        <v>3</v>
      </c>
      <c r="O271">
        <v>3</v>
      </c>
      <c r="P271">
        <v>0</v>
      </c>
      <c r="Q271">
        <v>12</v>
      </c>
      <c r="R271">
        <v>11</v>
      </c>
      <c r="S271">
        <v>4</v>
      </c>
      <c r="T271">
        <v>2</v>
      </c>
      <c r="U271">
        <v>0</v>
      </c>
      <c r="V271">
        <v>1</v>
      </c>
      <c r="W271">
        <v>0</v>
      </c>
      <c r="X271">
        <v>0</v>
      </c>
      <c r="Y271">
        <v>1.5</v>
      </c>
      <c r="Z271">
        <v>4.5</v>
      </c>
      <c r="AA271">
        <v>5.75</v>
      </c>
      <c r="AE271">
        <v>1.5</v>
      </c>
      <c r="AF271">
        <v>4.75</v>
      </c>
      <c r="AG271">
        <v>5.5</v>
      </c>
      <c r="AH271">
        <v>1.53</v>
      </c>
      <c r="AI271">
        <v>4.8600000000000003</v>
      </c>
      <c r="AJ271">
        <v>5.67</v>
      </c>
      <c r="AK271">
        <v>1.53</v>
      </c>
      <c r="AL271">
        <v>4.5999999999999996</v>
      </c>
      <c r="AM271">
        <v>5.5</v>
      </c>
      <c r="AN271">
        <v>1.54</v>
      </c>
      <c r="AO271">
        <v>4.8899999999999997</v>
      </c>
      <c r="AP271">
        <v>5.85</v>
      </c>
      <c r="AQ271">
        <v>1.54</v>
      </c>
      <c r="AR271">
        <v>5</v>
      </c>
      <c r="AS271">
        <v>6.1</v>
      </c>
      <c r="AT271">
        <v>1.52</v>
      </c>
      <c r="AU271">
        <v>4.7699999999999996</v>
      </c>
      <c r="AV271">
        <v>5.64</v>
      </c>
      <c r="AW271">
        <v>1.54</v>
      </c>
      <c r="AX271">
        <v>5.2</v>
      </c>
      <c r="AY271">
        <v>6.2</v>
      </c>
      <c r="AZ271">
        <v>1.44</v>
      </c>
      <c r="BA271">
        <v>2.75</v>
      </c>
      <c r="BB271">
        <v>1.47</v>
      </c>
      <c r="BC271">
        <v>2.77</v>
      </c>
      <c r="BD271">
        <v>1.48</v>
      </c>
      <c r="BE271">
        <v>2.95</v>
      </c>
      <c r="BF271">
        <v>1.44</v>
      </c>
      <c r="BG271">
        <v>2.79</v>
      </c>
      <c r="BH271">
        <v>1.49</v>
      </c>
      <c r="BI271">
        <v>2.98</v>
      </c>
      <c r="BJ271">
        <v>-1</v>
      </c>
      <c r="BK271">
        <v>1.75</v>
      </c>
      <c r="BL271">
        <v>2.0499999999999998</v>
      </c>
      <c r="BM271">
        <v>1.84</v>
      </c>
      <c r="BN271">
        <v>2.08</v>
      </c>
      <c r="BO271">
        <v>1.84</v>
      </c>
      <c r="BP271">
        <v>2.13</v>
      </c>
      <c r="BQ271">
        <v>1.81</v>
      </c>
      <c r="BR271">
        <v>2.0499999999999998</v>
      </c>
      <c r="BS271">
        <v>1.83</v>
      </c>
      <c r="BT271">
        <v>2.14</v>
      </c>
      <c r="BU271">
        <v>1.36</v>
      </c>
      <c r="BV271">
        <v>5.25</v>
      </c>
      <c r="BW271">
        <v>7.5</v>
      </c>
      <c r="CA271">
        <v>1.36</v>
      </c>
      <c r="CB271">
        <v>5</v>
      </c>
      <c r="CC271">
        <v>8</v>
      </c>
      <c r="CD271">
        <v>1.37</v>
      </c>
      <c r="CE271">
        <v>5.65</v>
      </c>
      <c r="CF271">
        <v>8</v>
      </c>
      <c r="CG271">
        <v>1.36</v>
      </c>
      <c r="CH271">
        <v>5</v>
      </c>
      <c r="CI271">
        <v>7.5</v>
      </c>
      <c r="CJ271">
        <v>1.4</v>
      </c>
      <c r="CK271">
        <v>5.38</v>
      </c>
      <c r="CL271">
        <v>7.69</v>
      </c>
      <c r="CM271">
        <v>1.41</v>
      </c>
      <c r="CN271">
        <v>5.7</v>
      </c>
      <c r="CO271">
        <v>8.5</v>
      </c>
      <c r="CP271">
        <v>1.37</v>
      </c>
      <c r="CQ271">
        <v>5.47</v>
      </c>
      <c r="CR271">
        <v>7.71</v>
      </c>
      <c r="CS271">
        <v>1.4</v>
      </c>
      <c r="CT271">
        <v>5.7</v>
      </c>
      <c r="CU271">
        <v>8.8000000000000007</v>
      </c>
      <c r="CV271">
        <v>1.4</v>
      </c>
      <c r="CW271">
        <v>3</v>
      </c>
      <c r="CX271">
        <v>1.43</v>
      </c>
      <c r="CY271">
        <v>2.97</v>
      </c>
      <c r="CZ271">
        <v>1.47</v>
      </c>
      <c r="DA271">
        <v>3.16</v>
      </c>
      <c r="DB271">
        <v>1.42</v>
      </c>
      <c r="DC271">
        <v>2.94</v>
      </c>
      <c r="DD271">
        <v>1.47</v>
      </c>
      <c r="DE271">
        <v>3.05</v>
      </c>
      <c r="DF271">
        <v>-1.5</v>
      </c>
      <c r="DG271">
        <v>2.02</v>
      </c>
      <c r="DH271">
        <v>1.91</v>
      </c>
      <c r="DI271">
        <v>2.02</v>
      </c>
      <c r="DJ271">
        <v>1.9</v>
      </c>
      <c r="DK271">
        <v>2.04</v>
      </c>
      <c r="DL271">
        <v>1.95</v>
      </c>
      <c r="DM271">
        <v>1.98</v>
      </c>
      <c r="DN271">
        <v>1.88</v>
      </c>
      <c r="DO271">
        <v>2.06</v>
      </c>
      <c r="DP271">
        <v>1.92</v>
      </c>
    </row>
    <row r="272" spans="1:120" x14ac:dyDescent="0.3">
      <c r="A272" t="s">
        <v>120</v>
      </c>
      <c r="B272" t="s">
        <v>218</v>
      </c>
      <c r="C272" s="1">
        <v>0.83333333333333337</v>
      </c>
      <c r="D272" t="s">
        <v>144</v>
      </c>
      <c r="E272" t="s">
        <v>155</v>
      </c>
      <c r="F272">
        <v>2</v>
      </c>
      <c r="G272">
        <v>0</v>
      </c>
      <c r="H272" t="s">
        <v>124</v>
      </c>
      <c r="I272">
        <v>2</v>
      </c>
      <c r="J272">
        <v>0</v>
      </c>
      <c r="K272" t="s">
        <v>124</v>
      </c>
      <c r="L272" t="s">
        <v>164</v>
      </c>
      <c r="M272">
        <v>8</v>
      </c>
      <c r="N272">
        <v>10</v>
      </c>
      <c r="O272">
        <v>2</v>
      </c>
      <c r="P272">
        <v>2</v>
      </c>
      <c r="Q272">
        <v>12</v>
      </c>
      <c r="R272">
        <v>6</v>
      </c>
      <c r="S272">
        <v>3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1.62</v>
      </c>
      <c r="Z272">
        <v>4.2</v>
      </c>
      <c r="AA272">
        <v>5</v>
      </c>
      <c r="AE272">
        <v>1.62</v>
      </c>
      <c r="AF272">
        <v>4.2</v>
      </c>
      <c r="AG272">
        <v>5</v>
      </c>
      <c r="AH272">
        <v>1.63</v>
      </c>
      <c r="AI272">
        <v>4.21</v>
      </c>
      <c r="AJ272">
        <v>5.34</v>
      </c>
      <c r="AK272">
        <v>1.62</v>
      </c>
      <c r="AL272">
        <v>4</v>
      </c>
      <c r="AM272">
        <v>5</v>
      </c>
      <c r="AN272">
        <v>1.64</v>
      </c>
      <c r="AO272">
        <v>4.33</v>
      </c>
      <c r="AP272">
        <v>5.4</v>
      </c>
      <c r="AQ272">
        <v>1.65</v>
      </c>
      <c r="AR272">
        <v>4.33</v>
      </c>
      <c r="AS272">
        <v>5.4</v>
      </c>
      <c r="AT272">
        <v>1.63</v>
      </c>
      <c r="AU272">
        <v>4.1500000000000004</v>
      </c>
      <c r="AV272">
        <v>5.17</v>
      </c>
      <c r="AW272">
        <v>1.67</v>
      </c>
      <c r="AX272">
        <v>4.4000000000000004</v>
      </c>
      <c r="AY272">
        <v>5.5</v>
      </c>
      <c r="AZ272">
        <v>1.73</v>
      </c>
      <c r="BA272">
        <v>2.1</v>
      </c>
      <c r="BB272">
        <v>1.74</v>
      </c>
      <c r="BC272">
        <v>2.1800000000000002</v>
      </c>
      <c r="BD272">
        <v>1.76</v>
      </c>
      <c r="BE272">
        <v>2.21</v>
      </c>
      <c r="BF272">
        <v>1.71</v>
      </c>
      <c r="BG272">
        <v>2.17</v>
      </c>
      <c r="BH272">
        <v>1.75</v>
      </c>
      <c r="BI272">
        <v>2.2799999999999998</v>
      </c>
      <c r="BJ272">
        <v>-1</v>
      </c>
      <c r="BK272">
        <v>2.08</v>
      </c>
      <c r="BL272">
        <v>1.82</v>
      </c>
      <c r="BM272">
        <v>2.1</v>
      </c>
      <c r="BN272">
        <v>1.83</v>
      </c>
      <c r="BO272">
        <v>2.11</v>
      </c>
      <c r="BP272">
        <v>1.83</v>
      </c>
      <c r="BQ272">
        <v>2.0699999999999998</v>
      </c>
      <c r="BR272">
        <v>1.79</v>
      </c>
      <c r="BS272">
        <v>2.11</v>
      </c>
      <c r="BT272">
        <v>1.84</v>
      </c>
      <c r="BU272">
        <v>1.75</v>
      </c>
      <c r="BV272">
        <v>3.7</v>
      </c>
      <c r="BW272">
        <v>4.5</v>
      </c>
      <c r="CA272">
        <v>1.75</v>
      </c>
      <c r="CB272">
        <v>3.75</v>
      </c>
      <c r="CC272">
        <v>4.5999999999999996</v>
      </c>
      <c r="CD272">
        <v>1.79</v>
      </c>
      <c r="CE272">
        <v>3.79</v>
      </c>
      <c r="CF272">
        <v>4.83</v>
      </c>
      <c r="CG272">
        <v>1.75</v>
      </c>
      <c r="CH272">
        <v>3.8</v>
      </c>
      <c r="CI272">
        <v>4.5</v>
      </c>
      <c r="CJ272">
        <v>1.78</v>
      </c>
      <c r="CK272">
        <v>3.82</v>
      </c>
      <c r="CL272">
        <v>4.84</v>
      </c>
      <c r="CM272">
        <v>1.84</v>
      </c>
      <c r="CN272">
        <v>3.95</v>
      </c>
      <c r="CO272">
        <v>5.15</v>
      </c>
      <c r="CP272">
        <v>1.77</v>
      </c>
      <c r="CQ272">
        <v>3.77</v>
      </c>
      <c r="CR272">
        <v>4.7699999999999996</v>
      </c>
      <c r="CS272">
        <v>1.83</v>
      </c>
      <c r="CT272">
        <v>3.9</v>
      </c>
      <c r="CU272">
        <v>4.9000000000000004</v>
      </c>
      <c r="CV272">
        <v>1.95</v>
      </c>
      <c r="CW272">
        <v>1.95</v>
      </c>
      <c r="CX272">
        <v>1.96</v>
      </c>
      <c r="CY272">
        <v>1.94</v>
      </c>
      <c r="CZ272">
        <v>1.97</v>
      </c>
      <c r="DA272">
        <v>2.0299999999999998</v>
      </c>
      <c r="DB272">
        <v>1.91</v>
      </c>
      <c r="DC272">
        <v>1.95</v>
      </c>
      <c r="DD272">
        <v>1.99</v>
      </c>
      <c r="DE272">
        <v>2</v>
      </c>
      <c r="DF272">
        <v>-0.75</v>
      </c>
      <c r="DG272">
        <v>2.0499999999999998</v>
      </c>
      <c r="DH272">
        <v>1.88</v>
      </c>
      <c r="DI272">
        <v>2.0299999999999998</v>
      </c>
      <c r="DJ272">
        <v>1.89</v>
      </c>
      <c r="DK272">
        <v>2.0699999999999998</v>
      </c>
      <c r="DL272">
        <v>2</v>
      </c>
      <c r="DM272">
        <v>1.98</v>
      </c>
      <c r="DN272">
        <v>1.89</v>
      </c>
      <c r="DO272">
        <v>2.0699999999999998</v>
      </c>
      <c r="DP272">
        <v>1.91</v>
      </c>
    </row>
    <row r="273" spans="1:120" x14ac:dyDescent="0.3">
      <c r="A273" t="s">
        <v>120</v>
      </c>
      <c r="B273" s="2">
        <v>45872</v>
      </c>
      <c r="C273" s="1">
        <v>0.52083333333333337</v>
      </c>
      <c r="D273" t="s">
        <v>141</v>
      </c>
      <c r="E273" t="s">
        <v>152</v>
      </c>
      <c r="F273">
        <v>1</v>
      </c>
      <c r="G273">
        <v>0</v>
      </c>
      <c r="H273" t="s">
        <v>124</v>
      </c>
      <c r="I273">
        <v>0</v>
      </c>
      <c r="J273">
        <v>0</v>
      </c>
      <c r="K273" t="s">
        <v>125</v>
      </c>
      <c r="L273" t="s">
        <v>157</v>
      </c>
      <c r="M273">
        <v>9</v>
      </c>
      <c r="N273">
        <v>14</v>
      </c>
      <c r="O273">
        <v>4</v>
      </c>
      <c r="P273">
        <v>3</v>
      </c>
      <c r="Q273">
        <v>9</v>
      </c>
      <c r="R273">
        <v>7</v>
      </c>
      <c r="S273">
        <v>3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4</v>
      </c>
      <c r="Z273">
        <v>3.75</v>
      </c>
      <c r="AA273">
        <v>1.85</v>
      </c>
      <c r="AE273">
        <v>3.9</v>
      </c>
      <c r="AF273">
        <v>3.8</v>
      </c>
      <c r="AG273">
        <v>1.91</v>
      </c>
      <c r="AH273">
        <v>3.93</v>
      </c>
      <c r="AI273">
        <v>3.95</v>
      </c>
      <c r="AJ273">
        <v>1.89</v>
      </c>
      <c r="AK273">
        <v>3.8</v>
      </c>
      <c r="AL273">
        <v>3.75</v>
      </c>
      <c r="AM273">
        <v>1.91</v>
      </c>
      <c r="AN273">
        <v>4.0199999999999996</v>
      </c>
      <c r="AO273">
        <v>4.0199999999999996</v>
      </c>
      <c r="AP273">
        <v>1.9</v>
      </c>
      <c r="AQ273">
        <v>4.0199999999999996</v>
      </c>
      <c r="AR273">
        <v>4.0199999999999996</v>
      </c>
      <c r="AS273">
        <v>1.92</v>
      </c>
      <c r="AT273">
        <v>3.88</v>
      </c>
      <c r="AU273">
        <v>3.89</v>
      </c>
      <c r="AV273">
        <v>1.89</v>
      </c>
      <c r="AW273">
        <v>4.0999999999999996</v>
      </c>
      <c r="AX273">
        <v>4</v>
      </c>
      <c r="AY273">
        <v>1.94</v>
      </c>
      <c r="AZ273">
        <v>1.57</v>
      </c>
      <c r="BA273">
        <v>2.38</v>
      </c>
      <c r="BB273">
        <v>1.6</v>
      </c>
      <c r="BC273">
        <v>2.44</v>
      </c>
      <c r="BD273">
        <v>1.6</v>
      </c>
      <c r="BE273">
        <v>2.5</v>
      </c>
      <c r="BF273">
        <v>1.57</v>
      </c>
      <c r="BG273">
        <v>2.42</v>
      </c>
      <c r="BH273">
        <v>1.6</v>
      </c>
      <c r="BI273">
        <v>2.6</v>
      </c>
      <c r="BJ273">
        <v>0.5</v>
      </c>
      <c r="BK273">
        <v>2</v>
      </c>
      <c r="BL273">
        <v>1.9</v>
      </c>
      <c r="BM273">
        <v>2</v>
      </c>
      <c r="BN273">
        <v>1.91</v>
      </c>
      <c r="BO273">
        <v>2.0299999999999998</v>
      </c>
      <c r="BP273">
        <v>1.91</v>
      </c>
      <c r="BQ273">
        <v>1.96</v>
      </c>
      <c r="BR273">
        <v>1.89</v>
      </c>
      <c r="BS273">
        <v>2.0499999999999998</v>
      </c>
      <c r="BT273">
        <v>1.94</v>
      </c>
      <c r="BU273">
        <v>3.8</v>
      </c>
      <c r="BV273">
        <v>3.8</v>
      </c>
      <c r="BW273">
        <v>1.91</v>
      </c>
      <c r="CA273">
        <v>3.75</v>
      </c>
      <c r="CB273">
        <v>3.7</v>
      </c>
      <c r="CC273">
        <v>1.91</v>
      </c>
      <c r="CD273">
        <v>3.91</v>
      </c>
      <c r="CE273">
        <v>3.87</v>
      </c>
      <c r="CF273">
        <v>1.94</v>
      </c>
      <c r="CG273">
        <v>3.6</v>
      </c>
      <c r="CH273">
        <v>3.7</v>
      </c>
      <c r="CI273">
        <v>1.95</v>
      </c>
      <c r="CJ273">
        <v>4.12</v>
      </c>
      <c r="CK273">
        <v>3.87</v>
      </c>
      <c r="CL273">
        <v>1.89</v>
      </c>
      <c r="CM273">
        <v>4.12</v>
      </c>
      <c r="CN273">
        <v>3.9</v>
      </c>
      <c r="CO273">
        <v>2.02</v>
      </c>
      <c r="CP273">
        <v>3.8</v>
      </c>
      <c r="CQ273">
        <v>3.79</v>
      </c>
      <c r="CR273">
        <v>1.95</v>
      </c>
      <c r="CS273">
        <v>4</v>
      </c>
      <c r="CT273">
        <v>3.95</v>
      </c>
      <c r="CU273">
        <v>2</v>
      </c>
      <c r="CV273">
        <v>1.57</v>
      </c>
      <c r="CW273">
        <v>2.38</v>
      </c>
      <c r="CX273">
        <v>1.61</v>
      </c>
      <c r="CY273">
        <v>2.4300000000000002</v>
      </c>
      <c r="CZ273">
        <v>1.67</v>
      </c>
      <c r="DA273">
        <v>2.5099999999999998</v>
      </c>
      <c r="DB273">
        <v>1.6</v>
      </c>
      <c r="DC273">
        <v>2.4</v>
      </c>
      <c r="DD273">
        <v>1.64</v>
      </c>
      <c r="DE273">
        <v>2.54</v>
      </c>
      <c r="DF273">
        <v>0.5</v>
      </c>
      <c r="DG273">
        <v>1.96</v>
      </c>
      <c r="DH273">
        <v>1.97</v>
      </c>
      <c r="DI273">
        <v>1.97</v>
      </c>
      <c r="DJ273">
        <v>1.95</v>
      </c>
      <c r="DK273">
        <v>1.97</v>
      </c>
      <c r="DL273">
        <v>1.99</v>
      </c>
      <c r="DM273">
        <v>1.91</v>
      </c>
      <c r="DN273">
        <v>1.94</v>
      </c>
      <c r="DO273">
        <v>1.99</v>
      </c>
      <c r="DP273">
        <v>2</v>
      </c>
    </row>
    <row r="274" spans="1:120" x14ac:dyDescent="0.3">
      <c r="A274" t="s">
        <v>120</v>
      </c>
      <c r="B274" s="2">
        <v>45872</v>
      </c>
      <c r="C274" s="1">
        <v>0.625</v>
      </c>
      <c r="D274" t="s">
        <v>136</v>
      </c>
      <c r="E274" t="s">
        <v>123</v>
      </c>
      <c r="F274">
        <v>2</v>
      </c>
      <c r="G274">
        <v>1</v>
      </c>
      <c r="H274" t="s">
        <v>124</v>
      </c>
      <c r="I274">
        <v>1</v>
      </c>
      <c r="J274">
        <v>1</v>
      </c>
      <c r="K274" t="s">
        <v>125</v>
      </c>
      <c r="L274" t="s">
        <v>150</v>
      </c>
      <c r="M274">
        <v>9</v>
      </c>
      <c r="N274">
        <v>6</v>
      </c>
      <c r="O274">
        <v>4</v>
      </c>
      <c r="P274">
        <v>1</v>
      </c>
      <c r="Q274">
        <v>6</v>
      </c>
      <c r="R274">
        <v>12</v>
      </c>
      <c r="S274">
        <v>3</v>
      </c>
      <c r="T274">
        <v>7</v>
      </c>
      <c r="U274">
        <v>0</v>
      </c>
      <c r="V274">
        <v>2</v>
      </c>
      <c r="W274">
        <v>0</v>
      </c>
      <c r="X274">
        <v>0</v>
      </c>
      <c r="Y274">
        <v>1.95</v>
      </c>
      <c r="Z274">
        <v>3.6</v>
      </c>
      <c r="AA274">
        <v>3.75</v>
      </c>
      <c r="AE274">
        <v>2</v>
      </c>
      <c r="AF274">
        <v>3.5</v>
      </c>
      <c r="AG274">
        <v>3.9</v>
      </c>
      <c r="AH274">
        <v>2</v>
      </c>
      <c r="AI274">
        <v>3.64</v>
      </c>
      <c r="AJ274">
        <v>3.86</v>
      </c>
      <c r="AK274">
        <v>2</v>
      </c>
      <c r="AL274">
        <v>3.5</v>
      </c>
      <c r="AM274">
        <v>3.75</v>
      </c>
      <c r="AN274">
        <v>2.0299999999999998</v>
      </c>
      <c r="AO274">
        <v>3.69</v>
      </c>
      <c r="AP274">
        <v>3.82</v>
      </c>
      <c r="AQ274">
        <v>2.04</v>
      </c>
      <c r="AR274">
        <v>3.75</v>
      </c>
      <c r="AS274">
        <v>3.98</v>
      </c>
      <c r="AT274">
        <v>1.99</v>
      </c>
      <c r="AU274">
        <v>3.62</v>
      </c>
      <c r="AV274">
        <v>3.77</v>
      </c>
      <c r="AW274">
        <v>2.06</v>
      </c>
      <c r="AX274">
        <v>3.7</v>
      </c>
      <c r="AY274">
        <v>3.95</v>
      </c>
      <c r="AZ274">
        <v>1.73</v>
      </c>
      <c r="BA274">
        <v>2.1</v>
      </c>
      <c r="BB274">
        <v>1.76</v>
      </c>
      <c r="BC274">
        <v>2.15</v>
      </c>
      <c r="BD274">
        <v>1.78</v>
      </c>
      <c r="BE274">
        <v>2.17</v>
      </c>
      <c r="BF274">
        <v>1.75</v>
      </c>
      <c r="BG274">
        <v>2.11</v>
      </c>
      <c r="BH274">
        <v>1.8</v>
      </c>
      <c r="BI274">
        <v>2.2000000000000002</v>
      </c>
      <c r="BJ274">
        <v>-0.5</v>
      </c>
      <c r="BK274">
        <v>1.99</v>
      </c>
      <c r="BL274">
        <v>1.91</v>
      </c>
      <c r="BM274">
        <v>2</v>
      </c>
      <c r="BN274">
        <v>1.9</v>
      </c>
      <c r="BO274">
        <v>2.02</v>
      </c>
      <c r="BP274">
        <v>1.91</v>
      </c>
      <c r="BQ274">
        <v>1.98</v>
      </c>
      <c r="BR274">
        <v>1.86</v>
      </c>
      <c r="BS274">
        <v>2.06</v>
      </c>
      <c r="BT274">
        <v>1.92</v>
      </c>
      <c r="BU274">
        <v>1.95</v>
      </c>
      <c r="BV274">
        <v>3.6</v>
      </c>
      <c r="BW274">
        <v>3.75</v>
      </c>
      <c r="CA274">
        <v>2</v>
      </c>
      <c r="CB274">
        <v>3.5</v>
      </c>
      <c r="CC274">
        <v>3.9</v>
      </c>
      <c r="CD274">
        <v>2.0099999999999998</v>
      </c>
      <c r="CE274">
        <v>3.55</v>
      </c>
      <c r="CF274">
        <v>4</v>
      </c>
      <c r="CG274">
        <v>2</v>
      </c>
      <c r="CH274">
        <v>3.4</v>
      </c>
      <c r="CI274">
        <v>3.7</v>
      </c>
      <c r="CJ274">
        <v>2.04</v>
      </c>
      <c r="CK274">
        <v>3.57</v>
      </c>
      <c r="CL274">
        <v>3.83</v>
      </c>
      <c r="CM274">
        <v>2.06</v>
      </c>
      <c r="CN274">
        <v>3.65</v>
      </c>
      <c r="CO274">
        <v>4.01</v>
      </c>
      <c r="CP274">
        <v>2.0099999999999998</v>
      </c>
      <c r="CQ274">
        <v>3.55</v>
      </c>
      <c r="CR274">
        <v>3.85</v>
      </c>
      <c r="CS274">
        <v>2.04</v>
      </c>
      <c r="CT274">
        <v>3.7</v>
      </c>
      <c r="CU274">
        <v>4.0999999999999996</v>
      </c>
      <c r="CV274">
        <v>1.87</v>
      </c>
      <c r="CW274">
        <v>2.0299999999999998</v>
      </c>
      <c r="CX274">
        <v>1.9</v>
      </c>
      <c r="CY274">
        <v>2.0099999999999998</v>
      </c>
      <c r="CZ274">
        <v>1.9</v>
      </c>
      <c r="DA274">
        <v>2.1</v>
      </c>
      <c r="DB274">
        <v>1.84</v>
      </c>
      <c r="DC274">
        <v>2.0099999999999998</v>
      </c>
      <c r="DD274">
        <v>1.89</v>
      </c>
      <c r="DE274">
        <v>2.1</v>
      </c>
      <c r="DF274">
        <v>-0.5</v>
      </c>
      <c r="DG274">
        <v>2.02</v>
      </c>
      <c r="DH274">
        <v>1.91</v>
      </c>
      <c r="DI274">
        <v>2.02</v>
      </c>
      <c r="DJ274">
        <v>1.91</v>
      </c>
      <c r="DK274">
        <v>2.0499999999999998</v>
      </c>
      <c r="DL274">
        <v>1.92</v>
      </c>
      <c r="DM274">
        <v>2</v>
      </c>
      <c r="DN274">
        <v>1.86</v>
      </c>
      <c r="DO274">
        <v>2.0499999999999998</v>
      </c>
      <c r="DP274">
        <v>1.94</v>
      </c>
    </row>
    <row r="275" spans="1:120" x14ac:dyDescent="0.3">
      <c r="A275" t="s">
        <v>120</v>
      </c>
      <c r="B275" s="2">
        <v>45872</v>
      </c>
      <c r="C275" s="1">
        <v>0.625</v>
      </c>
      <c r="D275" t="s">
        <v>149</v>
      </c>
      <c r="E275" t="s">
        <v>128</v>
      </c>
      <c r="F275">
        <v>1</v>
      </c>
      <c r="G275">
        <v>0</v>
      </c>
      <c r="H275" t="s">
        <v>124</v>
      </c>
      <c r="I275">
        <v>0</v>
      </c>
      <c r="J275">
        <v>0</v>
      </c>
      <c r="K275" t="s">
        <v>125</v>
      </c>
      <c r="L275" t="s">
        <v>137</v>
      </c>
      <c r="M275">
        <v>19</v>
      </c>
      <c r="N275">
        <v>15</v>
      </c>
      <c r="O275">
        <v>4</v>
      </c>
      <c r="P275">
        <v>8</v>
      </c>
      <c r="Q275">
        <v>8</v>
      </c>
      <c r="R275">
        <v>7</v>
      </c>
      <c r="S275">
        <v>5</v>
      </c>
      <c r="T275">
        <v>4</v>
      </c>
      <c r="U275">
        <v>4</v>
      </c>
      <c r="V275">
        <v>3</v>
      </c>
      <c r="W275">
        <v>0</v>
      </c>
      <c r="X275">
        <v>0</v>
      </c>
      <c r="Y275">
        <v>1.45</v>
      </c>
      <c r="Z275">
        <v>4.75</v>
      </c>
      <c r="AA275">
        <v>6.25</v>
      </c>
      <c r="AE275">
        <v>1.47</v>
      </c>
      <c r="AF275">
        <v>4.5</v>
      </c>
      <c r="AG275">
        <v>7</v>
      </c>
      <c r="AH275">
        <v>1.5</v>
      </c>
      <c r="AI275">
        <v>4.5599999999999996</v>
      </c>
      <c r="AJ275">
        <v>6.67</v>
      </c>
      <c r="AK275">
        <v>1.44</v>
      </c>
      <c r="AL275">
        <v>4.4000000000000004</v>
      </c>
      <c r="AM275">
        <v>6.5</v>
      </c>
      <c r="AN275">
        <v>1.5</v>
      </c>
      <c r="AO275">
        <v>4.6399999999999997</v>
      </c>
      <c r="AP275">
        <v>7.03</v>
      </c>
      <c r="AQ275">
        <v>1.5</v>
      </c>
      <c r="AR275">
        <v>4.75</v>
      </c>
      <c r="AS275">
        <v>7.2</v>
      </c>
      <c r="AT275">
        <v>1.48</v>
      </c>
      <c r="AU275">
        <v>4.55</v>
      </c>
      <c r="AV275">
        <v>6.74</v>
      </c>
      <c r="AW275">
        <v>1.52</v>
      </c>
      <c r="AX275">
        <v>4.7</v>
      </c>
      <c r="AY275">
        <v>7.4</v>
      </c>
      <c r="AZ275">
        <v>1.73</v>
      </c>
      <c r="BA275">
        <v>2.1</v>
      </c>
      <c r="BB275">
        <v>1.79</v>
      </c>
      <c r="BC275">
        <v>2.1</v>
      </c>
      <c r="BD275">
        <v>1.79</v>
      </c>
      <c r="BE275">
        <v>2.16</v>
      </c>
      <c r="BF275">
        <v>1.75</v>
      </c>
      <c r="BG275">
        <v>2.0699999999999998</v>
      </c>
      <c r="BH275">
        <v>1.83</v>
      </c>
      <c r="BI275">
        <v>2.1800000000000002</v>
      </c>
      <c r="BJ275">
        <v>-1.25</v>
      </c>
      <c r="BK275">
        <v>2.08</v>
      </c>
      <c r="BL275">
        <v>1.82</v>
      </c>
      <c r="BM275">
        <v>2.09</v>
      </c>
      <c r="BN275">
        <v>1.83</v>
      </c>
      <c r="BO275">
        <v>2.09</v>
      </c>
      <c r="BP275">
        <v>1.83</v>
      </c>
      <c r="BQ275">
        <v>2.06</v>
      </c>
      <c r="BR275">
        <v>1.8</v>
      </c>
      <c r="BS275">
        <v>2.1</v>
      </c>
      <c r="BT275">
        <v>1.86</v>
      </c>
      <c r="BU275">
        <v>1.53</v>
      </c>
      <c r="BV275">
        <v>4.0999999999999996</v>
      </c>
      <c r="BW275">
        <v>6.25</v>
      </c>
      <c r="CA275">
        <v>1.55</v>
      </c>
      <c r="CB275">
        <v>4.0999999999999996</v>
      </c>
      <c r="CC275">
        <v>6</v>
      </c>
      <c r="CD275">
        <v>1.57</v>
      </c>
      <c r="CE275">
        <v>4.21</v>
      </c>
      <c r="CF275">
        <v>6.39</v>
      </c>
      <c r="CG275">
        <v>1.55</v>
      </c>
      <c r="CH275">
        <v>4</v>
      </c>
      <c r="CI275">
        <v>6</v>
      </c>
      <c r="CJ275">
        <v>1.56</v>
      </c>
      <c r="CK275">
        <v>4.3099999999999996</v>
      </c>
      <c r="CL275">
        <v>6.41</v>
      </c>
      <c r="CM275">
        <v>1.6</v>
      </c>
      <c r="CN275">
        <v>4.4000000000000004</v>
      </c>
      <c r="CO275">
        <v>6.63</v>
      </c>
      <c r="CP275">
        <v>1.55</v>
      </c>
      <c r="CQ275">
        <v>4.2</v>
      </c>
      <c r="CR275">
        <v>6.26</v>
      </c>
      <c r="CS275">
        <v>1.59</v>
      </c>
      <c r="CT275">
        <v>4.3</v>
      </c>
      <c r="CU275">
        <v>6.8</v>
      </c>
      <c r="CV275">
        <v>1.88</v>
      </c>
      <c r="CW275">
        <v>2.02</v>
      </c>
      <c r="CX275">
        <v>1.88</v>
      </c>
      <c r="CY275">
        <v>2.04</v>
      </c>
      <c r="CZ275">
        <v>1.89</v>
      </c>
      <c r="DA275">
        <v>2.1</v>
      </c>
      <c r="DB275">
        <v>1.84</v>
      </c>
      <c r="DC275">
        <v>2.02</v>
      </c>
      <c r="DD275">
        <v>1.92</v>
      </c>
      <c r="DE275">
        <v>2.08</v>
      </c>
      <c r="DF275">
        <v>-1</v>
      </c>
      <c r="DG275">
        <v>1.98</v>
      </c>
      <c r="DH275">
        <v>1.95</v>
      </c>
      <c r="DI275">
        <v>1.94</v>
      </c>
      <c r="DJ275">
        <v>1.98</v>
      </c>
      <c r="DK275">
        <v>1.98</v>
      </c>
      <c r="DL275">
        <v>2</v>
      </c>
      <c r="DM275">
        <v>1.92</v>
      </c>
      <c r="DN275">
        <v>1.94</v>
      </c>
      <c r="DO275">
        <v>1.97</v>
      </c>
      <c r="DP275">
        <v>2.0099999999999998</v>
      </c>
    </row>
    <row r="276" spans="1:120" x14ac:dyDescent="0.3">
      <c r="A276" t="s">
        <v>120</v>
      </c>
      <c r="B276" s="2">
        <v>45872</v>
      </c>
      <c r="C276" s="1">
        <v>0.625</v>
      </c>
      <c r="D276" t="s">
        <v>129</v>
      </c>
      <c r="E276" t="s">
        <v>139</v>
      </c>
      <c r="F276">
        <v>3</v>
      </c>
      <c r="G276">
        <v>1</v>
      </c>
      <c r="H276" t="s">
        <v>124</v>
      </c>
      <c r="I276">
        <v>0</v>
      </c>
      <c r="J276">
        <v>1</v>
      </c>
      <c r="K276" t="s">
        <v>130</v>
      </c>
      <c r="L276" t="s">
        <v>167</v>
      </c>
      <c r="M276">
        <v>28</v>
      </c>
      <c r="N276">
        <v>6</v>
      </c>
      <c r="O276">
        <v>7</v>
      </c>
      <c r="P276">
        <v>4</v>
      </c>
      <c r="Q276">
        <v>10</v>
      </c>
      <c r="R276">
        <v>9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0</v>
      </c>
      <c r="Y276">
        <v>1.1000000000000001</v>
      </c>
      <c r="Z276">
        <v>9</v>
      </c>
      <c r="AA276">
        <v>19</v>
      </c>
      <c r="AE276">
        <v>1.1299999999999999</v>
      </c>
      <c r="AF276">
        <v>10.5</v>
      </c>
      <c r="AG276">
        <v>18</v>
      </c>
      <c r="AH276">
        <v>1.1200000000000001</v>
      </c>
      <c r="AI276">
        <v>10.6</v>
      </c>
      <c r="AJ276">
        <v>18.75</v>
      </c>
      <c r="AK276">
        <v>1.1200000000000001</v>
      </c>
      <c r="AL276">
        <v>9.5</v>
      </c>
      <c r="AM276">
        <v>17</v>
      </c>
      <c r="AN276">
        <v>1.1200000000000001</v>
      </c>
      <c r="AO276">
        <v>11.3</v>
      </c>
      <c r="AP276">
        <v>21</v>
      </c>
      <c r="AQ276">
        <v>1.1399999999999999</v>
      </c>
      <c r="AR276">
        <v>11.3</v>
      </c>
      <c r="AS276">
        <v>25</v>
      </c>
      <c r="AT276">
        <v>1.1200000000000001</v>
      </c>
      <c r="AU276">
        <v>9.9700000000000006</v>
      </c>
      <c r="AV276">
        <v>19.5</v>
      </c>
      <c r="AW276">
        <v>1.1499999999999999</v>
      </c>
      <c r="AX276">
        <v>11</v>
      </c>
      <c r="AY276">
        <v>22</v>
      </c>
      <c r="AZ276">
        <v>1.29</v>
      </c>
      <c r="BA276">
        <v>3.75</v>
      </c>
      <c r="BD276">
        <v>1.32</v>
      </c>
      <c r="BE276">
        <v>4.0999999999999996</v>
      </c>
      <c r="BF276">
        <v>1.27</v>
      </c>
      <c r="BG276">
        <v>3.77</v>
      </c>
      <c r="BH276">
        <v>1.29</v>
      </c>
      <c r="BI276">
        <v>4.2</v>
      </c>
      <c r="BJ276">
        <v>-2.5</v>
      </c>
      <c r="BK276">
        <v>1.95</v>
      </c>
      <c r="BL276">
        <v>1.95</v>
      </c>
      <c r="BM276">
        <v>1.96</v>
      </c>
      <c r="BN276">
        <v>1.93</v>
      </c>
      <c r="BO276">
        <v>2.0499999999999998</v>
      </c>
      <c r="BP276">
        <v>1.99</v>
      </c>
      <c r="BQ276">
        <v>1.95</v>
      </c>
      <c r="BR276">
        <v>1.89</v>
      </c>
      <c r="BS276">
        <v>1.98</v>
      </c>
      <c r="BT276">
        <v>1.96</v>
      </c>
      <c r="BU276">
        <v>1.1000000000000001</v>
      </c>
      <c r="BV276">
        <v>10</v>
      </c>
      <c r="BW276">
        <v>21</v>
      </c>
      <c r="CA276">
        <v>1.1000000000000001</v>
      </c>
      <c r="CB276">
        <v>12</v>
      </c>
      <c r="CC276">
        <v>23</v>
      </c>
      <c r="CD276">
        <v>1.1100000000000001</v>
      </c>
      <c r="CE276">
        <v>11.5</v>
      </c>
      <c r="CF276">
        <v>26</v>
      </c>
      <c r="CG276">
        <v>1.1100000000000001</v>
      </c>
      <c r="CH276">
        <v>11</v>
      </c>
      <c r="CI276">
        <v>21</v>
      </c>
      <c r="CJ276">
        <v>1.1200000000000001</v>
      </c>
      <c r="CK276">
        <v>10.9</v>
      </c>
      <c r="CL276">
        <v>22</v>
      </c>
      <c r="CM276">
        <v>1.1200000000000001</v>
      </c>
      <c r="CN276">
        <v>12</v>
      </c>
      <c r="CO276">
        <v>32</v>
      </c>
      <c r="CP276">
        <v>1.1100000000000001</v>
      </c>
      <c r="CQ276">
        <v>10.91</v>
      </c>
      <c r="CR276">
        <v>23.99</v>
      </c>
      <c r="CS276">
        <v>1.1200000000000001</v>
      </c>
      <c r="CT276">
        <v>13</v>
      </c>
      <c r="CU276">
        <v>29</v>
      </c>
      <c r="CV276">
        <v>1.25</v>
      </c>
      <c r="CW276">
        <v>4</v>
      </c>
      <c r="CZ276">
        <v>1.3</v>
      </c>
      <c r="DA276">
        <v>4.0999999999999996</v>
      </c>
      <c r="DB276">
        <v>1.26</v>
      </c>
      <c r="DC276">
        <v>3.88</v>
      </c>
      <c r="DD276">
        <v>1.31</v>
      </c>
      <c r="DE276">
        <v>4.2</v>
      </c>
      <c r="DF276">
        <v>-2.75</v>
      </c>
      <c r="DG276">
        <v>2</v>
      </c>
      <c r="DH276">
        <v>1.8</v>
      </c>
      <c r="DI276">
        <v>2.04</v>
      </c>
      <c r="DJ276">
        <v>1.83</v>
      </c>
      <c r="DK276">
        <v>2.1</v>
      </c>
      <c r="DL276">
        <v>1.87</v>
      </c>
      <c r="DM276">
        <v>2.04</v>
      </c>
      <c r="DN276">
        <v>1.81</v>
      </c>
      <c r="DO276">
        <v>2.12</v>
      </c>
      <c r="DP276">
        <v>1.87</v>
      </c>
    </row>
    <row r="277" spans="1:120" x14ac:dyDescent="0.3">
      <c r="A277" t="s">
        <v>120</v>
      </c>
      <c r="B277" s="2">
        <v>45872</v>
      </c>
      <c r="C277" s="1">
        <v>0.72916666666666663</v>
      </c>
      <c r="D277" t="s">
        <v>148</v>
      </c>
      <c r="E277" t="s">
        <v>145</v>
      </c>
      <c r="F277">
        <v>0</v>
      </c>
      <c r="G277">
        <v>1</v>
      </c>
      <c r="H277" t="s">
        <v>130</v>
      </c>
      <c r="I277">
        <v>0</v>
      </c>
      <c r="J277">
        <v>0</v>
      </c>
      <c r="K277" t="s">
        <v>125</v>
      </c>
      <c r="L277" t="s">
        <v>134</v>
      </c>
      <c r="M277">
        <v>13</v>
      </c>
      <c r="N277">
        <v>12</v>
      </c>
      <c r="O277">
        <v>3</v>
      </c>
      <c r="P277">
        <v>4</v>
      </c>
      <c r="Q277">
        <v>10</v>
      </c>
      <c r="R277">
        <v>5</v>
      </c>
      <c r="S277">
        <v>6</v>
      </c>
      <c r="T277">
        <v>5</v>
      </c>
      <c r="U277">
        <v>2</v>
      </c>
      <c r="V277">
        <v>2</v>
      </c>
      <c r="W277">
        <v>0</v>
      </c>
      <c r="X277">
        <v>0</v>
      </c>
      <c r="Y277">
        <v>2.2000000000000002</v>
      </c>
      <c r="Z277">
        <v>3.8</v>
      </c>
      <c r="AA277">
        <v>2.9</v>
      </c>
      <c r="AE277">
        <v>2.25</v>
      </c>
      <c r="AF277">
        <v>3.8</v>
      </c>
      <c r="AG277">
        <v>3</v>
      </c>
      <c r="AH277">
        <v>2.27</v>
      </c>
      <c r="AI277">
        <v>3.82</v>
      </c>
      <c r="AJ277">
        <v>3.01</v>
      </c>
      <c r="AK277">
        <v>2.25</v>
      </c>
      <c r="AL277">
        <v>3.8</v>
      </c>
      <c r="AM277">
        <v>2.9</v>
      </c>
      <c r="AN277">
        <v>2.27</v>
      </c>
      <c r="AO277">
        <v>3.99</v>
      </c>
      <c r="AP277">
        <v>2.99</v>
      </c>
      <c r="AQ277">
        <v>2.29</v>
      </c>
      <c r="AR277">
        <v>3.99</v>
      </c>
      <c r="AS277">
        <v>3.08</v>
      </c>
      <c r="AT277">
        <v>2.2599999999999998</v>
      </c>
      <c r="AU277">
        <v>3.8</v>
      </c>
      <c r="AV277">
        <v>2.95</v>
      </c>
      <c r="AW277">
        <v>2.34</v>
      </c>
      <c r="AX277">
        <v>3.95</v>
      </c>
      <c r="AY277">
        <v>3.05</v>
      </c>
      <c r="AZ277">
        <v>1.53</v>
      </c>
      <c r="BA277">
        <v>2.5</v>
      </c>
      <c r="BB277">
        <v>1.54</v>
      </c>
      <c r="BC277">
        <v>2.59</v>
      </c>
      <c r="BD277">
        <v>1.54</v>
      </c>
      <c r="BE277">
        <v>2.66</v>
      </c>
      <c r="BF277">
        <v>1.52</v>
      </c>
      <c r="BG277">
        <v>2.54</v>
      </c>
      <c r="BH277">
        <v>1.55</v>
      </c>
      <c r="BI277">
        <v>2.74</v>
      </c>
      <c r="BJ277">
        <v>-0.25</v>
      </c>
      <c r="BK277">
        <v>1.99</v>
      </c>
      <c r="BL277">
        <v>1.91</v>
      </c>
      <c r="BM277">
        <v>2</v>
      </c>
      <c r="BN277">
        <v>1.91</v>
      </c>
      <c r="BO277">
        <v>2</v>
      </c>
      <c r="BP277">
        <v>1.93</v>
      </c>
      <c r="BQ277">
        <v>1.96</v>
      </c>
      <c r="BR277">
        <v>1.88</v>
      </c>
      <c r="BS277">
        <v>2.04</v>
      </c>
      <c r="BT277">
        <v>1.94</v>
      </c>
      <c r="BU277">
        <v>2.15</v>
      </c>
      <c r="BV277">
        <v>3.8</v>
      </c>
      <c r="BW277">
        <v>3.1</v>
      </c>
      <c r="CA277">
        <v>2.1</v>
      </c>
      <c r="CB277">
        <v>3.9</v>
      </c>
      <c r="CC277">
        <v>3.2</v>
      </c>
      <c r="CD277">
        <v>2.15</v>
      </c>
      <c r="CE277">
        <v>3.96</v>
      </c>
      <c r="CF277">
        <v>3.21</v>
      </c>
      <c r="CG277">
        <v>2.15</v>
      </c>
      <c r="CH277">
        <v>3.75</v>
      </c>
      <c r="CI277">
        <v>3.1</v>
      </c>
      <c r="CJ277">
        <v>2.27</v>
      </c>
      <c r="CK277">
        <v>3.87</v>
      </c>
      <c r="CL277">
        <v>3.01</v>
      </c>
      <c r="CM277">
        <v>2.27</v>
      </c>
      <c r="CN277">
        <v>4</v>
      </c>
      <c r="CO277">
        <v>3.31</v>
      </c>
      <c r="CP277">
        <v>2.16</v>
      </c>
      <c r="CQ277">
        <v>3.88</v>
      </c>
      <c r="CR277">
        <v>3.15</v>
      </c>
      <c r="CS277">
        <v>2.2000000000000002</v>
      </c>
      <c r="CT277">
        <v>4</v>
      </c>
      <c r="CU277">
        <v>3.25</v>
      </c>
      <c r="CV277">
        <v>1.44</v>
      </c>
      <c r="CW277">
        <v>2.75</v>
      </c>
      <c r="CX277">
        <v>1.47</v>
      </c>
      <c r="CY277">
        <v>2.81</v>
      </c>
      <c r="CZ277">
        <v>1.52</v>
      </c>
      <c r="DA277">
        <v>2.92</v>
      </c>
      <c r="DB277">
        <v>1.46</v>
      </c>
      <c r="DC277">
        <v>2.76</v>
      </c>
      <c r="DD277">
        <v>1.49</v>
      </c>
      <c r="DE277">
        <v>3</v>
      </c>
      <c r="DF277">
        <v>-0.5</v>
      </c>
      <c r="DG277">
        <v>2.08</v>
      </c>
      <c r="DH277">
        <v>1.73</v>
      </c>
      <c r="DI277">
        <v>2.15</v>
      </c>
      <c r="DJ277">
        <v>1.79</v>
      </c>
      <c r="DK277">
        <v>2.21</v>
      </c>
      <c r="DL277">
        <v>1.8</v>
      </c>
      <c r="DM277">
        <v>2.13</v>
      </c>
      <c r="DN277">
        <v>1.75</v>
      </c>
      <c r="DO277">
        <v>2.21</v>
      </c>
      <c r="DP277">
        <v>1.81</v>
      </c>
    </row>
    <row r="278" spans="1:120" x14ac:dyDescent="0.3">
      <c r="A278" t="s">
        <v>120</v>
      </c>
      <c r="B278" s="2">
        <v>45872</v>
      </c>
      <c r="C278" s="1">
        <v>0.83333333333333337</v>
      </c>
      <c r="D278" t="s">
        <v>133</v>
      </c>
      <c r="E278" t="s">
        <v>135</v>
      </c>
      <c r="F278">
        <v>1</v>
      </c>
      <c r="G278">
        <v>1</v>
      </c>
      <c r="H278" t="s">
        <v>125</v>
      </c>
      <c r="I278">
        <v>1</v>
      </c>
      <c r="J278">
        <v>1</v>
      </c>
      <c r="K278" t="s">
        <v>125</v>
      </c>
      <c r="L278" t="s">
        <v>164</v>
      </c>
      <c r="M278">
        <v>11</v>
      </c>
      <c r="N278">
        <v>12</v>
      </c>
      <c r="O278">
        <v>3</v>
      </c>
      <c r="P278">
        <v>4</v>
      </c>
      <c r="Q278">
        <v>11</v>
      </c>
      <c r="R278">
        <v>16</v>
      </c>
      <c r="S278">
        <v>5</v>
      </c>
      <c r="T278">
        <v>5</v>
      </c>
      <c r="U278">
        <v>2</v>
      </c>
      <c r="V278">
        <v>2</v>
      </c>
      <c r="W278">
        <v>0</v>
      </c>
      <c r="X278">
        <v>0</v>
      </c>
      <c r="Y278">
        <v>2.6</v>
      </c>
      <c r="Z278">
        <v>3.1</v>
      </c>
      <c r="AA278">
        <v>2.88</v>
      </c>
      <c r="AE278">
        <v>2.7</v>
      </c>
      <c r="AF278">
        <v>3.1</v>
      </c>
      <c r="AG278">
        <v>2.88</v>
      </c>
      <c r="AH278">
        <v>2.68</v>
      </c>
      <c r="AI278">
        <v>3.15</v>
      </c>
      <c r="AJ278">
        <v>2.92</v>
      </c>
      <c r="AK278">
        <v>2.6</v>
      </c>
      <c r="AL278">
        <v>3.1</v>
      </c>
      <c r="AM278">
        <v>2.8</v>
      </c>
      <c r="AN278">
        <v>2.66</v>
      </c>
      <c r="AO278">
        <v>3.31</v>
      </c>
      <c r="AP278">
        <v>2.87</v>
      </c>
      <c r="AQ278">
        <v>2.71</v>
      </c>
      <c r="AR278">
        <v>3.31</v>
      </c>
      <c r="AS278">
        <v>2.95</v>
      </c>
      <c r="AT278">
        <v>2.63</v>
      </c>
      <c r="AU278">
        <v>3.14</v>
      </c>
      <c r="AV278">
        <v>2.87</v>
      </c>
      <c r="AW278">
        <v>2.8</v>
      </c>
      <c r="AX278">
        <v>3.2</v>
      </c>
      <c r="AY278">
        <v>2.98</v>
      </c>
      <c r="AZ278">
        <v>2.2999999999999998</v>
      </c>
      <c r="BA278">
        <v>1.62</v>
      </c>
      <c r="BB278">
        <v>2.34</v>
      </c>
      <c r="BC278">
        <v>1.65</v>
      </c>
      <c r="BD278">
        <v>2.34</v>
      </c>
      <c r="BE278">
        <v>1.69</v>
      </c>
      <c r="BF278">
        <v>2.27</v>
      </c>
      <c r="BG278">
        <v>1.64</v>
      </c>
      <c r="BH278">
        <v>2.34</v>
      </c>
      <c r="BI278">
        <v>1.73</v>
      </c>
      <c r="BJ278">
        <v>0</v>
      </c>
      <c r="BK278">
        <v>1.86</v>
      </c>
      <c r="BL278">
        <v>2.04</v>
      </c>
      <c r="BM278">
        <v>1.87</v>
      </c>
      <c r="BN278">
        <v>2.04</v>
      </c>
      <c r="BO278">
        <v>1.87</v>
      </c>
      <c r="BP278">
        <v>2.06</v>
      </c>
      <c r="BQ278">
        <v>1.83</v>
      </c>
      <c r="BR278">
        <v>2</v>
      </c>
      <c r="BS278">
        <v>1.93</v>
      </c>
      <c r="BT278">
        <v>2.0499999999999998</v>
      </c>
      <c r="BU278">
        <v>2.8</v>
      </c>
      <c r="BV278">
        <v>3</v>
      </c>
      <c r="BW278">
        <v>2.8</v>
      </c>
      <c r="CA278">
        <v>2.8</v>
      </c>
      <c r="CB278">
        <v>2.9</v>
      </c>
      <c r="CC278">
        <v>2.88</v>
      </c>
      <c r="CD278">
        <v>2.88</v>
      </c>
      <c r="CE278">
        <v>3</v>
      </c>
      <c r="CF278">
        <v>2.88</v>
      </c>
      <c r="CG278">
        <v>2.88</v>
      </c>
      <c r="CH278">
        <v>2.9</v>
      </c>
      <c r="CI278">
        <v>2.75</v>
      </c>
      <c r="CJ278">
        <v>2.85</v>
      </c>
      <c r="CK278">
        <v>3.05</v>
      </c>
      <c r="CL278">
        <v>2.85</v>
      </c>
      <c r="CM278">
        <v>2.91</v>
      </c>
      <c r="CN278">
        <v>3.05</v>
      </c>
      <c r="CO278">
        <v>2.9</v>
      </c>
      <c r="CP278">
        <v>2.84</v>
      </c>
      <c r="CQ278">
        <v>2.98</v>
      </c>
      <c r="CR278">
        <v>2.84</v>
      </c>
      <c r="CS278">
        <v>2.94</v>
      </c>
      <c r="CT278">
        <v>3.1</v>
      </c>
      <c r="CU278">
        <v>2.94</v>
      </c>
      <c r="CV278">
        <v>2.5</v>
      </c>
      <c r="CW278">
        <v>1.53</v>
      </c>
      <c r="CX278">
        <v>2.59</v>
      </c>
      <c r="CY278">
        <v>1.54</v>
      </c>
      <c r="CZ278">
        <v>2.63</v>
      </c>
      <c r="DA278">
        <v>1.59</v>
      </c>
      <c r="DB278">
        <v>2.52</v>
      </c>
      <c r="DC278">
        <v>1.54</v>
      </c>
      <c r="DD278">
        <v>2.66</v>
      </c>
      <c r="DE278">
        <v>1.59</v>
      </c>
      <c r="DF278">
        <v>0</v>
      </c>
      <c r="DG278">
        <v>1.98</v>
      </c>
      <c r="DH278">
        <v>1.95</v>
      </c>
      <c r="DI278">
        <v>1.96</v>
      </c>
      <c r="DJ278">
        <v>1.96</v>
      </c>
      <c r="DK278">
        <v>2</v>
      </c>
      <c r="DL278">
        <v>1.96</v>
      </c>
      <c r="DM278">
        <v>1.94</v>
      </c>
      <c r="DN278">
        <v>1.93</v>
      </c>
      <c r="DO278">
        <v>1.99</v>
      </c>
      <c r="DP278">
        <v>2</v>
      </c>
    </row>
    <row r="279" spans="1:120" x14ac:dyDescent="0.3">
      <c r="A279" t="s">
        <v>120</v>
      </c>
      <c r="B279" s="2">
        <v>45903</v>
      </c>
      <c r="C279" s="1">
        <v>0.58333333333333337</v>
      </c>
      <c r="D279" t="s">
        <v>151</v>
      </c>
      <c r="E279" t="s">
        <v>155</v>
      </c>
      <c r="F279">
        <v>1</v>
      </c>
      <c r="G279">
        <v>0</v>
      </c>
      <c r="H279" t="s">
        <v>124</v>
      </c>
      <c r="I279">
        <v>0</v>
      </c>
      <c r="J279">
        <v>0</v>
      </c>
      <c r="K279" t="s">
        <v>125</v>
      </c>
      <c r="L279" t="s">
        <v>131</v>
      </c>
      <c r="M279">
        <v>20</v>
      </c>
      <c r="N279">
        <v>3</v>
      </c>
      <c r="O279">
        <v>7</v>
      </c>
      <c r="P279">
        <v>3</v>
      </c>
      <c r="Q279">
        <v>12</v>
      </c>
      <c r="R279">
        <v>13</v>
      </c>
      <c r="S279">
        <v>12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1.18</v>
      </c>
      <c r="Z279">
        <v>8</v>
      </c>
      <c r="AA279">
        <v>12</v>
      </c>
      <c r="AE279">
        <v>1.2</v>
      </c>
      <c r="AF279">
        <v>7.5</v>
      </c>
      <c r="AG279">
        <v>13</v>
      </c>
      <c r="AH279">
        <v>1.2</v>
      </c>
      <c r="AI279">
        <v>8.0500000000000007</v>
      </c>
      <c r="AJ279">
        <v>11.42</v>
      </c>
      <c r="AK279">
        <v>1.2</v>
      </c>
      <c r="AL279">
        <v>7</v>
      </c>
      <c r="AM279">
        <v>13</v>
      </c>
      <c r="AN279">
        <v>1.2</v>
      </c>
      <c r="AO279">
        <v>7.65</v>
      </c>
      <c r="AP279">
        <v>15.5</v>
      </c>
      <c r="AQ279">
        <v>1.22</v>
      </c>
      <c r="AR279">
        <v>8.4</v>
      </c>
      <c r="AS279">
        <v>15.5</v>
      </c>
      <c r="AT279">
        <v>1.2</v>
      </c>
      <c r="AU279">
        <v>7.67</v>
      </c>
      <c r="AV279">
        <v>12.34</v>
      </c>
      <c r="AW279">
        <v>1.22</v>
      </c>
      <c r="AX279">
        <v>8.8000000000000007</v>
      </c>
      <c r="AY279">
        <v>14</v>
      </c>
      <c r="AZ279">
        <v>1.33</v>
      </c>
      <c r="BA279">
        <v>3.2</v>
      </c>
      <c r="BB279">
        <v>1.34</v>
      </c>
      <c r="BC279">
        <v>3.3</v>
      </c>
      <c r="BD279">
        <v>1.38</v>
      </c>
      <c r="BE279">
        <v>3.35</v>
      </c>
      <c r="BF279">
        <v>1.35</v>
      </c>
      <c r="BG279">
        <v>3.22</v>
      </c>
      <c r="BH279">
        <v>1.38</v>
      </c>
      <c r="BI279">
        <v>3.45</v>
      </c>
      <c r="BJ279">
        <v>-2</v>
      </c>
      <c r="BK279">
        <v>1.95</v>
      </c>
      <c r="BL279">
        <v>1.95</v>
      </c>
      <c r="BM279">
        <v>1.94</v>
      </c>
      <c r="BN279">
        <v>1.94</v>
      </c>
      <c r="BO279">
        <v>1.96</v>
      </c>
      <c r="BP279">
        <v>1.97</v>
      </c>
      <c r="BQ279">
        <v>1.92</v>
      </c>
      <c r="BR279">
        <v>1.91</v>
      </c>
      <c r="BS279">
        <v>1.99</v>
      </c>
      <c r="BT279">
        <v>1.97</v>
      </c>
      <c r="BU279">
        <v>1.22</v>
      </c>
      <c r="BV279">
        <v>7</v>
      </c>
      <c r="BW279">
        <v>10</v>
      </c>
      <c r="CA279">
        <v>1.2</v>
      </c>
      <c r="CB279">
        <v>6.5</v>
      </c>
      <c r="CC279">
        <v>11</v>
      </c>
      <c r="CD279">
        <v>1.24</v>
      </c>
      <c r="CE279">
        <v>6.85</v>
      </c>
      <c r="CF279">
        <v>13</v>
      </c>
      <c r="CG279">
        <v>1.2</v>
      </c>
      <c r="CH279">
        <v>6.5</v>
      </c>
      <c r="CI279">
        <v>13</v>
      </c>
      <c r="CJ279">
        <v>1.22</v>
      </c>
      <c r="CK279">
        <v>7.43</v>
      </c>
      <c r="CL279">
        <v>14.4</v>
      </c>
      <c r="CM279">
        <v>1.25</v>
      </c>
      <c r="CN279">
        <v>7.43</v>
      </c>
      <c r="CO279">
        <v>14.4</v>
      </c>
      <c r="CP279">
        <v>1.23</v>
      </c>
      <c r="CQ279">
        <v>6.96</v>
      </c>
      <c r="CR279">
        <v>12.22</v>
      </c>
      <c r="CS279">
        <v>1.26</v>
      </c>
      <c r="CT279">
        <v>7</v>
      </c>
      <c r="CU279">
        <v>14.5</v>
      </c>
      <c r="CV279">
        <v>1.44</v>
      </c>
      <c r="CW279">
        <v>2.75</v>
      </c>
      <c r="CX279">
        <v>1.44</v>
      </c>
      <c r="CY279">
        <v>2.88</v>
      </c>
      <c r="CZ279">
        <v>1.46</v>
      </c>
      <c r="DA279">
        <v>3</v>
      </c>
      <c r="DB279">
        <v>1.43</v>
      </c>
      <c r="DC279">
        <v>2.86</v>
      </c>
      <c r="DD279">
        <v>1.48</v>
      </c>
      <c r="DE279">
        <v>3.05</v>
      </c>
      <c r="DF279">
        <v>-1.75</v>
      </c>
      <c r="DG279">
        <v>1.85</v>
      </c>
      <c r="DH279">
        <v>2.08</v>
      </c>
      <c r="DI279">
        <v>1.85</v>
      </c>
      <c r="DJ279">
        <v>2.06</v>
      </c>
      <c r="DK279">
        <v>1.85</v>
      </c>
      <c r="DL279">
        <v>2.13</v>
      </c>
      <c r="DM279">
        <v>1.81</v>
      </c>
      <c r="DN279">
        <v>2.0499999999999998</v>
      </c>
      <c r="DO279">
        <v>1.88</v>
      </c>
      <c r="DP279">
        <v>2.12</v>
      </c>
    </row>
    <row r="280" spans="1:120" x14ac:dyDescent="0.3">
      <c r="A280" t="s">
        <v>120</v>
      </c>
      <c r="B280" s="2">
        <v>45903</v>
      </c>
      <c r="C280" s="1">
        <v>0.58333333333333337</v>
      </c>
      <c r="D280" t="s">
        <v>156</v>
      </c>
      <c r="E280" t="s">
        <v>142</v>
      </c>
      <c r="F280">
        <v>2</v>
      </c>
      <c r="G280">
        <v>2</v>
      </c>
      <c r="H280" t="s">
        <v>125</v>
      </c>
      <c r="I280">
        <v>0</v>
      </c>
      <c r="J280">
        <v>1</v>
      </c>
      <c r="K280" t="s">
        <v>130</v>
      </c>
      <c r="L280" t="s">
        <v>173</v>
      </c>
      <c r="M280">
        <v>12</v>
      </c>
      <c r="N280">
        <v>17</v>
      </c>
      <c r="O280">
        <v>4</v>
      </c>
      <c r="P280">
        <v>8</v>
      </c>
      <c r="Q280">
        <v>15</v>
      </c>
      <c r="R280">
        <v>16</v>
      </c>
      <c r="S280">
        <v>3</v>
      </c>
      <c r="T280">
        <v>6</v>
      </c>
      <c r="U280">
        <v>3</v>
      </c>
      <c r="V280">
        <v>3</v>
      </c>
      <c r="W280">
        <v>0</v>
      </c>
      <c r="X280">
        <v>0</v>
      </c>
      <c r="Y280">
        <v>2.7</v>
      </c>
      <c r="Z280">
        <v>3.9</v>
      </c>
      <c r="AA280">
        <v>2.35</v>
      </c>
      <c r="AE280">
        <v>2.75</v>
      </c>
      <c r="AF280">
        <v>3.9</v>
      </c>
      <c r="AG280">
        <v>2.38</v>
      </c>
      <c r="AH280">
        <v>2.73</v>
      </c>
      <c r="AI280">
        <v>3.95</v>
      </c>
      <c r="AJ280">
        <v>2.42</v>
      </c>
      <c r="AK280">
        <v>2.62</v>
      </c>
      <c r="AL280">
        <v>3.8</v>
      </c>
      <c r="AM280">
        <v>2.4</v>
      </c>
      <c r="AN280">
        <v>2.79</v>
      </c>
      <c r="AO280">
        <v>3.89</v>
      </c>
      <c r="AP280">
        <v>2.44</v>
      </c>
      <c r="AQ280">
        <v>2.79</v>
      </c>
      <c r="AR280">
        <v>3.98</v>
      </c>
      <c r="AS280">
        <v>2.4500000000000002</v>
      </c>
      <c r="AT280">
        <v>2.71</v>
      </c>
      <c r="AU280">
        <v>3.88</v>
      </c>
      <c r="AV280">
        <v>2.4</v>
      </c>
      <c r="AW280">
        <v>2.84</v>
      </c>
      <c r="AX280">
        <v>4</v>
      </c>
      <c r="AY280">
        <v>2.46</v>
      </c>
      <c r="AZ280">
        <v>1.37</v>
      </c>
      <c r="BA280">
        <v>3</v>
      </c>
      <c r="BB280">
        <v>1.4</v>
      </c>
      <c r="BC280">
        <v>3.05</v>
      </c>
      <c r="BD280">
        <v>1.4</v>
      </c>
      <c r="BE280">
        <v>3.22</v>
      </c>
      <c r="BF280">
        <v>1.39</v>
      </c>
      <c r="BG280">
        <v>3.02</v>
      </c>
      <c r="BH280">
        <v>1.44</v>
      </c>
      <c r="BI280">
        <v>3.1</v>
      </c>
      <c r="BJ280">
        <v>0</v>
      </c>
      <c r="BK280">
        <v>2.08</v>
      </c>
      <c r="BL280">
        <v>1.82</v>
      </c>
      <c r="BM280">
        <v>2.08</v>
      </c>
      <c r="BN280">
        <v>1.84</v>
      </c>
      <c r="BO280">
        <v>2.08</v>
      </c>
      <c r="BP280">
        <v>1.84</v>
      </c>
      <c r="BQ280">
        <v>2.04</v>
      </c>
      <c r="BR280">
        <v>1.81</v>
      </c>
      <c r="BS280">
        <v>2.14</v>
      </c>
      <c r="BT280">
        <v>1.85</v>
      </c>
      <c r="BU280">
        <v>2.8</v>
      </c>
      <c r="BV280">
        <v>3.75</v>
      </c>
      <c r="BW280">
        <v>2.35</v>
      </c>
      <c r="CA280">
        <v>2.75</v>
      </c>
      <c r="CB280">
        <v>3.6</v>
      </c>
      <c r="CC280">
        <v>2.2999999999999998</v>
      </c>
      <c r="CD280">
        <v>2.86</v>
      </c>
      <c r="CE280">
        <v>3.83</v>
      </c>
      <c r="CF280">
        <v>2.4</v>
      </c>
      <c r="CG280">
        <v>2.8</v>
      </c>
      <c r="CH280">
        <v>3.6</v>
      </c>
      <c r="CI280">
        <v>2.4</v>
      </c>
      <c r="CJ280">
        <v>2.89</v>
      </c>
      <c r="CK280">
        <v>3.79</v>
      </c>
      <c r="CL280">
        <v>2.4</v>
      </c>
      <c r="CM280">
        <v>2.89</v>
      </c>
      <c r="CN280">
        <v>3.88</v>
      </c>
      <c r="CO280">
        <v>2.5</v>
      </c>
      <c r="CP280">
        <v>2.8</v>
      </c>
      <c r="CQ280">
        <v>3.75</v>
      </c>
      <c r="CR280">
        <v>2.4</v>
      </c>
      <c r="CS280">
        <v>2.92</v>
      </c>
      <c r="CT280">
        <v>3.9</v>
      </c>
      <c r="CU280">
        <v>2.46</v>
      </c>
      <c r="CV280">
        <v>1.5</v>
      </c>
      <c r="CW280">
        <v>2.63</v>
      </c>
      <c r="CX280">
        <v>1.51</v>
      </c>
      <c r="CY280">
        <v>2.67</v>
      </c>
      <c r="CZ280">
        <v>1.51</v>
      </c>
      <c r="DA280">
        <v>2.88</v>
      </c>
      <c r="DB280">
        <v>1.48</v>
      </c>
      <c r="DC280">
        <v>2.7</v>
      </c>
      <c r="DD280">
        <v>1.52</v>
      </c>
      <c r="DE280">
        <v>2.84</v>
      </c>
      <c r="DF280">
        <v>0.25</v>
      </c>
      <c r="DG280">
        <v>1.84</v>
      </c>
      <c r="DH280">
        <v>2.09</v>
      </c>
      <c r="DI280">
        <v>1.83</v>
      </c>
      <c r="DJ280">
        <v>2.11</v>
      </c>
      <c r="DK280">
        <v>1.84</v>
      </c>
      <c r="DL280">
        <v>2.12</v>
      </c>
      <c r="DM280">
        <v>1.79</v>
      </c>
      <c r="DN280">
        <v>2.0499999999999998</v>
      </c>
      <c r="DO280">
        <v>1.86</v>
      </c>
      <c r="DP280">
        <v>2.14</v>
      </c>
    </row>
    <row r="281" spans="1:120" x14ac:dyDescent="0.3">
      <c r="A281" t="s">
        <v>120</v>
      </c>
      <c r="B281" s="2">
        <v>45903</v>
      </c>
      <c r="C281" s="1">
        <v>0.6875</v>
      </c>
      <c r="D281" t="s">
        <v>122</v>
      </c>
      <c r="E281" t="s">
        <v>132</v>
      </c>
      <c r="F281">
        <v>1</v>
      </c>
      <c r="G281">
        <v>1</v>
      </c>
      <c r="H281" t="s">
        <v>125</v>
      </c>
      <c r="I281">
        <v>1</v>
      </c>
      <c r="J281">
        <v>0</v>
      </c>
      <c r="K281" t="s">
        <v>124</v>
      </c>
      <c r="L281" t="s">
        <v>153</v>
      </c>
      <c r="M281">
        <v>10</v>
      </c>
      <c r="N281">
        <v>17</v>
      </c>
      <c r="O281">
        <v>6</v>
      </c>
      <c r="P281">
        <v>6</v>
      </c>
      <c r="Q281">
        <v>8</v>
      </c>
      <c r="R281">
        <v>11</v>
      </c>
      <c r="S281">
        <v>2</v>
      </c>
      <c r="T281">
        <v>9</v>
      </c>
      <c r="U281">
        <v>0</v>
      </c>
      <c r="V281">
        <v>1</v>
      </c>
      <c r="W281">
        <v>0</v>
      </c>
      <c r="X281">
        <v>0</v>
      </c>
      <c r="Y281">
        <v>5.75</v>
      </c>
      <c r="Z281">
        <v>3.5</v>
      </c>
      <c r="AA281">
        <v>1.7</v>
      </c>
      <c r="AE281">
        <v>5.5</v>
      </c>
      <c r="AF281">
        <v>3.6</v>
      </c>
      <c r="AG281">
        <v>1.7</v>
      </c>
      <c r="AH281">
        <v>5.61</v>
      </c>
      <c r="AI281">
        <v>3.65</v>
      </c>
      <c r="AJ281">
        <v>1.71</v>
      </c>
      <c r="AK281">
        <v>5</v>
      </c>
      <c r="AL281">
        <v>3.5</v>
      </c>
      <c r="AM281">
        <v>1.73</v>
      </c>
      <c r="AN281">
        <v>5.39</v>
      </c>
      <c r="AO281">
        <v>3.81</v>
      </c>
      <c r="AP281">
        <v>1.73</v>
      </c>
      <c r="AQ281">
        <v>6</v>
      </c>
      <c r="AR281">
        <v>3.81</v>
      </c>
      <c r="AS281">
        <v>1.75</v>
      </c>
      <c r="AT281">
        <v>5.41</v>
      </c>
      <c r="AU281">
        <v>3.58</v>
      </c>
      <c r="AV281">
        <v>1.72</v>
      </c>
      <c r="AW281">
        <v>6</v>
      </c>
      <c r="AX281">
        <v>3.7</v>
      </c>
      <c r="AY281">
        <v>1.76</v>
      </c>
      <c r="AZ281">
        <v>2.15</v>
      </c>
      <c r="BA281">
        <v>1.62</v>
      </c>
      <c r="BB281">
        <v>2.21</v>
      </c>
      <c r="BC281">
        <v>1.72</v>
      </c>
      <c r="BD281">
        <v>2.2400000000000002</v>
      </c>
      <c r="BE281">
        <v>1.74</v>
      </c>
      <c r="BF281">
        <v>2.1800000000000002</v>
      </c>
      <c r="BG281">
        <v>1.7</v>
      </c>
      <c r="BH281">
        <v>2.2999999999999998</v>
      </c>
      <c r="BI281">
        <v>1.76</v>
      </c>
      <c r="BJ281">
        <v>0.75</v>
      </c>
      <c r="BK281">
        <v>1.95</v>
      </c>
      <c r="BL281">
        <v>1.95</v>
      </c>
      <c r="BM281">
        <v>1.96</v>
      </c>
      <c r="BN281">
        <v>1.94</v>
      </c>
      <c r="BO281">
        <v>1.98</v>
      </c>
      <c r="BP281">
        <v>1.95</v>
      </c>
      <c r="BQ281">
        <v>1.91</v>
      </c>
      <c r="BR281">
        <v>1.92</v>
      </c>
      <c r="BS281">
        <v>2</v>
      </c>
      <c r="BT281">
        <v>1.98</v>
      </c>
      <c r="BU281">
        <v>5</v>
      </c>
      <c r="BV281">
        <v>3.6</v>
      </c>
      <c r="BW281">
        <v>1.75</v>
      </c>
      <c r="CA281">
        <v>5</v>
      </c>
      <c r="CB281">
        <v>3.5</v>
      </c>
      <c r="CC281">
        <v>1.75</v>
      </c>
      <c r="CD281">
        <v>5.05</v>
      </c>
      <c r="CE281">
        <v>3.72</v>
      </c>
      <c r="CF281">
        <v>1.78</v>
      </c>
      <c r="CG281">
        <v>4.8</v>
      </c>
      <c r="CH281">
        <v>3.4</v>
      </c>
      <c r="CI281">
        <v>1.8</v>
      </c>
      <c r="CJ281">
        <v>5.09</v>
      </c>
      <c r="CK281">
        <v>3.66</v>
      </c>
      <c r="CL281">
        <v>1.78</v>
      </c>
      <c r="CM281">
        <v>5.6</v>
      </c>
      <c r="CN281">
        <v>3.72</v>
      </c>
      <c r="CO281">
        <v>1.82</v>
      </c>
      <c r="CP281">
        <v>5.0999999999999996</v>
      </c>
      <c r="CQ281">
        <v>3.55</v>
      </c>
      <c r="CR281">
        <v>1.78</v>
      </c>
      <c r="CS281">
        <v>5.3</v>
      </c>
      <c r="CT281">
        <v>3.75</v>
      </c>
      <c r="CU281">
        <v>1.81</v>
      </c>
      <c r="CV281">
        <v>2</v>
      </c>
      <c r="CW281">
        <v>1.8</v>
      </c>
      <c r="CX281">
        <v>2.09</v>
      </c>
      <c r="CY281">
        <v>1.81</v>
      </c>
      <c r="CZ281">
        <v>2.19</v>
      </c>
      <c r="DA281">
        <v>1.9</v>
      </c>
      <c r="DB281">
        <v>2.09</v>
      </c>
      <c r="DC281">
        <v>1.77</v>
      </c>
      <c r="DD281">
        <v>2.12</v>
      </c>
      <c r="DE281">
        <v>1.87</v>
      </c>
      <c r="DF281">
        <v>0.75</v>
      </c>
      <c r="DG281">
        <v>1.9</v>
      </c>
      <c r="DH281">
        <v>2.0299999999999998</v>
      </c>
      <c r="DI281">
        <v>1.9</v>
      </c>
      <c r="DJ281">
        <v>2.02</v>
      </c>
      <c r="DK281">
        <v>1.9</v>
      </c>
      <c r="DL281">
        <v>2.1</v>
      </c>
      <c r="DM281">
        <v>1.85</v>
      </c>
      <c r="DN281">
        <v>2.02</v>
      </c>
      <c r="DO281">
        <v>1.94</v>
      </c>
      <c r="DP281">
        <v>2.0499999999999998</v>
      </c>
    </row>
    <row r="282" spans="1:120" x14ac:dyDescent="0.3">
      <c r="A282" t="s">
        <v>120</v>
      </c>
      <c r="B282" s="2">
        <v>45933</v>
      </c>
      <c r="C282" s="1">
        <v>0.83333333333333337</v>
      </c>
      <c r="D282" t="s">
        <v>144</v>
      </c>
      <c r="E282" t="s">
        <v>138</v>
      </c>
      <c r="F282">
        <v>0</v>
      </c>
      <c r="G282">
        <v>1</v>
      </c>
      <c r="H282" t="s">
        <v>130</v>
      </c>
      <c r="I282">
        <v>0</v>
      </c>
      <c r="J282">
        <v>0</v>
      </c>
      <c r="K282" t="s">
        <v>125</v>
      </c>
      <c r="L282" t="s">
        <v>160</v>
      </c>
      <c r="M282">
        <v>9</v>
      </c>
      <c r="N282">
        <v>9</v>
      </c>
      <c r="O282">
        <v>2</v>
      </c>
      <c r="P282">
        <v>3</v>
      </c>
      <c r="Q282">
        <v>7</v>
      </c>
      <c r="R282">
        <v>15</v>
      </c>
      <c r="S282">
        <v>3</v>
      </c>
      <c r="T282">
        <v>4</v>
      </c>
      <c r="U282">
        <v>0</v>
      </c>
      <c r="V282">
        <v>1</v>
      </c>
      <c r="W282">
        <v>0</v>
      </c>
      <c r="X282">
        <v>0</v>
      </c>
      <c r="Y282">
        <v>3.25</v>
      </c>
      <c r="Z282">
        <v>3.4</v>
      </c>
      <c r="AA282">
        <v>2.2000000000000002</v>
      </c>
      <c r="AE282">
        <v>3.2</v>
      </c>
      <c r="AF282">
        <v>3.4</v>
      </c>
      <c r="AG282">
        <v>2.15</v>
      </c>
      <c r="AH282">
        <v>3.3</v>
      </c>
      <c r="AI282">
        <v>3.62</v>
      </c>
      <c r="AJ282">
        <v>2.2000000000000002</v>
      </c>
      <c r="AK282">
        <v>3.1</v>
      </c>
      <c r="AL282">
        <v>3.6</v>
      </c>
      <c r="AM282">
        <v>2.2000000000000002</v>
      </c>
      <c r="AN282">
        <v>3.22</v>
      </c>
      <c r="AO282">
        <v>3.83</v>
      </c>
      <c r="AP282">
        <v>2.2000000000000002</v>
      </c>
      <c r="AQ282">
        <v>3.34</v>
      </c>
      <c r="AR282">
        <v>3.83</v>
      </c>
      <c r="AS282">
        <v>2.23</v>
      </c>
      <c r="AT282">
        <v>3.21</v>
      </c>
      <c r="AU282">
        <v>3.57</v>
      </c>
      <c r="AV282">
        <v>2.19</v>
      </c>
      <c r="AW282">
        <v>3.35</v>
      </c>
      <c r="AX282">
        <v>3.65</v>
      </c>
      <c r="AY282">
        <v>2.2799999999999998</v>
      </c>
      <c r="AZ282">
        <v>1.73</v>
      </c>
      <c r="BA282">
        <v>2.1</v>
      </c>
      <c r="BB282">
        <v>1.71</v>
      </c>
      <c r="BC282">
        <v>2.2200000000000002</v>
      </c>
      <c r="BD282">
        <v>1.73</v>
      </c>
      <c r="BE282">
        <v>2.2599999999999998</v>
      </c>
      <c r="BF282">
        <v>1.69</v>
      </c>
      <c r="BG282">
        <v>2.1800000000000002</v>
      </c>
      <c r="BH282">
        <v>1.75</v>
      </c>
      <c r="BI282">
        <v>2.2799999999999998</v>
      </c>
      <c r="BJ282">
        <v>0.25</v>
      </c>
      <c r="BK282">
        <v>1.95</v>
      </c>
      <c r="BL282">
        <v>1.95</v>
      </c>
      <c r="BM282">
        <v>1.99</v>
      </c>
      <c r="BN282">
        <v>1.92</v>
      </c>
      <c r="BO282">
        <v>1.99</v>
      </c>
      <c r="BP282">
        <v>1.95</v>
      </c>
      <c r="BQ282">
        <v>1.93</v>
      </c>
      <c r="BR282">
        <v>1.87</v>
      </c>
      <c r="BS282">
        <v>2.0099999999999998</v>
      </c>
      <c r="BT282">
        <v>1.98</v>
      </c>
      <c r="BU282">
        <v>3.3</v>
      </c>
      <c r="BV282">
        <v>3.4</v>
      </c>
      <c r="BW282">
        <v>2.2000000000000002</v>
      </c>
      <c r="CA282">
        <v>3.3</v>
      </c>
      <c r="CB282">
        <v>3.4</v>
      </c>
      <c r="CC282">
        <v>2.15</v>
      </c>
      <c r="CD282">
        <v>3.39</v>
      </c>
      <c r="CE282">
        <v>3.55</v>
      </c>
      <c r="CF282">
        <v>2.2200000000000002</v>
      </c>
      <c r="CG282">
        <v>3.3</v>
      </c>
      <c r="CH282">
        <v>3.4</v>
      </c>
      <c r="CI282">
        <v>2.2000000000000002</v>
      </c>
      <c r="CJ282">
        <v>3.54</v>
      </c>
      <c r="CK282">
        <v>3.47</v>
      </c>
      <c r="CL282">
        <v>2.17</v>
      </c>
      <c r="CM282">
        <v>3.54</v>
      </c>
      <c r="CN282">
        <v>3.76</v>
      </c>
      <c r="CO282">
        <v>2.25</v>
      </c>
      <c r="CP282">
        <v>3.35</v>
      </c>
      <c r="CQ282">
        <v>3.49</v>
      </c>
      <c r="CR282">
        <v>2.2000000000000002</v>
      </c>
      <c r="CS282">
        <v>3.5</v>
      </c>
      <c r="CT282">
        <v>3.6</v>
      </c>
      <c r="CU282">
        <v>2.2599999999999998</v>
      </c>
      <c r="CV282">
        <v>1.91</v>
      </c>
      <c r="CW282">
        <v>1.99</v>
      </c>
      <c r="CX282">
        <v>1.9</v>
      </c>
      <c r="CY282">
        <v>2</v>
      </c>
      <c r="CZ282">
        <v>1.99</v>
      </c>
      <c r="DA282">
        <v>2.0099999999999998</v>
      </c>
      <c r="DB282">
        <v>1.89</v>
      </c>
      <c r="DC282">
        <v>1.96</v>
      </c>
      <c r="DD282">
        <v>1.93</v>
      </c>
      <c r="DE282">
        <v>2.06</v>
      </c>
      <c r="DF282">
        <v>0.25</v>
      </c>
      <c r="DG282">
        <v>1.98</v>
      </c>
      <c r="DH282">
        <v>1.92</v>
      </c>
      <c r="DI282">
        <v>2</v>
      </c>
      <c r="DJ282">
        <v>1.93</v>
      </c>
      <c r="DK282">
        <v>2.0299999999999998</v>
      </c>
      <c r="DL282">
        <v>1.94</v>
      </c>
      <c r="DM282">
        <v>1.97</v>
      </c>
      <c r="DN282">
        <v>1.87</v>
      </c>
      <c r="DO282">
        <v>2.0299999999999998</v>
      </c>
      <c r="DP282">
        <v>1.95</v>
      </c>
    </row>
    <row r="283" spans="1:120" x14ac:dyDescent="0.3">
      <c r="A283" t="s">
        <v>120</v>
      </c>
      <c r="B283" t="s">
        <v>219</v>
      </c>
      <c r="C283" s="1">
        <v>0.625</v>
      </c>
      <c r="D283" t="s">
        <v>135</v>
      </c>
      <c r="E283" t="s">
        <v>144</v>
      </c>
      <c r="F283">
        <v>1</v>
      </c>
      <c r="G283">
        <v>1</v>
      </c>
      <c r="H283" t="s">
        <v>125</v>
      </c>
      <c r="I283">
        <v>0</v>
      </c>
      <c r="J283">
        <v>0</v>
      </c>
      <c r="K283" t="s">
        <v>125</v>
      </c>
      <c r="L283" t="s">
        <v>159</v>
      </c>
      <c r="M283">
        <v>13</v>
      </c>
      <c r="N283">
        <v>10</v>
      </c>
      <c r="O283">
        <v>5</v>
      </c>
      <c r="P283">
        <v>5</v>
      </c>
      <c r="Q283">
        <v>12</v>
      </c>
      <c r="R283">
        <v>8</v>
      </c>
      <c r="S283">
        <v>6</v>
      </c>
      <c r="T283">
        <v>5</v>
      </c>
      <c r="U283">
        <v>1</v>
      </c>
      <c r="V283">
        <v>2</v>
      </c>
      <c r="W283">
        <v>0</v>
      </c>
      <c r="X283">
        <v>0</v>
      </c>
      <c r="Y283">
        <v>2.0499999999999998</v>
      </c>
      <c r="Z283">
        <v>3.2</v>
      </c>
      <c r="AA283">
        <v>3.9</v>
      </c>
      <c r="AE283">
        <v>2.1</v>
      </c>
      <c r="AF283">
        <v>3.25</v>
      </c>
      <c r="AG283">
        <v>3.9</v>
      </c>
      <c r="AH283">
        <v>2.11</v>
      </c>
      <c r="AI283">
        <v>3.3</v>
      </c>
      <c r="AJ283">
        <v>3.9</v>
      </c>
      <c r="AK283">
        <v>2.1</v>
      </c>
      <c r="AL283">
        <v>3.2</v>
      </c>
      <c r="AM283">
        <v>3.75</v>
      </c>
      <c r="AN283">
        <v>2.15</v>
      </c>
      <c r="AO283">
        <v>3.34</v>
      </c>
      <c r="AP283">
        <v>3.82</v>
      </c>
      <c r="AQ283">
        <v>2.17</v>
      </c>
      <c r="AR283">
        <v>3.35</v>
      </c>
      <c r="AS283">
        <v>3.97</v>
      </c>
      <c r="AT283">
        <v>2.11</v>
      </c>
      <c r="AU283">
        <v>3.27</v>
      </c>
      <c r="AV283">
        <v>3.81</v>
      </c>
      <c r="AW283">
        <v>2.1800000000000002</v>
      </c>
      <c r="AX283">
        <v>3.35</v>
      </c>
      <c r="AY283">
        <v>4</v>
      </c>
      <c r="AZ283">
        <v>2.2999999999999998</v>
      </c>
      <c r="BA283">
        <v>1.62</v>
      </c>
      <c r="BB283">
        <v>2.34</v>
      </c>
      <c r="BC283">
        <v>1.65</v>
      </c>
      <c r="BD283">
        <v>2.36</v>
      </c>
      <c r="BE283">
        <v>1.68</v>
      </c>
      <c r="BF283">
        <v>2.2999999999999998</v>
      </c>
      <c r="BG283">
        <v>1.64</v>
      </c>
      <c r="BH283">
        <v>2.42</v>
      </c>
      <c r="BI283">
        <v>1.69</v>
      </c>
      <c r="BJ283">
        <v>-0.25</v>
      </c>
      <c r="BK283">
        <v>1.75</v>
      </c>
      <c r="BL283">
        <v>2.0499999999999998</v>
      </c>
      <c r="BM283">
        <v>1.8</v>
      </c>
      <c r="BN283">
        <v>2.11</v>
      </c>
      <c r="BO283">
        <v>1.82</v>
      </c>
      <c r="BP283">
        <v>2.11</v>
      </c>
      <c r="BQ283">
        <v>1.78</v>
      </c>
      <c r="BR283">
        <v>2.06</v>
      </c>
      <c r="BS283">
        <v>1.84</v>
      </c>
      <c r="BT283">
        <v>2.16</v>
      </c>
      <c r="BU283">
        <v>2.0499999999999998</v>
      </c>
      <c r="BV283">
        <v>3.2</v>
      </c>
      <c r="BW283">
        <v>3.9</v>
      </c>
      <c r="CA283">
        <v>2.1</v>
      </c>
      <c r="CB283">
        <v>3.2</v>
      </c>
      <c r="CC283">
        <v>3.9</v>
      </c>
      <c r="CD283">
        <v>2.12</v>
      </c>
      <c r="CE283">
        <v>3.31</v>
      </c>
      <c r="CF283">
        <v>3.92</v>
      </c>
      <c r="CG283">
        <v>2.15</v>
      </c>
      <c r="CH283">
        <v>3.1</v>
      </c>
      <c r="CI283">
        <v>3.7</v>
      </c>
      <c r="CJ283">
        <v>2.2599999999999998</v>
      </c>
      <c r="CK283">
        <v>3.18</v>
      </c>
      <c r="CL283">
        <v>3.65</v>
      </c>
      <c r="CM283">
        <v>2.2599999999999998</v>
      </c>
      <c r="CN283">
        <v>3.35</v>
      </c>
      <c r="CO283">
        <v>3.98</v>
      </c>
      <c r="CP283">
        <v>2.14</v>
      </c>
      <c r="CQ283">
        <v>3.22</v>
      </c>
      <c r="CR283">
        <v>3.82</v>
      </c>
      <c r="CS283">
        <v>2.2000000000000002</v>
      </c>
      <c r="CT283">
        <v>3.4</v>
      </c>
      <c r="CU283">
        <v>3.95</v>
      </c>
      <c r="CV283">
        <v>2.2999999999999998</v>
      </c>
      <c r="CW283">
        <v>1.62</v>
      </c>
      <c r="CX283">
        <v>2.37</v>
      </c>
      <c r="CY283">
        <v>1.63</v>
      </c>
      <c r="CZ283">
        <v>2.4900000000000002</v>
      </c>
      <c r="DA283">
        <v>1.63</v>
      </c>
      <c r="DB283">
        <v>2.37</v>
      </c>
      <c r="DC283">
        <v>1.61</v>
      </c>
      <c r="DD283">
        <v>2.5</v>
      </c>
      <c r="DE283">
        <v>1.66</v>
      </c>
      <c r="DF283">
        <v>-0.25</v>
      </c>
      <c r="DG283">
        <v>1.85</v>
      </c>
      <c r="DH283">
        <v>2.08</v>
      </c>
      <c r="DI283">
        <v>1.82</v>
      </c>
      <c r="DJ283">
        <v>2.13</v>
      </c>
      <c r="DK283">
        <v>1.88</v>
      </c>
      <c r="DL283">
        <v>2.13</v>
      </c>
      <c r="DM283">
        <v>1.81</v>
      </c>
      <c r="DN283">
        <v>2.06</v>
      </c>
      <c r="DO283">
        <v>1.87</v>
      </c>
      <c r="DP283">
        <v>2.13</v>
      </c>
    </row>
    <row r="284" spans="1:120" x14ac:dyDescent="0.3">
      <c r="A284" t="s">
        <v>120</v>
      </c>
      <c r="B284" t="s">
        <v>219</v>
      </c>
      <c r="C284" s="1">
        <v>0.625</v>
      </c>
      <c r="D284" t="s">
        <v>128</v>
      </c>
      <c r="E284" t="s">
        <v>141</v>
      </c>
      <c r="F284">
        <v>2</v>
      </c>
      <c r="G284">
        <v>4</v>
      </c>
      <c r="H284" t="s">
        <v>130</v>
      </c>
      <c r="I284">
        <v>0</v>
      </c>
      <c r="J284">
        <v>3</v>
      </c>
      <c r="K284" t="s">
        <v>130</v>
      </c>
      <c r="L284" t="s">
        <v>160</v>
      </c>
      <c r="M284">
        <v>11</v>
      </c>
      <c r="N284">
        <v>11</v>
      </c>
      <c r="O284">
        <v>4</v>
      </c>
      <c r="P284">
        <v>6</v>
      </c>
      <c r="Q284">
        <v>4</v>
      </c>
      <c r="R284">
        <v>13</v>
      </c>
      <c r="S284">
        <v>6</v>
      </c>
      <c r="T284">
        <v>3</v>
      </c>
      <c r="U284">
        <v>1</v>
      </c>
      <c r="V284">
        <v>1</v>
      </c>
      <c r="W284">
        <v>0</v>
      </c>
      <c r="X284">
        <v>0</v>
      </c>
      <c r="Y284">
        <v>3.75</v>
      </c>
      <c r="Z284">
        <v>3.5</v>
      </c>
      <c r="AA284">
        <v>2</v>
      </c>
      <c r="AE284">
        <v>3.8</v>
      </c>
      <c r="AF284">
        <v>3.6</v>
      </c>
      <c r="AG284">
        <v>1.95</v>
      </c>
      <c r="AH284">
        <v>3.88</v>
      </c>
      <c r="AI284">
        <v>3.64</v>
      </c>
      <c r="AJ284">
        <v>1.99</v>
      </c>
      <c r="AK284">
        <v>3.75</v>
      </c>
      <c r="AL284">
        <v>3.5</v>
      </c>
      <c r="AM284">
        <v>2</v>
      </c>
      <c r="AN284">
        <v>3.89</v>
      </c>
      <c r="AO284">
        <v>3.63</v>
      </c>
      <c r="AP284">
        <v>2.0299999999999998</v>
      </c>
      <c r="AQ284">
        <v>3.93</v>
      </c>
      <c r="AR284">
        <v>3.71</v>
      </c>
      <c r="AS284">
        <v>2.0499999999999998</v>
      </c>
      <c r="AT284">
        <v>3.8</v>
      </c>
      <c r="AU284">
        <v>3.59</v>
      </c>
      <c r="AV284">
        <v>1.99</v>
      </c>
      <c r="AW284">
        <v>4</v>
      </c>
      <c r="AX284">
        <v>3.7</v>
      </c>
      <c r="AY284">
        <v>2.04</v>
      </c>
      <c r="AZ284">
        <v>1.87</v>
      </c>
      <c r="BA284">
        <v>2.0299999999999998</v>
      </c>
      <c r="BB284">
        <v>1.85</v>
      </c>
      <c r="BC284">
        <v>2.04</v>
      </c>
      <c r="BD284">
        <v>1.92</v>
      </c>
      <c r="BE284">
        <v>2.04</v>
      </c>
      <c r="BF284">
        <v>1.85</v>
      </c>
      <c r="BG284">
        <v>1.99</v>
      </c>
      <c r="BH284">
        <v>1.92</v>
      </c>
      <c r="BI284">
        <v>2.06</v>
      </c>
      <c r="BJ284">
        <v>0.5</v>
      </c>
      <c r="BK284">
        <v>1.88</v>
      </c>
      <c r="BL284">
        <v>2.02</v>
      </c>
      <c r="BM284">
        <v>1.9</v>
      </c>
      <c r="BN284">
        <v>2</v>
      </c>
      <c r="BO284">
        <v>1.91</v>
      </c>
      <c r="BP284">
        <v>2.04</v>
      </c>
      <c r="BQ284">
        <v>1.87</v>
      </c>
      <c r="BR284">
        <v>1.98</v>
      </c>
      <c r="BS284">
        <v>1.96</v>
      </c>
      <c r="BT284">
        <v>2.0299999999999998</v>
      </c>
      <c r="BU284">
        <v>3.9</v>
      </c>
      <c r="BV284">
        <v>3.5</v>
      </c>
      <c r="BW284">
        <v>1.95</v>
      </c>
      <c r="CA284">
        <v>4</v>
      </c>
      <c r="CB284">
        <v>3.6</v>
      </c>
      <c r="CC284">
        <v>1.95</v>
      </c>
      <c r="CD284">
        <v>3.99</v>
      </c>
      <c r="CE284">
        <v>3.58</v>
      </c>
      <c r="CF284">
        <v>2</v>
      </c>
      <c r="CG284">
        <v>3.8</v>
      </c>
      <c r="CH284">
        <v>3.5</v>
      </c>
      <c r="CI284">
        <v>1.95</v>
      </c>
      <c r="CJ284">
        <v>4.2</v>
      </c>
      <c r="CK284">
        <v>3.58</v>
      </c>
      <c r="CL284">
        <v>1.94</v>
      </c>
      <c r="CM284">
        <v>4.2</v>
      </c>
      <c r="CN284">
        <v>3.63</v>
      </c>
      <c r="CO284">
        <v>2.0099999999999998</v>
      </c>
      <c r="CP284">
        <v>3.99</v>
      </c>
      <c r="CQ284">
        <v>3.56</v>
      </c>
      <c r="CR284">
        <v>1.96</v>
      </c>
      <c r="CS284">
        <v>4.2</v>
      </c>
      <c r="CT284">
        <v>3.75</v>
      </c>
      <c r="CU284">
        <v>2</v>
      </c>
      <c r="CV284">
        <v>1.95</v>
      </c>
      <c r="CW284">
        <v>1.95</v>
      </c>
      <c r="CX284">
        <v>1.94</v>
      </c>
      <c r="CY284">
        <v>1.96</v>
      </c>
      <c r="CZ284">
        <v>1.99</v>
      </c>
      <c r="DA284">
        <v>2.0099999999999998</v>
      </c>
      <c r="DB284">
        <v>1.92</v>
      </c>
      <c r="DC284">
        <v>1.93</v>
      </c>
      <c r="DD284">
        <v>1.98</v>
      </c>
      <c r="DE284">
        <v>2</v>
      </c>
      <c r="DF284">
        <v>0.5</v>
      </c>
      <c r="DG284">
        <v>1.9</v>
      </c>
      <c r="DH284">
        <v>2.0299999999999998</v>
      </c>
      <c r="DI284">
        <v>1.91</v>
      </c>
      <c r="DJ284">
        <v>2.0099999999999998</v>
      </c>
      <c r="DK284">
        <v>1.95</v>
      </c>
      <c r="DL284">
        <v>2.0299999999999998</v>
      </c>
      <c r="DM284">
        <v>1.89</v>
      </c>
      <c r="DN284">
        <v>1.97</v>
      </c>
      <c r="DO284">
        <v>1.98</v>
      </c>
      <c r="DP284">
        <v>2</v>
      </c>
    </row>
    <row r="285" spans="1:120" x14ac:dyDescent="0.3">
      <c r="A285" t="s">
        <v>120</v>
      </c>
      <c r="B285" t="s">
        <v>219</v>
      </c>
      <c r="C285" s="1">
        <v>0.625</v>
      </c>
      <c r="D285" t="s">
        <v>152</v>
      </c>
      <c r="E285" t="s">
        <v>136</v>
      </c>
      <c r="F285">
        <v>2</v>
      </c>
      <c r="G285">
        <v>2</v>
      </c>
      <c r="H285" t="s">
        <v>125</v>
      </c>
      <c r="I285">
        <v>2</v>
      </c>
      <c r="J285">
        <v>1</v>
      </c>
      <c r="K285" t="s">
        <v>124</v>
      </c>
      <c r="L285" t="s">
        <v>137</v>
      </c>
      <c r="M285">
        <v>11</v>
      </c>
      <c r="N285">
        <v>15</v>
      </c>
      <c r="O285">
        <v>3</v>
      </c>
      <c r="P285">
        <v>3</v>
      </c>
      <c r="Q285">
        <v>10</v>
      </c>
      <c r="R285">
        <v>10</v>
      </c>
      <c r="S285">
        <v>4</v>
      </c>
      <c r="T285">
        <v>5</v>
      </c>
      <c r="U285">
        <v>2</v>
      </c>
      <c r="V285">
        <v>5</v>
      </c>
      <c r="W285">
        <v>0</v>
      </c>
      <c r="X285">
        <v>0</v>
      </c>
      <c r="Y285">
        <v>1.67</v>
      </c>
      <c r="Z285">
        <v>4.33</v>
      </c>
      <c r="AA285">
        <v>4.5</v>
      </c>
      <c r="AE285">
        <v>1.67</v>
      </c>
      <c r="AF285">
        <v>4.4000000000000004</v>
      </c>
      <c r="AG285">
        <v>4.5999999999999996</v>
      </c>
      <c r="AH285">
        <v>1.67</v>
      </c>
      <c r="AI285">
        <v>4.55</v>
      </c>
      <c r="AJ285">
        <v>4.62</v>
      </c>
      <c r="AK285">
        <v>1.65</v>
      </c>
      <c r="AL285">
        <v>4.33</v>
      </c>
      <c r="AM285">
        <v>4.5999999999999996</v>
      </c>
      <c r="AN285">
        <v>1.66</v>
      </c>
      <c r="AO285">
        <v>4.58</v>
      </c>
      <c r="AP285">
        <v>4.8899999999999997</v>
      </c>
      <c r="AQ285">
        <v>1.7</v>
      </c>
      <c r="AR285">
        <v>4.7</v>
      </c>
      <c r="AS285">
        <v>4.8899999999999997</v>
      </c>
      <c r="AT285">
        <v>1.66</v>
      </c>
      <c r="AU285">
        <v>4.45</v>
      </c>
      <c r="AV285">
        <v>4.63</v>
      </c>
      <c r="AW285">
        <v>1.7</v>
      </c>
      <c r="AX285">
        <v>4.5999999999999996</v>
      </c>
      <c r="AY285">
        <v>5</v>
      </c>
      <c r="AZ285">
        <v>1.44</v>
      </c>
      <c r="BA285">
        <v>2.75</v>
      </c>
      <c r="BB285">
        <v>1.48</v>
      </c>
      <c r="BC285">
        <v>2.72</v>
      </c>
      <c r="BD285">
        <v>1.52</v>
      </c>
      <c r="BE285">
        <v>2.82</v>
      </c>
      <c r="BF285">
        <v>1.47</v>
      </c>
      <c r="BG285">
        <v>2.68</v>
      </c>
      <c r="BH285">
        <v>1.55</v>
      </c>
      <c r="BI285">
        <v>2.78</v>
      </c>
      <c r="BJ285">
        <v>-0.75</v>
      </c>
      <c r="BK285">
        <v>1.84</v>
      </c>
      <c r="BL285">
        <v>2.06</v>
      </c>
      <c r="BM285">
        <v>1.84</v>
      </c>
      <c r="BN285">
        <v>2.08</v>
      </c>
      <c r="BO285">
        <v>1.87</v>
      </c>
      <c r="BP285">
        <v>2.09</v>
      </c>
      <c r="BQ285">
        <v>1.81</v>
      </c>
      <c r="BR285">
        <v>2.04</v>
      </c>
      <c r="BS285">
        <v>1.87</v>
      </c>
      <c r="BT285">
        <v>2.11</v>
      </c>
      <c r="BU285">
        <v>1.8</v>
      </c>
      <c r="BV285">
        <v>4.0999999999999996</v>
      </c>
      <c r="BW285">
        <v>3.9</v>
      </c>
      <c r="CA285">
        <v>1.8</v>
      </c>
      <c r="CB285">
        <v>3.9</v>
      </c>
      <c r="CC285">
        <v>4.2</v>
      </c>
      <c r="CD285">
        <v>1.83</v>
      </c>
      <c r="CE285">
        <v>3.99</v>
      </c>
      <c r="CF285">
        <v>4.3</v>
      </c>
      <c r="CG285">
        <v>1.75</v>
      </c>
      <c r="CH285">
        <v>4</v>
      </c>
      <c r="CI285">
        <v>4</v>
      </c>
      <c r="CJ285">
        <v>1.79</v>
      </c>
      <c r="CK285">
        <v>4.2</v>
      </c>
      <c r="CL285">
        <v>4.25</v>
      </c>
      <c r="CM285">
        <v>1.86</v>
      </c>
      <c r="CN285">
        <v>4.22</v>
      </c>
      <c r="CO285">
        <v>4.5</v>
      </c>
      <c r="CP285">
        <v>1.81</v>
      </c>
      <c r="CQ285">
        <v>4.03</v>
      </c>
      <c r="CR285">
        <v>4.1500000000000004</v>
      </c>
      <c r="CS285">
        <v>1.88</v>
      </c>
      <c r="CT285">
        <v>4.0999999999999996</v>
      </c>
      <c r="CU285">
        <v>4.4000000000000004</v>
      </c>
      <c r="CV285">
        <v>1.5</v>
      </c>
      <c r="CW285">
        <v>2.63</v>
      </c>
      <c r="CX285">
        <v>1.49</v>
      </c>
      <c r="CY285">
        <v>2.74</v>
      </c>
      <c r="CZ285">
        <v>1.53</v>
      </c>
      <c r="DA285">
        <v>2.78</v>
      </c>
      <c r="DB285">
        <v>1.5</v>
      </c>
      <c r="DC285">
        <v>2.65</v>
      </c>
      <c r="DD285">
        <v>1.53</v>
      </c>
      <c r="DE285">
        <v>2.86</v>
      </c>
      <c r="DF285">
        <v>-0.75</v>
      </c>
      <c r="DG285">
        <v>2.08</v>
      </c>
      <c r="DH285">
        <v>1.85</v>
      </c>
      <c r="DI285">
        <v>2.06</v>
      </c>
      <c r="DJ285">
        <v>1.87</v>
      </c>
      <c r="DK285">
        <v>2.08</v>
      </c>
      <c r="DL285">
        <v>1.91</v>
      </c>
      <c r="DM285">
        <v>2.02</v>
      </c>
      <c r="DN285">
        <v>1.85</v>
      </c>
      <c r="DO285">
        <v>2.1</v>
      </c>
      <c r="DP285">
        <v>1.89</v>
      </c>
    </row>
    <row r="286" spans="1:120" x14ac:dyDescent="0.3">
      <c r="A286" t="s">
        <v>120</v>
      </c>
      <c r="B286" t="s">
        <v>219</v>
      </c>
      <c r="C286" s="1">
        <v>0.625</v>
      </c>
      <c r="D286" t="s">
        <v>139</v>
      </c>
      <c r="E286" t="s">
        <v>133</v>
      </c>
      <c r="F286">
        <v>1</v>
      </c>
      <c r="G286">
        <v>2</v>
      </c>
      <c r="H286" t="s">
        <v>130</v>
      </c>
      <c r="I286">
        <v>0</v>
      </c>
      <c r="J286">
        <v>1</v>
      </c>
      <c r="K286" t="s">
        <v>130</v>
      </c>
      <c r="L286" t="s">
        <v>126</v>
      </c>
      <c r="M286">
        <v>10</v>
      </c>
      <c r="N286">
        <v>5</v>
      </c>
      <c r="O286">
        <v>3</v>
      </c>
      <c r="P286">
        <v>3</v>
      </c>
      <c r="Q286">
        <v>12</v>
      </c>
      <c r="R286">
        <v>13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3.7</v>
      </c>
      <c r="Z286">
        <v>3.4</v>
      </c>
      <c r="AA286">
        <v>2</v>
      </c>
      <c r="AE286">
        <v>3.8</v>
      </c>
      <c r="AF286">
        <v>3.5</v>
      </c>
      <c r="AG286">
        <v>2</v>
      </c>
      <c r="AH286">
        <v>3.67</v>
      </c>
      <c r="AI286">
        <v>3.56</v>
      </c>
      <c r="AJ286">
        <v>2.08</v>
      </c>
      <c r="AK286">
        <v>3.7</v>
      </c>
      <c r="AL286">
        <v>3.4</v>
      </c>
      <c r="AM286">
        <v>2.0499999999999998</v>
      </c>
      <c r="AN286">
        <v>3.71</v>
      </c>
      <c r="AO286">
        <v>3.55</v>
      </c>
      <c r="AP286">
        <v>2.11</v>
      </c>
      <c r="AQ286">
        <v>3.85</v>
      </c>
      <c r="AR286">
        <v>3.65</v>
      </c>
      <c r="AS286">
        <v>2.11</v>
      </c>
      <c r="AT286">
        <v>3.63</v>
      </c>
      <c r="AU286">
        <v>3.51</v>
      </c>
      <c r="AV286">
        <v>2.06</v>
      </c>
      <c r="AW286">
        <v>3.95</v>
      </c>
      <c r="AX286">
        <v>3.65</v>
      </c>
      <c r="AY286">
        <v>2.1</v>
      </c>
      <c r="AZ286">
        <v>1.84</v>
      </c>
      <c r="BA286">
        <v>2.06</v>
      </c>
      <c r="BB286">
        <v>1.82</v>
      </c>
      <c r="BC286">
        <v>2.0699999999999998</v>
      </c>
      <c r="BD286">
        <v>1.86</v>
      </c>
      <c r="BE286">
        <v>2.1</v>
      </c>
      <c r="BF286">
        <v>1.81</v>
      </c>
      <c r="BG286">
        <v>2.0299999999999998</v>
      </c>
      <c r="BH286">
        <v>1.86</v>
      </c>
      <c r="BI286">
        <v>2.12</v>
      </c>
      <c r="BJ286">
        <v>0.5</v>
      </c>
      <c r="BK286">
        <v>1.83</v>
      </c>
      <c r="BL286">
        <v>2.0699999999999998</v>
      </c>
      <c r="BM286">
        <v>1.83</v>
      </c>
      <c r="BN286">
        <v>2.09</v>
      </c>
      <c r="BO286">
        <v>1.85</v>
      </c>
      <c r="BP286">
        <v>2.09</v>
      </c>
      <c r="BQ286">
        <v>1.8</v>
      </c>
      <c r="BR286">
        <v>2.0499999999999998</v>
      </c>
      <c r="BS286">
        <v>1.89</v>
      </c>
      <c r="BT286">
        <v>2.1</v>
      </c>
      <c r="BU286">
        <v>3.9</v>
      </c>
      <c r="BV286">
        <v>3.25</v>
      </c>
      <c r="BW286">
        <v>2</v>
      </c>
      <c r="CA286">
        <v>4</v>
      </c>
      <c r="CB286">
        <v>3.4</v>
      </c>
      <c r="CC286">
        <v>2</v>
      </c>
      <c r="CD286">
        <v>3.97</v>
      </c>
      <c r="CE286">
        <v>3.43</v>
      </c>
      <c r="CF286">
        <v>2.0699999999999998</v>
      </c>
      <c r="CG286">
        <v>3.75</v>
      </c>
      <c r="CH286">
        <v>3.3</v>
      </c>
      <c r="CI286">
        <v>2.0499999999999998</v>
      </c>
      <c r="CJ286">
        <v>4.1900000000000004</v>
      </c>
      <c r="CK286">
        <v>3.36</v>
      </c>
      <c r="CL286">
        <v>2.0299999999999998</v>
      </c>
      <c r="CM286">
        <v>4.1900000000000004</v>
      </c>
      <c r="CN286">
        <v>3.53</v>
      </c>
      <c r="CO286">
        <v>2.1</v>
      </c>
      <c r="CP286">
        <v>3.9</v>
      </c>
      <c r="CQ286">
        <v>3.38</v>
      </c>
      <c r="CR286">
        <v>2.04</v>
      </c>
      <c r="CS286">
        <v>4.0999999999999996</v>
      </c>
      <c r="CT286">
        <v>3.45</v>
      </c>
      <c r="CU286">
        <v>2.1</v>
      </c>
      <c r="CV286">
        <v>2.1</v>
      </c>
      <c r="CW286">
        <v>1.73</v>
      </c>
      <c r="CX286">
        <v>2.12</v>
      </c>
      <c r="CY286">
        <v>1.79</v>
      </c>
      <c r="CZ286">
        <v>2.2400000000000002</v>
      </c>
      <c r="DA286">
        <v>1.92</v>
      </c>
      <c r="DB286">
        <v>2.06</v>
      </c>
      <c r="DC286">
        <v>1.79</v>
      </c>
      <c r="DD286">
        <v>2.14</v>
      </c>
      <c r="DE286">
        <v>1.86</v>
      </c>
      <c r="DF286">
        <v>0.5</v>
      </c>
      <c r="DG286">
        <v>1.86</v>
      </c>
      <c r="DH286">
        <v>2.0699999999999998</v>
      </c>
      <c r="DI286">
        <v>1.85</v>
      </c>
      <c r="DJ286">
        <v>2.08</v>
      </c>
      <c r="DK286">
        <v>1.89</v>
      </c>
      <c r="DL286">
        <v>2.08</v>
      </c>
      <c r="DM286">
        <v>1.83</v>
      </c>
      <c r="DN286">
        <v>2.04</v>
      </c>
      <c r="DO286">
        <v>1.89</v>
      </c>
      <c r="DP286">
        <v>2.1</v>
      </c>
    </row>
    <row r="287" spans="1:120" x14ac:dyDescent="0.3">
      <c r="A287" t="s">
        <v>120</v>
      </c>
      <c r="B287" t="s">
        <v>219</v>
      </c>
      <c r="C287" s="1">
        <v>0.72916666666666663</v>
      </c>
      <c r="D287" t="s">
        <v>142</v>
      </c>
      <c r="E287" t="s">
        <v>148</v>
      </c>
      <c r="F287">
        <v>1</v>
      </c>
      <c r="G287">
        <v>2</v>
      </c>
      <c r="H287" t="s">
        <v>130</v>
      </c>
      <c r="I287">
        <v>1</v>
      </c>
      <c r="J287">
        <v>1</v>
      </c>
      <c r="K287" t="s">
        <v>125</v>
      </c>
      <c r="L287" t="s">
        <v>140</v>
      </c>
      <c r="M287">
        <v>17</v>
      </c>
      <c r="N287">
        <v>10</v>
      </c>
      <c r="O287">
        <v>5</v>
      </c>
      <c r="P287">
        <v>4</v>
      </c>
      <c r="Q287">
        <v>13</v>
      </c>
      <c r="R287">
        <v>7</v>
      </c>
      <c r="S287">
        <v>4</v>
      </c>
      <c r="T287">
        <v>3</v>
      </c>
      <c r="U287">
        <v>3</v>
      </c>
      <c r="V287">
        <v>0</v>
      </c>
      <c r="W287">
        <v>0</v>
      </c>
      <c r="X287">
        <v>0</v>
      </c>
      <c r="Y287">
        <v>1.73</v>
      </c>
      <c r="Z287">
        <v>4.2</v>
      </c>
      <c r="AA287">
        <v>4.2</v>
      </c>
      <c r="AE287">
        <v>1.75</v>
      </c>
      <c r="AF287">
        <v>4.0999999999999996</v>
      </c>
      <c r="AG287">
        <v>4.4000000000000004</v>
      </c>
      <c r="AH287">
        <v>1.77</v>
      </c>
      <c r="AI287">
        <v>4.21</v>
      </c>
      <c r="AJ287">
        <v>4.29</v>
      </c>
      <c r="AK287">
        <v>1.75</v>
      </c>
      <c r="AL287">
        <v>4</v>
      </c>
      <c r="AM287">
        <v>4.2</v>
      </c>
      <c r="AN287">
        <v>1.78</v>
      </c>
      <c r="AO287">
        <v>4.2300000000000004</v>
      </c>
      <c r="AP287">
        <v>4.38</v>
      </c>
      <c r="AQ287">
        <v>1.8</v>
      </c>
      <c r="AR287">
        <v>4.3</v>
      </c>
      <c r="AS287">
        <v>4.4000000000000004</v>
      </c>
      <c r="AT287">
        <v>1.76</v>
      </c>
      <c r="AU287">
        <v>4.16</v>
      </c>
      <c r="AV287">
        <v>4.25</v>
      </c>
      <c r="AW287">
        <v>1.8</v>
      </c>
      <c r="AX287">
        <v>4.3</v>
      </c>
      <c r="AY287">
        <v>4.5</v>
      </c>
      <c r="AZ287">
        <v>1.44</v>
      </c>
      <c r="BA287">
        <v>2.75</v>
      </c>
      <c r="BB287">
        <v>1.5</v>
      </c>
      <c r="BC287">
        <v>2.67</v>
      </c>
      <c r="BD287">
        <v>1.51</v>
      </c>
      <c r="BE287">
        <v>2.8</v>
      </c>
      <c r="BF287">
        <v>1.48</v>
      </c>
      <c r="BG287">
        <v>2.66</v>
      </c>
      <c r="BH287">
        <v>1.53</v>
      </c>
      <c r="BI287">
        <v>2.82</v>
      </c>
      <c r="BJ287">
        <v>-0.75</v>
      </c>
      <c r="BK287">
        <v>1.95</v>
      </c>
      <c r="BL287">
        <v>1.95</v>
      </c>
      <c r="BM287">
        <v>1.98</v>
      </c>
      <c r="BN287">
        <v>1.93</v>
      </c>
      <c r="BO287">
        <v>1.98</v>
      </c>
      <c r="BP287">
        <v>1.96</v>
      </c>
      <c r="BQ287">
        <v>1.94</v>
      </c>
      <c r="BR287">
        <v>1.9</v>
      </c>
      <c r="BS287">
        <v>1.99</v>
      </c>
      <c r="BT287">
        <v>1.97</v>
      </c>
      <c r="BU287">
        <v>1.73</v>
      </c>
      <c r="BV287">
        <v>4.2</v>
      </c>
      <c r="BW287">
        <v>4.0999999999999996</v>
      </c>
      <c r="CA287">
        <v>1.73</v>
      </c>
      <c r="CB287">
        <v>4.2</v>
      </c>
      <c r="CC287">
        <v>4.4000000000000004</v>
      </c>
      <c r="CD287">
        <v>1.76</v>
      </c>
      <c r="CE287">
        <v>4.3499999999999996</v>
      </c>
      <c r="CF287">
        <v>4.32</v>
      </c>
      <c r="CG287">
        <v>1.75</v>
      </c>
      <c r="CH287">
        <v>4</v>
      </c>
      <c r="CI287">
        <v>4.2</v>
      </c>
      <c r="CJ287">
        <v>1.81</v>
      </c>
      <c r="CK287">
        <v>4.32</v>
      </c>
      <c r="CL287">
        <v>4.0599999999999996</v>
      </c>
      <c r="CM287">
        <v>1.85</v>
      </c>
      <c r="CN287">
        <v>4.3499999999999996</v>
      </c>
      <c r="CO287">
        <v>4.5</v>
      </c>
      <c r="CP287">
        <v>1.76</v>
      </c>
      <c r="CQ287">
        <v>4.2</v>
      </c>
      <c r="CR287">
        <v>4.29</v>
      </c>
      <c r="CS287">
        <v>1.8</v>
      </c>
      <c r="CT287">
        <v>4.4000000000000004</v>
      </c>
      <c r="CU287">
        <v>4.5</v>
      </c>
      <c r="CV287">
        <v>1.5</v>
      </c>
      <c r="CW287">
        <v>2.63</v>
      </c>
      <c r="CX287">
        <v>1.5</v>
      </c>
      <c r="CY287">
        <v>2.69</v>
      </c>
      <c r="CZ287">
        <v>1.52</v>
      </c>
      <c r="DA287">
        <v>2.88</v>
      </c>
      <c r="DB287">
        <v>1.49</v>
      </c>
      <c r="DC287">
        <v>2.69</v>
      </c>
      <c r="DD287">
        <v>1.53</v>
      </c>
      <c r="DE287">
        <v>2.86</v>
      </c>
      <c r="DF287">
        <v>-0.75</v>
      </c>
      <c r="DG287">
        <v>1.96</v>
      </c>
      <c r="DH287">
        <v>1.97</v>
      </c>
      <c r="DI287">
        <v>1.96</v>
      </c>
      <c r="DJ287">
        <v>1.96</v>
      </c>
      <c r="DK287">
        <v>1.99</v>
      </c>
      <c r="DL287">
        <v>1.97</v>
      </c>
      <c r="DM287">
        <v>1.94</v>
      </c>
      <c r="DN287">
        <v>1.92</v>
      </c>
      <c r="DO287">
        <v>2</v>
      </c>
      <c r="DP287">
        <v>1.98</v>
      </c>
    </row>
    <row r="288" spans="1:120" x14ac:dyDescent="0.3">
      <c r="A288" t="s">
        <v>120</v>
      </c>
      <c r="B288" t="s">
        <v>220</v>
      </c>
      <c r="C288" s="1">
        <v>0.5625</v>
      </c>
      <c r="D288" t="s">
        <v>132</v>
      </c>
      <c r="E288" t="s">
        <v>151</v>
      </c>
      <c r="F288">
        <v>1</v>
      </c>
      <c r="G288">
        <v>0</v>
      </c>
      <c r="H288" t="s">
        <v>124</v>
      </c>
      <c r="I288">
        <v>1</v>
      </c>
      <c r="J288">
        <v>0</v>
      </c>
      <c r="K288" t="s">
        <v>124</v>
      </c>
      <c r="L288" t="s">
        <v>157</v>
      </c>
      <c r="M288">
        <v>12</v>
      </c>
      <c r="N288">
        <v>8</v>
      </c>
      <c r="O288">
        <v>4</v>
      </c>
      <c r="P288">
        <v>2</v>
      </c>
      <c r="Q288">
        <v>10</v>
      </c>
      <c r="R288">
        <v>13</v>
      </c>
      <c r="S288">
        <v>5</v>
      </c>
      <c r="T288">
        <v>4</v>
      </c>
      <c r="U288">
        <v>3</v>
      </c>
      <c r="V288">
        <v>3</v>
      </c>
      <c r="W288">
        <v>0</v>
      </c>
      <c r="X288">
        <v>0</v>
      </c>
      <c r="Y288">
        <v>1.8</v>
      </c>
      <c r="Z288">
        <v>3.6</v>
      </c>
      <c r="AA288">
        <v>4.5</v>
      </c>
      <c r="AE288">
        <v>1.8</v>
      </c>
      <c r="AF288">
        <v>3.75</v>
      </c>
      <c r="AG288">
        <v>4.5</v>
      </c>
      <c r="AH288">
        <v>1.81</v>
      </c>
      <c r="AI288">
        <v>3.78</v>
      </c>
      <c r="AJ288">
        <v>4.55</v>
      </c>
      <c r="AK288">
        <v>1.8</v>
      </c>
      <c r="AL288">
        <v>3.7</v>
      </c>
      <c r="AM288">
        <v>4.33</v>
      </c>
      <c r="AN288">
        <v>1.82</v>
      </c>
      <c r="AO288">
        <v>3.91</v>
      </c>
      <c r="AP288">
        <v>4.53</v>
      </c>
      <c r="AQ288">
        <v>1.85</v>
      </c>
      <c r="AR288">
        <v>3.91</v>
      </c>
      <c r="AS288">
        <v>4.5999999999999996</v>
      </c>
      <c r="AT288">
        <v>1.81</v>
      </c>
      <c r="AU288">
        <v>3.74</v>
      </c>
      <c r="AV288">
        <v>4.4400000000000004</v>
      </c>
      <c r="AW288">
        <v>1.86</v>
      </c>
      <c r="AX288">
        <v>3.9</v>
      </c>
      <c r="AY288">
        <v>4.8</v>
      </c>
      <c r="AZ288">
        <v>1.86</v>
      </c>
      <c r="BA288">
        <v>1.92</v>
      </c>
      <c r="BB288">
        <v>1.92</v>
      </c>
      <c r="BC288">
        <v>1.97</v>
      </c>
      <c r="BD288">
        <v>1.93</v>
      </c>
      <c r="BE288">
        <v>1.98</v>
      </c>
      <c r="BF288">
        <v>1.88</v>
      </c>
      <c r="BG288">
        <v>1.94</v>
      </c>
      <c r="BH288">
        <v>1.95</v>
      </c>
      <c r="BI288">
        <v>2</v>
      </c>
      <c r="BJ288">
        <v>-0.75</v>
      </c>
      <c r="BK288">
        <v>2.06</v>
      </c>
      <c r="BL288">
        <v>1.84</v>
      </c>
      <c r="BM288">
        <v>2.0699999999999998</v>
      </c>
      <c r="BN288">
        <v>1.85</v>
      </c>
      <c r="BO288">
        <v>2.08</v>
      </c>
      <c r="BP288">
        <v>1.85</v>
      </c>
      <c r="BQ288">
        <v>2.0299999999999998</v>
      </c>
      <c r="BR288">
        <v>1.81</v>
      </c>
      <c r="BS288">
        <v>2.1</v>
      </c>
      <c r="BT288">
        <v>1.87</v>
      </c>
      <c r="BU288">
        <v>1.7</v>
      </c>
      <c r="BV288">
        <v>3.6</v>
      </c>
      <c r="BW288">
        <v>5.25</v>
      </c>
      <c r="CA288">
        <v>1.67</v>
      </c>
      <c r="CB288">
        <v>3.6</v>
      </c>
      <c r="CC288">
        <v>5</v>
      </c>
      <c r="CD288">
        <v>1.73</v>
      </c>
      <c r="CE288">
        <v>3.74</v>
      </c>
      <c r="CF288">
        <v>5.39</v>
      </c>
      <c r="CG288">
        <v>1.75</v>
      </c>
      <c r="CH288">
        <v>3.6</v>
      </c>
      <c r="CI288">
        <v>5</v>
      </c>
      <c r="CJ288">
        <v>1.74</v>
      </c>
      <c r="CK288">
        <v>3.69</v>
      </c>
      <c r="CL288">
        <v>5.38</v>
      </c>
      <c r="CM288">
        <v>1.8</v>
      </c>
      <c r="CN288">
        <v>3.82</v>
      </c>
      <c r="CO288">
        <v>5.5</v>
      </c>
      <c r="CP288">
        <v>1.73</v>
      </c>
      <c r="CQ288">
        <v>3.68</v>
      </c>
      <c r="CR288">
        <v>5.24</v>
      </c>
      <c r="CS288">
        <v>1.74</v>
      </c>
      <c r="CT288">
        <v>3.85</v>
      </c>
      <c r="CU288">
        <v>5.7</v>
      </c>
      <c r="CV288">
        <v>2</v>
      </c>
      <c r="CW288">
        <v>1.8</v>
      </c>
      <c r="CX288">
        <v>2.12</v>
      </c>
      <c r="CY288">
        <v>1.79</v>
      </c>
      <c r="CZ288">
        <v>2.13</v>
      </c>
      <c r="DA288">
        <v>1.9</v>
      </c>
      <c r="DB288">
        <v>2.06</v>
      </c>
      <c r="DC288">
        <v>1.8</v>
      </c>
      <c r="DD288">
        <v>2.2000000000000002</v>
      </c>
      <c r="DE288">
        <v>1.82</v>
      </c>
      <c r="DF288">
        <v>-0.75</v>
      </c>
      <c r="DG288">
        <v>1.95</v>
      </c>
      <c r="DH288">
        <v>1.95</v>
      </c>
      <c r="DI288">
        <v>1.96</v>
      </c>
      <c r="DJ288">
        <v>1.96</v>
      </c>
      <c r="DK288">
        <v>1.97</v>
      </c>
      <c r="DL288">
        <v>1.97</v>
      </c>
      <c r="DM288">
        <v>1.94</v>
      </c>
      <c r="DN288">
        <v>1.92</v>
      </c>
      <c r="DO288">
        <v>1.96</v>
      </c>
      <c r="DP288">
        <v>2.02</v>
      </c>
    </row>
    <row r="289" spans="1:120" x14ac:dyDescent="0.3">
      <c r="A289" t="s">
        <v>120</v>
      </c>
      <c r="B289" t="s">
        <v>220</v>
      </c>
      <c r="C289" s="1">
        <v>0.5625</v>
      </c>
      <c r="D289" t="s">
        <v>123</v>
      </c>
      <c r="E289" t="s">
        <v>156</v>
      </c>
      <c r="F289">
        <v>2</v>
      </c>
      <c r="G289">
        <v>0</v>
      </c>
      <c r="H289" t="s">
        <v>124</v>
      </c>
      <c r="I289">
        <v>0</v>
      </c>
      <c r="J289">
        <v>0</v>
      </c>
      <c r="K289" t="s">
        <v>125</v>
      </c>
      <c r="L289" t="s">
        <v>176</v>
      </c>
      <c r="M289">
        <v>13</v>
      </c>
      <c r="N289">
        <v>12</v>
      </c>
      <c r="O289">
        <v>4</v>
      </c>
      <c r="P289">
        <v>4</v>
      </c>
      <c r="Q289">
        <v>13</v>
      </c>
      <c r="R289">
        <v>10</v>
      </c>
      <c r="S289">
        <v>6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3.75</v>
      </c>
      <c r="AA289">
        <v>3.6</v>
      </c>
      <c r="AE289">
        <v>2</v>
      </c>
      <c r="AF289">
        <v>3.8</v>
      </c>
      <c r="AG289">
        <v>3.6</v>
      </c>
      <c r="AH289">
        <v>2.0299999999999998</v>
      </c>
      <c r="AI289">
        <v>3.88</v>
      </c>
      <c r="AJ289">
        <v>3.53</v>
      </c>
      <c r="AK289">
        <v>1.95</v>
      </c>
      <c r="AL289">
        <v>3.9</v>
      </c>
      <c r="AM289">
        <v>3.4</v>
      </c>
      <c r="AN289">
        <v>2.0299999999999998</v>
      </c>
      <c r="AO289">
        <v>4.04</v>
      </c>
      <c r="AP289">
        <v>3.51</v>
      </c>
      <c r="AQ289">
        <v>2.1</v>
      </c>
      <c r="AR289">
        <v>4.04</v>
      </c>
      <c r="AS289">
        <v>3.65</v>
      </c>
      <c r="AT289">
        <v>2.0099999999999998</v>
      </c>
      <c r="AU289">
        <v>3.84</v>
      </c>
      <c r="AV289">
        <v>3.48</v>
      </c>
      <c r="AW289">
        <v>2.08</v>
      </c>
      <c r="AX289">
        <v>3.95</v>
      </c>
      <c r="AY289">
        <v>3.7</v>
      </c>
      <c r="AZ289">
        <v>1.57</v>
      </c>
      <c r="BA289">
        <v>2.38</v>
      </c>
      <c r="BB289">
        <v>1.6</v>
      </c>
      <c r="BC289">
        <v>2.42</v>
      </c>
      <c r="BD289">
        <v>1.61</v>
      </c>
      <c r="BE289">
        <v>2.5</v>
      </c>
      <c r="BF289">
        <v>1.57</v>
      </c>
      <c r="BG289">
        <v>2.42</v>
      </c>
      <c r="BH289">
        <v>1.63</v>
      </c>
      <c r="BI289">
        <v>2.52</v>
      </c>
      <c r="BJ289">
        <v>-0.5</v>
      </c>
      <c r="BK289">
        <v>2.0299999999999998</v>
      </c>
      <c r="BL289">
        <v>1.87</v>
      </c>
      <c r="BM289">
        <v>2.0299999999999998</v>
      </c>
      <c r="BN289">
        <v>1.88</v>
      </c>
      <c r="BO289">
        <v>2.04</v>
      </c>
      <c r="BP289">
        <v>1.9</v>
      </c>
      <c r="BQ289">
        <v>2</v>
      </c>
      <c r="BR289">
        <v>1.85</v>
      </c>
      <c r="BS289">
        <v>2.06</v>
      </c>
      <c r="BT289">
        <v>1.91</v>
      </c>
      <c r="BU289">
        <v>1.8</v>
      </c>
      <c r="BV289">
        <v>3.9</v>
      </c>
      <c r="BW289">
        <v>4.0999999999999996</v>
      </c>
      <c r="CA289">
        <v>1.8</v>
      </c>
      <c r="CB289">
        <v>3.9</v>
      </c>
      <c r="CC289">
        <v>3.9</v>
      </c>
      <c r="CD289">
        <v>1.85</v>
      </c>
      <c r="CE289">
        <v>4.0999999999999996</v>
      </c>
      <c r="CF289">
        <v>4.08</v>
      </c>
      <c r="CG289">
        <v>1.85</v>
      </c>
      <c r="CH289">
        <v>3.7</v>
      </c>
      <c r="CI289">
        <v>4</v>
      </c>
      <c r="CJ289">
        <v>1.89</v>
      </c>
      <c r="CK289">
        <v>3.99</v>
      </c>
      <c r="CL289">
        <v>4</v>
      </c>
      <c r="CM289">
        <v>1.95</v>
      </c>
      <c r="CN289">
        <v>4.0999999999999996</v>
      </c>
      <c r="CO289">
        <v>4.24</v>
      </c>
      <c r="CP289">
        <v>1.85</v>
      </c>
      <c r="CQ289">
        <v>3.94</v>
      </c>
      <c r="CR289">
        <v>4.04</v>
      </c>
      <c r="CS289">
        <v>1.9</v>
      </c>
      <c r="CT289">
        <v>4.2</v>
      </c>
      <c r="CU289">
        <v>4.2</v>
      </c>
      <c r="CV289">
        <v>1.67</v>
      </c>
      <c r="CW289">
        <v>2.2000000000000002</v>
      </c>
      <c r="CX289">
        <v>1.67</v>
      </c>
      <c r="CY289">
        <v>2.31</v>
      </c>
      <c r="CZ289">
        <v>1.72</v>
      </c>
      <c r="DA289">
        <v>2.35</v>
      </c>
      <c r="DB289">
        <v>1.66</v>
      </c>
      <c r="DC289">
        <v>2.2599999999999998</v>
      </c>
      <c r="DD289">
        <v>1.73</v>
      </c>
      <c r="DE289">
        <v>2.36</v>
      </c>
      <c r="DF289">
        <v>-0.5</v>
      </c>
      <c r="DG289">
        <v>1.84</v>
      </c>
      <c r="DH289">
        <v>2.06</v>
      </c>
      <c r="DI289">
        <v>1.85</v>
      </c>
      <c r="DJ289">
        <v>2.08</v>
      </c>
      <c r="DK289">
        <v>1.86</v>
      </c>
      <c r="DL289">
        <v>2.09</v>
      </c>
      <c r="DM289">
        <v>1.84</v>
      </c>
      <c r="DN289">
        <v>2.02</v>
      </c>
      <c r="DO289">
        <v>1.9</v>
      </c>
      <c r="DP289">
        <v>2.1</v>
      </c>
    </row>
    <row r="290" spans="1:120" x14ac:dyDescent="0.3">
      <c r="A290" t="s">
        <v>120</v>
      </c>
      <c r="B290" t="s">
        <v>220</v>
      </c>
      <c r="C290" s="1">
        <v>0.79166666666666663</v>
      </c>
      <c r="D290" t="s">
        <v>155</v>
      </c>
      <c r="E290" t="s">
        <v>122</v>
      </c>
      <c r="F290">
        <v>0</v>
      </c>
      <c r="G290">
        <v>3</v>
      </c>
      <c r="H290" t="s">
        <v>130</v>
      </c>
      <c r="I290">
        <v>0</v>
      </c>
      <c r="J290">
        <v>1</v>
      </c>
      <c r="K290" t="s">
        <v>130</v>
      </c>
      <c r="L290" t="s">
        <v>185</v>
      </c>
      <c r="M290">
        <v>11</v>
      </c>
      <c r="N290">
        <v>18</v>
      </c>
      <c r="O290">
        <v>3</v>
      </c>
      <c r="P290">
        <v>5</v>
      </c>
      <c r="Q290">
        <v>6</v>
      </c>
      <c r="R290">
        <v>6</v>
      </c>
      <c r="S290">
        <v>6</v>
      </c>
      <c r="T290">
        <v>4</v>
      </c>
      <c r="U290">
        <v>2</v>
      </c>
      <c r="V290">
        <v>0</v>
      </c>
      <c r="W290">
        <v>0</v>
      </c>
      <c r="X290">
        <v>0</v>
      </c>
      <c r="Y290">
        <v>4.5</v>
      </c>
      <c r="Z290">
        <v>3.5</v>
      </c>
      <c r="AA290">
        <v>1.83</v>
      </c>
      <c r="AE290">
        <v>4.33</v>
      </c>
      <c r="AF290">
        <v>3.7</v>
      </c>
      <c r="AG290">
        <v>1.85</v>
      </c>
      <c r="AH290">
        <v>4.21</v>
      </c>
      <c r="AI290">
        <v>3.86</v>
      </c>
      <c r="AJ290">
        <v>1.85</v>
      </c>
      <c r="AK290">
        <v>4</v>
      </c>
      <c r="AL290">
        <v>3.75</v>
      </c>
      <c r="AM290">
        <v>1.85</v>
      </c>
      <c r="AN290">
        <v>4.28</v>
      </c>
      <c r="AO290">
        <v>3.91</v>
      </c>
      <c r="AP290">
        <v>1.87</v>
      </c>
      <c r="AQ290">
        <v>4.5</v>
      </c>
      <c r="AR290">
        <v>3.91</v>
      </c>
      <c r="AS290">
        <v>1.87</v>
      </c>
      <c r="AT290">
        <v>4.21</v>
      </c>
      <c r="AU290">
        <v>3.76</v>
      </c>
      <c r="AV290">
        <v>1.84</v>
      </c>
      <c r="AW290">
        <v>4.5999999999999996</v>
      </c>
      <c r="AX290">
        <v>3.85</v>
      </c>
      <c r="AY290">
        <v>1.88</v>
      </c>
      <c r="AZ290">
        <v>1.8</v>
      </c>
      <c r="BA290">
        <v>2</v>
      </c>
      <c r="BB290">
        <v>1.81</v>
      </c>
      <c r="BC290">
        <v>2.0699999999999998</v>
      </c>
      <c r="BD290">
        <v>1.85</v>
      </c>
      <c r="BE290">
        <v>2.1</v>
      </c>
      <c r="BF290">
        <v>1.79</v>
      </c>
      <c r="BG290">
        <v>2.04</v>
      </c>
      <c r="BH290">
        <v>1.84</v>
      </c>
      <c r="BI290">
        <v>2.12</v>
      </c>
      <c r="BJ290">
        <v>0.5</v>
      </c>
      <c r="BK290">
        <v>2.0499999999999998</v>
      </c>
      <c r="BL290">
        <v>1.85</v>
      </c>
      <c r="BM290">
        <v>2.0499999999999998</v>
      </c>
      <c r="BN290">
        <v>1.86</v>
      </c>
      <c r="BO290">
        <v>2.08</v>
      </c>
      <c r="BP290">
        <v>1.86</v>
      </c>
      <c r="BQ290">
        <v>2.02</v>
      </c>
      <c r="BR290">
        <v>1.83</v>
      </c>
      <c r="BS290">
        <v>2.12</v>
      </c>
      <c r="BT290">
        <v>1.88</v>
      </c>
      <c r="BU290">
        <v>4.5</v>
      </c>
      <c r="BV290">
        <v>3.7</v>
      </c>
      <c r="BW290">
        <v>1.8</v>
      </c>
      <c r="CA290">
        <v>4.4000000000000004</v>
      </c>
      <c r="CB290">
        <v>3.75</v>
      </c>
      <c r="CC290">
        <v>1.8</v>
      </c>
      <c r="CD290">
        <v>4.5599999999999996</v>
      </c>
      <c r="CE290">
        <v>3.82</v>
      </c>
      <c r="CF290">
        <v>1.83</v>
      </c>
      <c r="CG290">
        <v>4.2</v>
      </c>
      <c r="CH290">
        <v>3.6</v>
      </c>
      <c r="CI290">
        <v>1.85</v>
      </c>
      <c r="CJ290">
        <v>4.82</v>
      </c>
      <c r="CK290">
        <v>3.76</v>
      </c>
      <c r="CL290">
        <v>1.79</v>
      </c>
      <c r="CM290">
        <v>4.82</v>
      </c>
      <c r="CN290">
        <v>3.85</v>
      </c>
      <c r="CO290">
        <v>1.85</v>
      </c>
      <c r="CP290">
        <v>4.5</v>
      </c>
      <c r="CQ290">
        <v>3.74</v>
      </c>
      <c r="CR290">
        <v>1.81</v>
      </c>
      <c r="CS290">
        <v>4.5999999999999996</v>
      </c>
      <c r="CT290">
        <v>3.9</v>
      </c>
      <c r="CU290">
        <v>1.87</v>
      </c>
      <c r="CV290">
        <v>1.95</v>
      </c>
      <c r="CW290">
        <v>1.95</v>
      </c>
      <c r="CX290">
        <v>1.95</v>
      </c>
      <c r="CY290">
        <v>1.95</v>
      </c>
      <c r="CZ290">
        <v>1.95</v>
      </c>
      <c r="DA290">
        <v>2.0099999999999998</v>
      </c>
      <c r="DB290">
        <v>1.9</v>
      </c>
      <c r="DC290">
        <v>1.94</v>
      </c>
      <c r="DD290">
        <v>1.96</v>
      </c>
      <c r="DE290">
        <v>2.02</v>
      </c>
      <c r="DF290">
        <v>0.75</v>
      </c>
      <c r="DG290">
        <v>1.78</v>
      </c>
      <c r="DH290">
        <v>2.0299999999999998</v>
      </c>
      <c r="DI290">
        <v>1.85</v>
      </c>
      <c r="DJ290">
        <v>2.08</v>
      </c>
      <c r="DK290">
        <v>1.88</v>
      </c>
      <c r="DL290">
        <v>2.11</v>
      </c>
      <c r="DM290">
        <v>1.82</v>
      </c>
      <c r="DN290">
        <v>2.0499999999999998</v>
      </c>
      <c r="DO290">
        <v>1.87</v>
      </c>
      <c r="DP290">
        <v>2.13</v>
      </c>
    </row>
    <row r="291" spans="1:120" x14ac:dyDescent="0.3">
      <c r="A291" t="s">
        <v>120</v>
      </c>
      <c r="B291" s="2">
        <v>45661</v>
      </c>
      <c r="C291" s="1">
        <v>0.82291666666666663</v>
      </c>
      <c r="D291" t="s">
        <v>132</v>
      </c>
      <c r="E291" t="s">
        <v>123</v>
      </c>
      <c r="F291">
        <v>2</v>
      </c>
      <c r="G291">
        <v>1</v>
      </c>
      <c r="H291" t="s">
        <v>124</v>
      </c>
      <c r="I291">
        <v>1</v>
      </c>
      <c r="J291">
        <v>0</v>
      </c>
      <c r="K291" t="s">
        <v>124</v>
      </c>
      <c r="L291" t="s">
        <v>173</v>
      </c>
      <c r="M291">
        <v>17</v>
      </c>
      <c r="N291">
        <v>9</v>
      </c>
      <c r="O291">
        <v>4</v>
      </c>
      <c r="P291">
        <v>3</v>
      </c>
      <c r="Q291">
        <v>2</v>
      </c>
      <c r="R291">
        <v>10</v>
      </c>
      <c r="S291">
        <v>5</v>
      </c>
      <c r="T291">
        <v>4</v>
      </c>
      <c r="U291">
        <v>1</v>
      </c>
      <c r="V291">
        <v>2</v>
      </c>
      <c r="W291">
        <v>0</v>
      </c>
      <c r="X291">
        <v>0</v>
      </c>
      <c r="Y291">
        <v>1.48</v>
      </c>
      <c r="Z291">
        <v>4.33</v>
      </c>
      <c r="AA291">
        <v>7</v>
      </c>
      <c r="AE291">
        <v>1.4</v>
      </c>
      <c r="AF291">
        <v>4.5</v>
      </c>
      <c r="AG291">
        <v>9</v>
      </c>
      <c r="AH291">
        <v>1.5</v>
      </c>
      <c r="AI291">
        <v>4.21</v>
      </c>
      <c r="AJ291">
        <v>7.79</v>
      </c>
      <c r="AN291">
        <v>1.49</v>
      </c>
      <c r="AO291">
        <v>4.33</v>
      </c>
      <c r="AP291">
        <v>8.15</v>
      </c>
      <c r="AQ291">
        <v>1.52</v>
      </c>
      <c r="AR291">
        <v>4.5</v>
      </c>
      <c r="AS291">
        <v>9</v>
      </c>
      <c r="AT291">
        <v>1.48</v>
      </c>
      <c r="AU291">
        <v>4.2</v>
      </c>
      <c r="AV291">
        <v>7.73</v>
      </c>
      <c r="AW291">
        <v>1.51</v>
      </c>
      <c r="AX291">
        <v>4.3</v>
      </c>
      <c r="AY291">
        <v>9</v>
      </c>
      <c r="AZ291">
        <v>2.1</v>
      </c>
      <c r="BA291">
        <v>1.73</v>
      </c>
      <c r="BB291">
        <v>2.17</v>
      </c>
      <c r="BC291">
        <v>1.76</v>
      </c>
      <c r="BD291">
        <v>2.17</v>
      </c>
      <c r="BE291">
        <v>1.78</v>
      </c>
      <c r="BF291">
        <v>2.12</v>
      </c>
      <c r="BG291">
        <v>1.74</v>
      </c>
      <c r="BH291">
        <v>2.2400000000000002</v>
      </c>
      <c r="BI291">
        <v>1.79</v>
      </c>
      <c r="BJ291">
        <v>-1</v>
      </c>
      <c r="BK291">
        <v>1.88</v>
      </c>
      <c r="BL291">
        <v>2.0499999999999998</v>
      </c>
      <c r="BM291">
        <v>1.87</v>
      </c>
      <c r="BN291">
        <v>2.06</v>
      </c>
      <c r="BO291">
        <v>1.89</v>
      </c>
      <c r="BP291">
        <v>2.0699999999999998</v>
      </c>
      <c r="BQ291">
        <v>1.82</v>
      </c>
      <c r="BR291">
        <v>2.02</v>
      </c>
      <c r="BS291">
        <v>1.87</v>
      </c>
      <c r="BT291">
        <v>2.1</v>
      </c>
      <c r="BU291">
        <v>1.5</v>
      </c>
      <c r="BV291">
        <v>4.0999999999999996</v>
      </c>
      <c r="BW291">
        <v>7</v>
      </c>
      <c r="CA291">
        <v>1.47</v>
      </c>
      <c r="CB291">
        <v>4.2</v>
      </c>
      <c r="CC291">
        <v>7.5</v>
      </c>
      <c r="CD291">
        <v>1.51</v>
      </c>
      <c r="CE291">
        <v>4.3</v>
      </c>
      <c r="CF291">
        <v>7.6</v>
      </c>
      <c r="CJ291">
        <v>1.52</v>
      </c>
      <c r="CK291">
        <v>4.1900000000000004</v>
      </c>
      <c r="CL291">
        <v>7.45</v>
      </c>
      <c r="CM291">
        <v>1.53</v>
      </c>
      <c r="CN291">
        <v>4.3</v>
      </c>
      <c r="CO291">
        <v>8</v>
      </c>
      <c r="CP291">
        <v>1.49</v>
      </c>
      <c r="CQ291">
        <v>4.16</v>
      </c>
      <c r="CR291">
        <v>7.46</v>
      </c>
      <c r="CS291">
        <v>1.52</v>
      </c>
      <c r="CT291">
        <v>4.4000000000000004</v>
      </c>
      <c r="CU291">
        <v>8.4</v>
      </c>
      <c r="CV291">
        <v>2.0699999999999998</v>
      </c>
      <c r="CW291">
        <v>1.83</v>
      </c>
      <c r="CX291">
        <v>2.08</v>
      </c>
      <c r="CY291">
        <v>1.81</v>
      </c>
      <c r="CZ291">
        <v>2.08</v>
      </c>
      <c r="DA291">
        <v>1.99</v>
      </c>
      <c r="DB291">
        <v>2.02</v>
      </c>
      <c r="DC291">
        <v>1.82</v>
      </c>
      <c r="DD291">
        <v>2.1</v>
      </c>
      <c r="DE291">
        <v>1.89</v>
      </c>
      <c r="DF291">
        <v>-1</v>
      </c>
      <c r="DG291">
        <v>1.89</v>
      </c>
      <c r="DH291">
        <v>2.04</v>
      </c>
      <c r="DI291">
        <v>1.88</v>
      </c>
      <c r="DJ291">
        <v>2.04</v>
      </c>
      <c r="DK291">
        <v>1.9</v>
      </c>
      <c r="DL291">
        <v>2.08</v>
      </c>
      <c r="DM291">
        <v>1.84</v>
      </c>
      <c r="DN291">
        <v>2.02</v>
      </c>
      <c r="DO291">
        <v>1.89</v>
      </c>
      <c r="DP291">
        <v>2.11</v>
      </c>
    </row>
    <row r="292" spans="1:120" x14ac:dyDescent="0.3">
      <c r="A292" t="s">
        <v>120</v>
      </c>
      <c r="B292" s="2">
        <v>45661</v>
      </c>
      <c r="C292" s="1">
        <v>0.82291666666666663</v>
      </c>
      <c r="D292" t="s">
        <v>133</v>
      </c>
      <c r="E292" t="s">
        <v>144</v>
      </c>
      <c r="F292">
        <v>1</v>
      </c>
      <c r="G292">
        <v>0</v>
      </c>
      <c r="H292" t="s">
        <v>124</v>
      </c>
      <c r="I292">
        <v>1</v>
      </c>
      <c r="J292">
        <v>0</v>
      </c>
      <c r="K292" t="s">
        <v>124</v>
      </c>
      <c r="L292" t="s">
        <v>146</v>
      </c>
      <c r="M292">
        <v>9</v>
      </c>
      <c r="N292">
        <v>10</v>
      </c>
      <c r="O292">
        <v>2</v>
      </c>
      <c r="P292">
        <v>1</v>
      </c>
      <c r="Q292">
        <v>16</v>
      </c>
      <c r="R292">
        <v>12</v>
      </c>
      <c r="S292">
        <v>1</v>
      </c>
      <c r="T292">
        <v>2</v>
      </c>
      <c r="U292">
        <v>4</v>
      </c>
      <c r="V292">
        <v>2</v>
      </c>
      <c r="W292">
        <v>0</v>
      </c>
      <c r="X292">
        <v>0</v>
      </c>
      <c r="Y292">
        <v>2.5</v>
      </c>
      <c r="Z292">
        <v>3.2</v>
      </c>
      <c r="AA292">
        <v>2.9</v>
      </c>
      <c r="AE292">
        <v>2.4500000000000002</v>
      </c>
      <c r="AF292">
        <v>3.2</v>
      </c>
      <c r="AG292">
        <v>3.1</v>
      </c>
      <c r="AH292">
        <v>2.62</v>
      </c>
      <c r="AI292">
        <v>3.25</v>
      </c>
      <c r="AJ292">
        <v>2.96</v>
      </c>
      <c r="AN292">
        <v>2.63</v>
      </c>
      <c r="AO292">
        <v>3.28</v>
      </c>
      <c r="AP292">
        <v>2.94</v>
      </c>
      <c r="AQ292">
        <v>2.63</v>
      </c>
      <c r="AR292">
        <v>3.3</v>
      </c>
      <c r="AS292">
        <v>3.1</v>
      </c>
      <c r="AT292">
        <v>2.57</v>
      </c>
      <c r="AU292">
        <v>3.2</v>
      </c>
      <c r="AV292">
        <v>2.92</v>
      </c>
      <c r="AW292">
        <v>2.66</v>
      </c>
      <c r="AX292">
        <v>3.3</v>
      </c>
      <c r="AY292">
        <v>3.05</v>
      </c>
      <c r="AZ292">
        <v>2.2000000000000002</v>
      </c>
      <c r="BA292">
        <v>1.67</v>
      </c>
      <c r="BB292">
        <v>2.25</v>
      </c>
      <c r="BC292">
        <v>1.71</v>
      </c>
      <c r="BD292">
        <v>2.29</v>
      </c>
      <c r="BE292">
        <v>1.77</v>
      </c>
      <c r="BF292">
        <v>2.1800000000000002</v>
      </c>
      <c r="BG292">
        <v>1.7</v>
      </c>
      <c r="BH292">
        <v>2.2799999999999998</v>
      </c>
      <c r="BI292">
        <v>1.76</v>
      </c>
      <c r="BJ292">
        <v>0</v>
      </c>
      <c r="BK292">
        <v>1.83</v>
      </c>
      <c r="BL292">
        <v>2.1</v>
      </c>
      <c r="BM292">
        <v>1.85</v>
      </c>
      <c r="BN292">
        <v>2.09</v>
      </c>
      <c r="BO292">
        <v>1.86</v>
      </c>
      <c r="BP292">
        <v>2.13</v>
      </c>
      <c r="BQ292">
        <v>1.82</v>
      </c>
      <c r="BR292">
        <v>2.06</v>
      </c>
      <c r="BS292">
        <v>1.86</v>
      </c>
      <c r="BT292">
        <v>2.14</v>
      </c>
      <c r="BU292">
        <v>2.2999999999999998</v>
      </c>
      <c r="BV292">
        <v>3.2</v>
      </c>
      <c r="BW292">
        <v>3.25</v>
      </c>
      <c r="CA292">
        <v>2.2999999999999998</v>
      </c>
      <c r="CB292">
        <v>3.25</v>
      </c>
      <c r="CC292">
        <v>3.3</v>
      </c>
      <c r="CD292">
        <v>2.39</v>
      </c>
      <c r="CE292">
        <v>3.29</v>
      </c>
      <c r="CF292">
        <v>3.27</v>
      </c>
      <c r="CJ292">
        <v>2.4300000000000002</v>
      </c>
      <c r="CK292">
        <v>3.28</v>
      </c>
      <c r="CL292">
        <v>3.2</v>
      </c>
      <c r="CM292">
        <v>2.4300000000000002</v>
      </c>
      <c r="CN292">
        <v>3.35</v>
      </c>
      <c r="CO292">
        <v>3.3</v>
      </c>
      <c r="CP292">
        <v>2.37</v>
      </c>
      <c r="CQ292">
        <v>3.25</v>
      </c>
      <c r="CR292">
        <v>3.21</v>
      </c>
      <c r="CS292">
        <v>2.46</v>
      </c>
      <c r="CT292">
        <v>3.35</v>
      </c>
      <c r="CU292">
        <v>3.35</v>
      </c>
      <c r="CV292">
        <v>2.2999999999999998</v>
      </c>
      <c r="CW292">
        <v>1.62</v>
      </c>
      <c r="CX292">
        <v>2.36</v>
      </c>
      <c r="CY292">
        <v>1.65</v>
      </c>
      <c r="CZ292">
        <v>2.38</v>
      </c>
      <c r="DA292">
        <v>1.67</v>
      </c>
      <c r="DB292">
        <v>2.29</v>
      </c>
      <c r="DC292">
        <v>1.64</v>
      </c>
      <c r="DD292">
        <v>2.38</v>
      </c>
      <c r="DE292">
        <v>1.71</v>
      </c>
      <c r="DF292">
        <v>-0.25</v>
      </c>
      <c r="DG292">
        <v>2.0499999999999998</v>
      </c>
      <c r="DH292">
        <v>1.88</v>
      </c>
      <c r="DI292">
        <v>2.0499999999999998</v>
      </c>
      <c r="DJ292">
        <v>1.88</v>
      </c>
      <c r="DK292">
        <v>2.08</v>
      </c>
      <c r="DL292">
        <v>1.89</v>
      </c>
      <c r="DM292">
        <v>2.02</v>
      </c>
      <c r="DN292">
        <v>1.85</v>
      </c>
      <c r="DO292">
        <v>2.1</v>
      </c>
      <c r="DP292">
        <v>1.9</v>
      </c>
    </row>
    <row r="293" spans="1:120" x14ac:dyDescent="0.3">
      <c r="A293" t="s">
        <v>120</v>
      </c>
      <c r="B293" s="2">
        <v>45661</v>
      </c>
      <c r="C293" s="1">
        <v>0.83333333333333337</v>
      </c>
      <c r="D293" t="s">
        <v>141</v>
      </c>
      <c r="E293" t="s">
        <v>122</v>
      </c>
      <c r="F293">
        <v>1</v>
      </c>
      <c r="G293">
        <v>0</v>
      </c>
      <c r="H293" t="s">
        <v>124</v>
      </c>
      <c r="I293">
        <v>1</v>
      </c>
      <c r="J293">
        <v>0</v>
      </c>
      <c r="K293" t="s">
        <v>124</v>
      </c>
      <c r="L293" t="s">
        <v>134</v>
      </c>
      <c r="M293">
        <v>8</v>
      </c>
      <c r="N293">
        <v>23</v>
      </c>
      <c r="O293">
        <v>2</v>
      </c>
      <c r="P293">
        <v>6</v>
      </c>
      <c r="Q293">
        <v>5</v>
      </c>
      <c r="R293">
        <v>12</v>
      </c>
      <c r="S293">
        <v>3</v>
      </c>
      <c r="T293">
        <v>10</v>
      </c>
      <c r="U293">
        <v>1</v>
      </c>
      <c r="V293">
        <v>3</v>
      </c>
      <c r="W293">
        <v>0</v>
      </c>
      <c r="X293">
        <v>0</v>
      </c>
      <c r="Y293">
        <v>2.2999999999999998</v>
      </c>
      <c r="Z293">
        <v>3.4</v>
      </c>
      <c r="AA293">
        <v>3.1</v>
      </c>
      <c r="AE293">
        <v>2.2999999999999998</v>
      </c>
      <c r="AF293">
        <v>3.4</v>
      </c>
      <c r="AG293">
        <v>3.25</v>
      </c>
      <c r="AH293">
        <v>2.36</v>
      </c>
      <c r="AI293">
        <v>3.44</v>
      </c>
      <c r="AJ293">
        <v>3.19</v>
      </c>
      <c r="AN293">
        <v>2.31</v>
      </c>
      <c r="AO293">
        <v>3.59</v>
      </c>
      <c r="AP293">
        <v>3.18</v>
      </c>
      <c r="AQ293">
        <v>2.4500000000000002</v>
      </c>
      <c r="AR293">
        <v>3.59</v>
      </c>
      <c r="AS293">
        <v>3.28</v>
      </c>
      <c r="AT293">
        <v>2.3199999999999998</v>
      </c>
      <c r="AU293">
        <v>3.42</v>
      </c>
      <c r="AV293">
        <v>3.13</v>
      </c>
      <c r="AW293">
        <v>2.38</v>
      </c>
      <c r="AX293">
        <v>3.5</v>
      </c>
      <c r="AY293">
        <v>3.3</v>
      </c>
      <c r="AZ293">
        <v>1.95</v>
      </c>
      <c r="BA293">
        <v>1.95</v>
      </c>
      <c r="BB293">
        <v>1.95</v>
      </c>
      <c r="BC293">
        <v>1.95</v>
      </c>
      <c r="BD293">
        <v>1.98</v>
      </c>
      <c r="BE293">
        <v>1.96</v>
      </c>
      <c r="BF293">
        <v>1.94</v>
      </c>
      <c r="BG293">
        <v>1.89</v>
      </c>
      <c r="BH293">
        <v>2.02</v>
      </c>
      <c r="BI293">
        <v>1.97</v>
      </c>
      <c r="BJ293">
        <v>-0.25</v>
      </c>
      <c r="BK293">
        <v>2.0299999999999998</v>
      </c>
      <c r="BL293">
        <v>1.9</v>
      </c>
      <c r="BM293">
        <v>2.04</v>
      </c>
      <c r="BN293">
        <v>1.89</v>
      </c>
      <c r="BO293">
        <v>2.04</v>
      </c>
      <c r="BP293">
        <v>1.9</v>
      </c>
      <c r="BQ293">
        <v>1.97</v>
      </c>
      <c r="BR293">
        <v>1.87</v>
      </c>
      <c r="BS293">
        <v>2.0499999999999998</v>
      </c>
      <c r="BT293">
        <v>1.93</v>
      </c>
      <c r="BU293">
        <v>2.2999999999999998</v>
      </c>
      <c r="BV293">
        <v>3.3</v>
      </c>
      <c r="BW293">
        <v>3.2</v>
      </c>
      <c r="CA293">
        <v>2.2999999999999998</v>
      </c>
      <c r="CB293">
        <v>3.4</v>
      </c>
      <c r="CC293">
        <v>3.1</v>
      </c>
      <c r="CD293">
        <v>2.35</v>
      </c>
      <c r="CE293">
        <v>3.46</v>
      </c>
      <c r="CF293">
        <v>3.19</v>
      </c>
      <c r="CJ293">
        <v>2.4300000000000002</v>
      </c>
      <c r="CK293">
        <v>3.36</v>
      </c>
      <c r="CL293">
        <v>3.1</v>
      </c>
      <c r="CM293">
        <v>2.5</v>
      </c>
      <c r="CN293">
        <v>3.52</v>
      </c>
      <c r="CO293">
        <v>3.2</v>
      </c>
      <c r="CP293">
        <v>2.36</v>
      </c>
      <c r="CQ293">
        <v>3.39</v>
      </c>
      <c r="CR293">
        <v>3.11</v>
      </c>
      <c r="CS293">
        <v>2.46</v>
      </c>
      <c r="CT293">
        <v>3.5</v>
      </c>
      <c r="CU293">
        <v>3.2</v>
      </c>
      <c r="CV293">
        <v>2.0299999999999998</v>
      </c>
      <c r="CW293">
        <v>1.87</v>
      </c>
      <c r="CX293">
        <v>2.0299999999999998</v>
      </c>
      <c r="CY293">
        <v>1.88</v>
      </c>
      <c r="CZ293">
        <v>2.06</v>
      </c>
      <c r="DA293">
        <v>1.91</v>
      </c>
      <c r="DB293">
        <v>2</v>
      </c>
      <c r="DC293">
        <v>1.85</v>
      </c>
      <c r="DD293">
        <v>2.06</v>
      </c>
      <c r="DE293">
        <v>1.93</v>
      </c>
      <c r="DF293">
        <v>-0.25</v>
      </c>
      <c r="DG293">
        <v>2.0299999999999998</v>
      </c>
      <c r="DH293">
        <v>1.9</v>
      </c>
      <c r="DI293">
        <v>2.0299999999999998</v>
      </c>
      <c r="DJ293">
        <v>1.89</v>
      </c>
      <c r="DK293">
        <v>2.06</v>
      </c>
      <c r="DL293">
        <v>1.9</v>
      </c>
      <c r="DM293">
        <v>2.0099999999999998</v>
      </c>
      <c r="DN293">
        <v>1.85</v>
      </c>
      <c r="DO293">
        <v>2.09</v>
      </c>
      <c r="DP293">
        <v>1.91</v>
      </c>
    </row>
    <row r="294" spans="1:120" x14ac:dyDescent="0.3">
      <c r="A294" t="s">
        <v>120</v>
      </c>
      <c r="B294" s="2">
        <v>45692</v>
      </c>
      <c r="C294" s="1">
        <v>0.82291666666666663</v>
      </c>
      <c r="D294" t="s">
        <v>142</v>
      </c>
      <c r="E294" t="s">
        <v>128</v>
      </c>
      <c r="F294">
        <v>1</v>
      </c>
      <c r="G294">
        <v>2</v>
      </c>
      <c r="H294" t="s">
        <v>130</v>
      </c>
      <c r="I294">
        <v>0</v>
      </c>
      <c r="J294">
        <v>1</v>
      </c>
      <c r="K294" t="s">
        <v>130</v>
      </c>
      <c r="L294" t="s">
        <v>126</v>
      </c>
      <c r="M294">
        <v>24</v>
      </c>
      <c r="N294">
        <v>10</v>
      </c>
      <c r="O294">
        <v>7</v>
      </c>
      <c r="P294">
        <v>2</v>
      </c>
      <c r="Q294">
        <v>14</v>
      </c>
      <c r="R294">
        <v>15</v>
      </c>
      <c r="S294">
        <v>8</v>
      </c>
      <c r="T294">
        <v>3</v>
      </c>
      <c r="U294">
        <v>1</v>
      </c>
      <c r="V294">
        <v>2</v>
      </c>
      <c r="W294">
        <v>0</v>
      </c>
      <c r="X294">
        <v>0</v>
      </c>
      <c r="Y294">
        <v>1.36</v>
      </c>
      <c r="Z294">
        <v>5.25</v>
      </c>
      <c r="AA294">
        <v>7.5</v>
      </c>
      <c r="AE294">
        <v>1.36</v>
      </c>
      <c r="AF294">
        <v>5</v>
      </c>
      <c r="AG294">
        <v>8</v>
      </c>
      <c r="AH294">
        <v>1.39</v>
      </c>
      <c r="AI294">
        <v>5.33</v>
      </c>
      <c r="AJ294">
        <v>7.75</v>
      </c>
      <c r="AN294">
        <v>1.41</v>
      </c>
      <c r="AO294">
        <v>5.34</v>
      </c>
      <c r="AP294">
        <v>7.8</v>
      </c>
      <c r="AQ294">
        <v>1.41</v>
      </c>
      <c r="AR294">
        <v>5.5</v>
      </c>
      <c r="AS294">
        <v>8</v>
      </c>
      <c r="AT294">
        <v>1.38</v>
      </c>
      <c r="AU294">
        <v>5.23</v>
      </c>
      <c r="AV294">
        <v>7.72</v>
      </c>
      <c r="AW294">
        <v>1.41</v>
      </c>
      <c r="AX294">
        <v>5.6</v>
      </c>
      <c r="AY294">
        <v>8.6</v>
      </c>
      <c r="AZ294">
        <v>1.53</v>
      </c>
      <c r="BA294">
        <v>2.5</v>
      </c>
      <c r="BB294">
        <v>1.54</v>
      </c>
      <c r="BC294">
        <v>2.6</v>
      </c>
      <c r="BD294">
        <v>1.55</v>
      </c>
      <c r="BE294">
        <v>2.61</v>
      </c>
      <c r="BF294">
        <v>1.51</v>
      </c>
      <c r="BG294">
        <v>2.52</v>
      </c>
      <c r="BH294">
        <v>1.56</v>
      </c>
      <c r="BI294">
        <v>2.68</v>
      </c>
      <c r="BJ294">
        <v>-1.5</v>
      </c>
      <c r="BK294">
        <v>2.0499999999999998</v>
      </c>
      <c r="BL294">
        <v>1.85</v>
      </c>
      <c r="BM294">
        <v>2.08</v>
      </c>
      <c r="BN294">
        <v>1.84</v>
      </c>
      <c r="BO294">
        <v>2.08</v>
      </c>
      <c r="BP294">
        <v>1.85</v>
      </c>
      <c r="BQ294">
        <v>2.04</v>
      </c>
      <c r="BR294">
        <v>1.81</v>
      </c>
      <c r="BS294">
        <v>2.13</v>
      </c>
      <c r="BT294">
        <v>1.87</v>
      </c>
      <c r="BU294">
        <v>1.4</v>
      </c>
      <c r="BV294">
        <v>5</v>
      </c>
      <c r="BW294">
        <v>7.5</v>
      </c>
      <c r="CA294">
        <v>1.36</v>
      </c>
      <c r="CB294">
        <v>5</v>
      </c>
      <c r="CC294">
        <v>7.5</v>
      </c>
      <c r="CD294">
        <v>1.4</v>
      </c>
      <c r="CE294">
        <v>5.4</v>
      </c>
      <c r="CF294">
        <v>7.52</v>
      </c>
      <c r="CJ294">
        <v>1.42</v>
      </c>
      <c r="CK294">
        <v>5.13</v>
      </c>
      <c r="CL294">
        <v>7.7</v>
      </c>
      <c r="CM294">
        <v>1.43</v>
      </c>
      <c r="CN294">
        <v>5.4</v>
      </c>
      <c r="CO294">
        <v>8.5</v>
      </c>
      <c r="CP294">
        <v>1.39</v>
      </c>
      <c r="CQ294">
        <v>5.13</v>
      </c>
      <c r="CR294">
        <v>7.75</v>
      </c>
      <c r="CS294">
        <v>1.42</v>
      </c>
      <c r="CT294">
        <v>5.5</v>
      </c>
      <c r="CU294">
        <v>8.6</v>
      </c>
      <c r="CV294">
        <v>1.62</v>
      </c>
      <c r="CW294">
        <v>2.2999999999999998</v>
      </c>
      <c r="CX294">
        <v>1.66</v>
      </c>
      <c r="CY294">
        <v>2.3199999999999998</v>
      </c>
      <c r="CZ294">
        <v>1.67</v>
      </c>
      <c r="DA294">
        <v>2.35</v>
      </c>
      <c r="DB294">
        <v>1.63</v>
      </c>
      <c r="DC294">
        <v>2.29</v>
      </c>
      <c r="DD294">
        <v>1.69</v>
      </c>
      <c r="DE294">
        <v>2.42</v>
      </c>
      <c r="DF294">
        <v>-1.25</v>
      </c>
      <c r="DG294">
        <v>1.9</v>
      </c>
      <c r="DH294">
        <v>2.0299999999999998</v>
      </c>
      <c r="DI294">
        <v>1.89</v>
      </c>
      <c r="DJ294">
        <v>2.04</v>
      </c>
      <c r="DK294">
        <v>1.9</v>
      </c>
      <c r="DL294">
        <v>2.06</v>
      </c>
      <c r="DM294">
        <v>1.85</v>
      </c>
      <c r="DN294">
        <v>2.02</v>
      </c>
      <c r="DO294">
        <v>1.92</v>
      </c>
      <c r="DP294">
        <v>2.08</v>
      </c>
    </row>
    <row r="295" spans="1:120" x14ac:dyDescent="0.3">
      <c r="A295" t="s">
        <v>120</v>
      </c>
      <c r="B295" s="2">
        <v>45692</v>
      </c>
      <c r="C295" s="1">
        <v>0.82291666666666663</v>
      </c>
      <c r="D295" t="s">
        <v>136</v>
      </c>
      <c r="E295" t="s">
        <v>145</v>
      </c>
      <c r="F295">
        <v>0</v>
      </c>
      <c r="G295">
        <v>3</v>
      </c>
      <c r="H295" t="s">
        <v>130</v>
      </c>
      <c r="I295">
        <v>0</v>
      </c>
      <c r="J295">
        <v>0</v>
      </c>
      <c r="K295" t="s">
        <v>125</v>
      </c>
      <c r="L295" t="s">
        <v>164</v>
      </c>
      <c r="M295">
        <v>11</v>
      </c>
      <c r="N295">
        <v>8</v>
      </c>
      <c r="O295">
        <v>4</v>
      </c>
      <c r="P295">
        <v>5</v>
      </c>
      <c r="Q295">
        <v>16</v>
      </c>
      <c r="R295">
        <v>11</v>
      </c>
      <c r="S295">
        <v>4</v>
      </c>
      <c r="T295">
        <v>0</v>
      </c>
      <c r="U295">
        <v>1</v>
      </c>
      <c r="V295">
        <v>3</v>
      </c>
      <c r="W295">
        <v>0</v>
      </c>
      <c r="X295">
        <v>0</v>
      </c>
      <c r="Y295">
        <v>2.0499999999999998</v>
      </c>
      <c r="Z295">
        <v>3.8</v>
      </c>
      <c r="AA295">
        <v>3.25</v>
      </c>
      <c r="AE295">
        <v>2.1</v>
      </c>
      <c r="AF295">
        <v>3.9</v>
      </c>
      <c r="AG295">
        <v>3.3</v>
      </c>
      <c r="AH295">
        <v>2.11</v>
      </c>
      <c r="AI295">
        <v>3.85</v>
      </c>
      <c r="AJ295">
        <v>3.33</v>
      </c>
      <c r="AN295">
        <v>2.12</v>
      </c>
      <c r="AO295">
        <v>3.97</v>
      </c>
      <c r="AP295">
        <v>3.31</v>
      </c>
      <c r="AQ295">
        <v>2.15</v>
      </c>
      <c r="AR295">
        <v>3.97</v>
      </c>
      <c r="AS295">
        <v>3.35</v>
      </c>
      <c r="AT295">
        <v>2.09</v>
      </c>
      <c r="AU295">
        <v>3.81</v>
      </c>
      <c r="AV295">
        <v>3.27</v>
      </c>
      <c r="AW295">
        <v>2.2000000000000002</v>
      </c>
      <c r="AX295">
        <v>3.95</v>
      </c>
      <c r="AY295">
        <v>3.4</v>
      </c>
      <c r="AZ295">
        <v>1.62</v>
      </c>
      <c r="BA295">
        <v>2.2999999999999998</v>
      </c>
      <c r="BB295">
        <v>1.61</v>
      </c>
      <c r="BC295">
        <v>2.4</v>
      </c>
      <c r="BD295">
        <v>1.62</v>
      </c>
      <c r="BE295">
        <v>2.48</v>
      </c>
      <c r="BF295">
        <v>1.58</v>
      </c>
      <c r="BG295">
        <v>2.37</v>
      </c>
      <c r="BH295">
        <v>1.66</v>
      </c>
      <c r="BI295">
        <v>2.48</v>
      </c>
      <c r="BJ295">
        <v>-0.25</v>
      </c>
      <c r="BK295">
        <v>1.85</v>
      </c>
      <c r="BL295">
        <v>2.0499999999999998</v>
      </c>
      <c r="BM295">
        <v>1.85</v>
      </c>
      <c r="BN295">
        <v>2.06</v>
      </c>
      <c r="BO295">
        <v>1.85</v>
      </c>
      <c r="BP295">
        <v>2.0699999999999998</v>
      </c>
      <c r="BQ295">
        <v>1.82</v>
      </c>
      <c r="BR295">
        <v>2.02</v>
      </c>
      <c r="BS295">
        <v>1.92</v>
      </c>
      <c r="BT295">
        <v>2.0699999999999998</v>
      </c>
      <c r="BU295">
        <v>2.2999999999999998</v>
      </c>
      <c r="BV295">
        <v>3.4</v>
      </c>
      <c r="BW295">
        <v>3</v>
      </c>
      <c r="CA295">
        <v>2.2999999999999998</v>
      </c>
      <c r="CB295">
        <v>3.4</v>
      </c>
      <c r="CC295">
        <v>3.1</v>
      </c>
      <c r="CD295">
        <v>2.38</v>
      </c>
      <c r="CE295">
        <v>3.5</v>
      </c>
      <c r="CF295">
        <v>3.11</v>
      </c>
      <c r="CJ295">
        <v>2.4500000000000002</v>
      </c>
      <c r="CK295">
        <v>3.5</v>
      </c>
      <c r="CL295">
        <v>2.97</v>
      </c>
      <c r="CM295">
        <v>2.4500000000000002</v>
      </c>
      <c r="CN295">
        <v>3.7</v>
      </c>
      <c r="CO295">
        <v>3.15</v>
      </c>
      <c r="CP295">
        <v>2.35</v>
      </c>
      <c r="CQ295">
        <v>3.49</v>
      </c>
      <c r="CR295">
        <v>3.03</v>
      </c>
      <c r="CS295">
        <v>2.42</v>
      </c>
      <c r="CT295">
        <v>3.6</v>
      </c>
      <c r="CU295">
        <v>3.15</v>
      </c>
      <c r="CV295">
        <v>1.88</v>
      </c>
      <c r="CW295">
        <v>2.02</v>
      </c>
      <c r="CX295">
        <v>1.87</v>
      </c>
      <c r="CY295">
        <v>2.04</v>
      </c>
      <c r="CZ295">
        <v>1.89</v>
      </c>
      <c r="DA295">
        <v>2.1</v>
      </c>
      <c r="DB295">
        <v>1.82</v>
      </c>
      <c r="DC295">
        <v>2.0299999999999998</v>
      </c>
      <c r="DD295">
        <v>1.91</v>
      </c>
      <c r="DE295">
        <v>2.08</v>
      </c>
      <c r="DF295">
        <v>-0.25</v>
      </c>
      <c r="DG295">
        <v>2.0699999999999998</v>
      </c>
      <c r="DH295">
        <v>1.86</v>
      </c>
      <c r="DI295">
        <v>2.0699999999999998</v>
      </c>
      <c r="DJ295">
        <v>1.86</v>
      </c>
      <c r="DK295">
        <v>2.11</v>
      </c>
      <c r="DL295">
        <v>1.87</v>
      </c>
      <c r="DM295">
        <v>2.0299999999999998</v>
      </c>
      <c r="DN295">
        <v>1.84</v>
      </c>
      <c r="DO295">
        <v>2.08</v>
      </c>
      <c r="DP295">
        <v>1.91</v>
      </c>
    </row>
    <row r="296" spans="1:120" x14ac:dyDescent="0.3">
      <c r="A296" t="s">
        <v>120</v>
      </c>
      <c r="B296" s="2">
        <v>45692</v>
      </c>
      <c r="C296" s="1">
        <v>0.82291666666666663</v>
      </c>
      <c r="D296" t="s">
        <v>152</v>
      </c>
      <c r="E296" t="s">
        <v>155</v>
      </c>
      <c r="F296">
        <v>2</v>
      </c>
      <c r="G296">
        <v>0</v>
      </c>
      <c r="H296" t="s">
        <v>124</v>
      </c>
      <c r="I296">
        <v>2</v>
      </c>
      <c r="J296">
        <v>0</v>
      </c>
      <c r="K296" t="s">
        <v>124</v>
      </c>
      <c r="L296" t="s">
        <v>163</v>
      </c>
      <c r="M296">
        <v>18</v>
      </c>
      <c r="N296">
        <v>2</v>
      </c>
      <c r="O296">
        <v>5</v>
      </c>
      <c r="P296">
        <v>0</v>
      </c>
      <c r="Q296">
        <v>11</v>
      </c>
      <c r="R296">
        <v>8</v>
      </c>
      <c r="S296">
        <v>5</v>
      </c>
      <c r="T296">
        <v>0</v>
      </c>
      <c r="U296">
        <v>1</v>
      </c>
      <c r="V296">
        <v>4</v>
      </c>
      <c r="W296">
        <v>0</v>
      </c>
      <c r="X296">
        <v>0</v>
      </c>
      <c r="Y296">
        <v>1.2</v>
      </c>
      <c r="Z296">
        <v>8</v>
      </c>
      <c r="AA296">
        <v>10</v>
      </c>
      <c r="AE296">
        <v>1.18</v>
      </c>
      <c r="AF296">
        <v>8</v>
      </c>
      <c r="AG296">
        <v>14</v>
      </c>
      <c r="AH296">
        <v>1.2</v>
      </c>
      <c r="AI296">
        <v>8.18</v>
      </c>
      <c r="AJ296">
        <v>11.84</v>
      </c>
      <c r="AN296">
        <v>1.22</v>
      </c>
      <c r="AO296">
        <v>7.5</v>
      </c>
      <c r="AP296">
        <v>13.6</v>
      </c>
      <c r="AQ296">
        <v>1.22</v>
      </c>
      <c r="AR296">
        <v>8.1999999999999993</v>
      </c>
      <c r="AS296">
        <v>15</v>
      </c>
      <c r="AT296">
        <v>1.2</v>
      </c>
      <c r="AU296">
        <v>7.61</v>
      </c>
      <c r="AV296">
        <v>12.4</v>
      </c>
      <c r="AW296">
        <v>1.22</v>
      </c>
      <c r="AX296">
        <v>8.6</v>
      </c>
      <c r="AY296">
        <v>15</v>
      </c>
      <c r="AZ296">
        <v>1.4</v>
      </c>
      <c r="BA296">
        <v>3</v>
      </c>
      <c r="BB296">
        <v>1.39</v>
      </c>
      <c r="BC296">
        <v>3.04</v>
      </c>
      <c r="BD296">
        <v>1.4</v>
      </c>
      <c r="BE296">
        <v>3.3</v>
      </c>
      <c r="BF296">
        <v>1.38</v>
      </c>
      <c r="BG296">
        <v>2.99</v>
      </c>
      <c r="BH296">
        <v>1.42</v>
      </c>
      <c r="BI296">
        <v>3.25</v>
      </c>
      <c r="BJ296">
        <v>-2</v>
      </c>
      <c r="BK296">
        <v>1.95</v>
      </c>
      <c r="BL296">
        <v>1.95</v>
      </c>
      <c r="BM296">
        <v>1.97</v>
      </c>
      <c r="BN296">
        <v>1.92</v>
      </c>
      <c r="BO296">
        <v>1.98</v>
      </c>
      <c r="BP296">
        <v>1.95</v>
      </c>
      <c r="BQ296">
        <v>1.93</v>
      </c>
      <c r="BR296">
        <v>1.91</v>
      </c>
      <c r="BS296">
        <v>1.96</v>
      </c>
      <c r="BT296">
        <v>1.98</v>
      </c>
      <c r="BU296">
        <v>1.2</v>
      </c>
      <c r="BV296">
        <v>7.5</v>
      </c>
      <c r="BW296">
        <v>12</v>
      </c>
      <c r="CA296">
        <v>1.18</v>
      </c>
      <c r="CB296">
        <v>8</v>
      </c>
      <c r="CC296">
        <v>14</v>
      </c>
      <c r="CD296">
        <v>1.2</v>
      </c>
      <c r="CE296">
        <v>8</v>
      </c>
      <c r="CF296">
        <v>13.5</v>
      </c>
      <c r="CJ296">
        <v>1.22</v>
      </c>
      <c r="CK296">
        <v>7.69</v>
      </c>
      <c r="CL296">
        <v>12.8</v>
      </c>
      <c r="CM296">
        <v>1.23</v>
      </c>
      <c r="CN296">
        <v>8</v>
      </c>
      <c r="CO296">
        <v>15</v>
      </c>
      <c r="CP296">
        <v>1.2</v>
      </c>
      <c r="CQ296">
        <v>7.6</v>
      </c>
      <c r="CR296">
        <v>13.22</v>
      </c>
      <c r="CS296">
        <v>1.21</v>
      </c>
      <c r="CT296">
        <v>8.8000000000000007</v>
      </c>
      <c r="CU296">
        <v>16</v>
      </c>
      <c r="CV296">
        <v>1.36</v>
      </c>
      <c r="CW296">
        <v>3.2</v>
      </c>
      <c r="CX296">
        <v>1.39</v>
      </c>
      <c r="CY296">
        <v>3.08</v>
      </c>
      <c r="CZ296">
        <v>1.4</v>
      </c>
      <c r="DA296">
        <v>3.3</v>
      </c>
      <c r="DB296">
        <v>1.37</v>
      </c>
      <c r="DC296">
        <v>3.11</v>
      </c>
      <c r="DD296">
        <v>1.4</v>
      </c>
      <c r="DE296">
        <v>3.4</v>
      </c>
      <c r="DF296">
        <v>-2</v>
      </c>
      <c r="DG296">
        <v>1.96</v>
      </c>
      <c r="DH296">
        <v>1.97</v>
      </c>
      <c r="DI296">
        <v>2</v>
      </c>
      <c r="DJ296">
        <v>1.91</v>
      </c>
      <c r="DK296">
        <v>2</v>
      </c>
      <c r="DL296">
        <v>1.99</v>
      </c>
      <c r="DM296">
        <v>1.93</v>
      </c>
      <c r="DN296">
        <v>1.93</v>
      </c>
      <c r="DO296">
        <v>1.96</v>
      </c>
      <c r="DP296">
        <v>2.0099999999999998</v>
      </c>
    </row>
    <row r="297" spans="1:120" x14ac:dyDescent="0.3">
      <c r="A297" t="s">
        <v>120</v>
      </c>
      <c r="B297" s="2">
        <v>45692</v>
      </c>
      <c r="C297" s="1">
        <v>0.82291666666666663</v>
      </c>
      <c r="D297" t="s">
        <v>138</v>
      </c>
      <c r="E297" t="s">
        <v>148</v>
      </c>
      <c r="F297">
        <v>2</v>
      </c>
      <c r="G297">
        <v>1</v>
      </c>
      <c r="H297" t="s">
        <v>124</v>
      </c>
      <c r="I297">
        <v>1</v>
      </c>
      <c r="J297">
        <v>0</v>
      </c>
      <c r="K297" t="s">
        <v>124</v>
      </c>
      <c r="L297" t="s">
        <v>171</v>
      </c>
      <c r="M297">
        <v>21</v>
      </c>
      <c r="N297">
        <v>12</v>
      </c>
      <c r="O297">
        <v>4</v>
      </c>
      <c r="P297">
        <v>3</v>
      </c>
      <c r="Q297">
        <v>12</v>
      </c>
      <c r="R297">
        <v>12</v>
      </c>
      <c r="S297">
        <v>4</v>
      </c>
      <c r="T297">
        <v>5</v>
      </c>
      <c r="U297">
        <v>1</v>
      </c>
      <c r="V297">
        <v>1</v>
      </c>
      <c r="W297">
        <v>0</v>
      </c>
      <c r="X297">
        <v>0</v>
      </c>
      <c r="Y297">
        <v>1.73</v>
      </c>
      <c r="Z297">
        <v>4.5</v>
      </c>
      <c r="AA297">
        <v>4</v>
      </c>
      <c r="AE297">
        <v>1.73</v>
      </c>
      <c r="AF297">
        <v>4.33</v>
      </c>
      <c r="AG297">
        <v>4.33</v>
      </c>
      <c r="AH297">
        <v>1.74</v>
      </c>
      <c r="AI297">
        <v>4.34</v>
      </c>
      <c r="AJ297">
        <v>4.3099999999999996</v>
      </c>
      <c r="AN297">
        <v>1.75</v>
      </c>
      <c r="AO297">
        <v>4.41</v>
      </c>
      <c r="AP297">
        <v>4.38</v>
      </c>
      <c r="AQ297">
        <v>1.75</v>
      </c>
      <c r="AR297">
        <v>4.5</v>
      </c>
      <c r="AS297">
        <v>4.4000000000000004</v>
      </c>
      <c r="AT297">
        <v>1.73</v>
      </c>
      <c r="AU297">
        <v>4.3099999999999996</v>
      </c>
      <c r="AV297">
        <v>4.21</v>
      </c>
      <c r="AW297">
        <v>1.78</v>
      </c>
      <c r="AX297">
        <v>4.5999999999999996</v>
      </c>
      <c r="AY297">
        <v>4.5</v>
      </c>
      <c r="AZ297">
        <v>1.44</v>
      </c>
      <c r="BA297">
        <v>2.75</v>
      </c>
      <c r="BB297">
        <v>1.47</v>
      </c>
      <c r="BC297">
        <v>2.74</v>
      </c>
      <c r="BD297">
        <v>1.5</v>
      </c>
      <c r="BE297">
        <v>2.8</v>
      </c>
      <c r="BF297">
        <v>1.46</v>
      </c>
      <c r="BG297">
        <v>2.68</v>
      </c>
      <c r="BH297">
        <v>1.51</v>
      </c>
      <c r="BI297">
        <v>2.84</v>
      </c>
      <c r="BJ297">
        <v>-0.75</v>
      </c>
      <c r="BK297">
        <v>1.92</v>
      </c>
      <c r="BL297">
        <v>1.98</v>
      </c>
      <c r="BM297">
        <v>1.94</v>
      </c>
      <c r="BN297">
        <v>1.96</v>
      </c>
      <c r="BO297">
        <v>1.94</v>
      </c>
      <c r="BP297">
        <v>2</v>
      </c>
      <c r="BQ297">
        <v>1.9</v>
      </c>
      <c r="BR297">
        <v>1.93</v>
      </c>
      <c r="BS297">
        <v>1.96</v>
      </c>
      <c r="BT297">
        <v>2.0099999999999998</v>
      </c>
      <c r="BU297">
        <v>1.65</v>
      </c>
      <c r="BV297">
        <v>4.2</v>
      </c>
      <c r="BW297">
        <v>4.75</v>
      </c>
      <c r="CA297">
        <v>1.7</v>
      </c>
      <c r="CB297">
        <v>4.2</v>
      </c>
      <c r="CC297">
        <v>4.5</v>
      </c>
      <c r="CD297">
        <v>1.7</v>
      </c>
      <c r="CE297">
        <v>4.29</v>
      </c>
      <c r="CF297">
        <v>4.6900000000000004</v>
      </c>
      <c r="CJ297">
        <v>1.69</v>
      </c>
      <c r="CK297">
        <v>4.3</v>
      </c>
      <c r="CL297">
        <v>4.8600000000000003</v>
      </c>
      <c r="CM297">
        <v>1.7</v>
      </c>
      <c r="CN297">
        <v>4.5</v>
      </c>
      <c r="CO297">
        <v>5</v>
      </c>
      <c r="CP297">
        <v>1.67</v>
      </c>
      <c r="CQ297">
        <v>4.32</v>
      </c>
      <c r="CR297">
        <v>4.68</v>
      </c>
      <c r="CS297">
        <v>1.71</v>
      </c>
      <c r="CT297">
        <v>4.4000000000000004</v>
      </c>
      <c r="CU297">
        <v>5.0999999999999996</v>
      </c>
      <c r="CV297">
        <v>1.53</v>
      </c>
      <c r="CW297">
        <v>2.5</v>
      </c>
      <c r="CX297">
        <v>1.57</v>
      </c>
      <c r="CY297">
        <v>2.52</v>
      </c>
      <c r="CZ297">
        <v>1.6</v>
      </c>
      <c r="DA297">
        <v>2.66</v>
      </c>
      <c r="DB297">
        <v>1.53</v>
      </c>
      <c r="DC297">
        <v>2.52</v>
      </c>
      <c r="DD297">
        <v>1.6</v>
      </c>
      <c r="DE297">
        <v>2.64</v>
      </c>
      <c r="DF297">
        <v>-0.75</v>
      </c>
      <c r="DG297">
        <v>1.87</v>
      </c>
      <c r="DH297">
        <v>2.06</v>
      </c>
      <c r="DI297">
        <v>1.9</v>
      </c>
      <c r="DJ297">
        <v>2.0299999999999998</v>
      </c>
      <c r="DK297">
        <v>1.9</v>
      </c>
      <c r="DL297">
        <v>2.08</v>
      </c>
      <c r="DM297">
        <v>1.83</v>
      </c>
      <c r="DN297">
        <v>2.04</v>
      </c>
      <c r="DO297">
        <v>1.88</v>
      </c>
      <c r="DP297">
        <v>2.12</v>
      </c>
    </row>
    <row r="298" spans="1:120" x14ac:dyDescent="0.3">
      <c r="A298" t="s">
        <v>120</v>
      </c>
      <c r="B298" s="2">
        <v>45692</v>
      </c>
      <c r="C298" s="1">
        <v>0.82291666666666663</v>
      </c>
      <c r="D298" t="s">
        <v>139</v>
      </c>
      <c r="E298" t="s">
        <v>149</v>
      </c>
      <c r="F298">
        <v>1</v>
      </c>
      <c r="G298">
        <v>1</v>
      </c>
      <c r="H298" t="s">
        <v>125</v>
      </c>
      <c r="I298">
        <v>1</v>
      </c>
      <c r="J298">
        <v>0</v>
      </c>
      <c r="K298" t="s">
        <v>124</v>
      </c>
      <c r="L298" t="s">
        <v>176</v>
      </c>
      <c r="M298">
        <v>8</v>
      </c>
      <c r="N298">
        <v>9</v>
      </c>
      <c r="O298">
        <v>2</v>
      </c>
      <c r="P298">
        <v>3</v>
      </c>
      <c r="Q298">
        <v>14</v>
      </c>
      <c r="R298">
        <v>9</v>
      </c>
      <c r="S298">
        <v>2</v>
      </c>
      <c r="T298">
        <v>2</v>
      </c>
      <c r="U298">
        <v>2</v>
      </c>
      <c r="V298">
        <v>1</v>
      </c>
      <c r="W298">
        <v>0</v>
      </c>
      <c r="X298">
        <v>0</v>
      </c>
      <c r="Y298">
        <v>5.75</v>
      </c>
      <c r="Z298">
        <v>3.8</v>
      </c>
      <c r="AA298">
        <v>1.62</v>
      </c>
      <c r="AE298">
        <v>5.5</v>
      </c>
      <c r="AF298">
        <v>3.9</v>
      </c>
      <c r="AG298">
        <v>1.65</v>
      </c>
      <c r="AH298">
        <v>5.72</v>
      </c>
      <c r="AI298">
        <v>4.05</v>
      </c>
      <c r="AJ298">
        <v>1.63</v>
      </c>
      <c r="AN298">
        <v>5.6</v>
      </c>
      <c r="AO298">
        <v>4.28</v>
      </c>
      <c r="AP298">
        <v>1.63</v>
      </c>
      <c r="AQ298">
        <v>5.8</v>
      </c>
      <c r="AR298">
        <v>4.28</v>
      </c>
      <c r="AS298">
        <v>1.65</v>
      </c>
      <c r="AT298">
        <v>5.5</v>
      </c>
      <c r="AU298">
        <v>4.01</v>
      </c>
      <c r="AV298">
        <v>1.62</v>
      </c>
      <c r="AW298">
        <v>6.2</v>
      </c>
      <c r="AX298">
        <v>4.2</v>
      </c>
      <c r="AY298">
        <v>1.65</v>
      </c>
      <c r="AZ298">
        <v>1.8</v>
      </c>
      <c r="BA298">
        <v>2</v>
      </c>
      <c r="BB298">
        <v>1.79</v>
      </c>
      <c r="BC298">
        <v>2.09</v>
      </c>
      <c r="BD298">
        <v>1.83</v>
      </c>
      <c r="BE298">
        <v>2.09</v>
      </c>
      <c r="BF298">
        <v>1.78</v>
      </c>
      <c r="BG298">
        <v>2.0299999999999998</v>
      </c>
      <c r="BH298">
        <v>1.82</v>
      </c>
      <c r="BI298">
        <v>2.16</v>
      </c>
      <c r="BJ298">
        <v>1</v>
      </c>
      <c r="BK298">
        <v>1.84</v>
      </c>
      <c r="BL298">
        <v>2.06</v>
      </c>
      <c r="BM298">
        <v>1.85</v>
      </c>
      <c r="BN298">
        <v>2.06</v>
      </c>
      <c r="BO298">
        <v>1.85</v>
      </c>
      <c r="BP298">
        <v>2.12</v>
      </c>
      <c r="BQ298">
        <v>1.81</v>
      </c>
      <c r="BR298">
        <v>2.04</v>
      </c>
      <c r="BS298">
        <v>1.87</v>
      </c>
      <c r="BT298">
        <v>2.09</v>
      </c>
      <c r="BU298">
        <v>5.5</v>
      </c>
      <c r="BV298">
        <v>4</v>
      </c>
      <c r="BW298">
        <v>1.6</v>
      </c>
      <c r="CA298">
        <v>6</v>
      </c>
      <c r="CB298">
        <v>4.0999999999999996</v>
      </c>
      <c r="CC298">
        <v>1.57</v>
      </c>
      <c r="CD298">
        <v>5.72</v>
      </c>
      <c r="CE298">
        <v>4.13</v>
      </c>
      <c r="CF298">
        <v>1.63</v>
      </c>
      <c r="CJ298">
        <v>5.84</v>
      </c>
      <c r="CK298">
        <v>4.18</v>
      </c>
      <c r="CL298">
        <v>1.61</v>
      </c>
      <c r="CM298">
        <v>6</v>
      </c>
      <c r="CN298">
        <v>4.2</v>
      </c>
      <c r="CO298">
        <v>1.65</v>
      </c>
      <c r="CP298">
        <v>5.68</v>
      </c>
      <c r="CQ298">
        <v>4.04</v>
      </c>
      <c r="CR298">
        <v>1.61</v>
      </c>
      <c r="CS298">
        <v>5.9</v>
      </c>
      <c r="CT298">
        <v>4.3</v>
      </c>
      <c r="CU298">
        <v>1.65</v>
      </c>
      <c r="CV298">
        <v>1.8</v>
      </c>
      <c r="CW298">
        <v>2</v>
      </c>
      <c r="CX298">
        <v>1.78</v>
      </c>
      <c r="CY298">
        <v>2.14</v>
      </c>
      <c r="CZ298">
        <v>1.87</v>
      </c>
      <c r="DA298">
        <v>2.14</v>
      </c>
      <c r="DB298">
        <v>1.8</v>
      </c>
      <c r="DC298">
        <v>2.0299999999999998</v>
      </c>
      <c r="DD298">
        <v>1.86</v>
      </c>
      <c r="DE298">
        <v>2.14</v>
      </c>
      <c r="DF298">
        <v>1</v>
      </c>
      <c r="DG298">
        <v>1.85</v>
      </c>
      <c r="DH298">
        <v>2.08</v>
      </c>
      <c r="DI298">
        <v>1.85</v>
      </c>
      <c r="DJ298">
        <v>2.08</v>
      </c>
      <c r="DK298">
        <v>1.89</v>
      </c>
      <c r="DL298">
        <v>2.09</v>
      </c>
      <c r="DM298">
        <v>1.83</v>
      </c>
      <c r="DN298">
        <v>2.04</v>
      </c>
      <c r="DO298">
        <v>1.87</v>
      </c>
      <c r="DP298">
        <v>2.12</v>
      </c>
    </row>
    <row r="299" spans="1:120" x14ac:dyDescent="0.3">
      <c r="A299" t="s">
        <v>120</v>
      </c>
      <c r="B299" s="2">
        <v>45692</v>
      </c>
      <c r="C299" s="1">
        <v>0.83333333333333337</v>
      </c>
      <c r="D299" t="s">
        <v>129</v>
      </c>
      <c r="E299" t="s">
        <v>135</v>
      </c>
      <c r="F299">
        <v>1</v>
      </c>
      <c r="G299">
        <v>0</v>
      </c>
      <c r="H299" t="s">
        <v>124</v>
      </c>
      <c r="I299">
        <v>0</v>
      </c>
      <c r="J299">
        <v>0</v>
      </c>
      <c r="K299" t="s">
        <v>125</v>
      </c>
      <c r="L299" t="s">
        <v>150</v>
      </c>
      <c r="M299">
        <v>17</v>
      </c>
      <c r="N299">
        <v>5</v>
      </c>
      <c r="O299">
        <v>3</v>
      </c>
      <c r="P299">
        <v>0</v>
      </c>
      <c r="Q299">
        <v>7</v>
      </c>
      <c r="R299">
        <v>11</v>
      </c>
      <c r="S299">
        <v>11</v>
      </c>
      <c r="T299">
        <v>5</v>
      </c>
      <c r="U299">
        <v>2</v>
      </c>
      <c r="V299">
        <v>2</v>
      </c>
      <c r="W299">
        <v>0</v>
      </c>
      <c r="X299">
        <v>0</v>
      </c>
      <c r="Y299">
        <v>1.36</v>
      </c>
      <c r="Z299">
        <v>5</v>
      </c>
      <c r="AA299">
        <v>8</v>
      </c>
      <c r="AE299">
        <v>1.33</v>
      </c>
      <c r="AF299">
        <v>5</v>
      </c>
      <c r="AG299">
        <v>9.5</v>
      </c>
      <c r="AH299">
        <v>1.36</v>
      </c>
      <c r="AI299">
        <v>5.19</v>
      </c>
      <c r="AJ299">
        <v>9.1999999999999993</v>
      </c>
      <c r="AN299">
        <v>1.4</v>
      </c>
      <c r="AO299">
        <v>5.09</v>
      </c>
      <c r="AP299">
        <v>8.85</v>
      </c>
      <c r="AQ299">
        <v>1.4</v>
      </c>
      <c r="AR299">
        <v>5.3</v>
      </c>
      <c r="AS299">
        <v>9.5</v>
      </c>
      <c r="AT299">
        <v>1.36</v>
      </c>
      <c r="AU299">
        <v>5.0199999999999996</v>
      </c>
      <c r="AV299">
        <v>8.7799999999999994</v>
      </c>
      <c r="AW299">
        <v>1.38</v>
      </c>
      <c r="AX299">
        <v>5.4</v>
      </c>
      <c r="AY299">
        <v>10.5</v>
      </c>
      <c r="AZ299">
        <v>1.73</v>
      </c>
      <c r="BA299">
        <v>2.1</v>
      </c>
      <c r="BB299">
        <v>1.78</v>
      </c>
      <c r="BC299">
        <v>2.11</v>
      </c>
      <c r="BD299">
        <v>1.81</v>
      </c>
      <c r="BE299">
        <v>2.12</v>
      </c>
      <c r="BF299">
        <v>1.76</v>
      </c>
      <c r="BG299">
        <v>2.06</v>
      </c>
      <c r="BH299">
        <v>1.8</v>
      </c>
      <c r="BI299">
        <v>2.2000000000000002</v>
      </c>
      <c r="BJ299">
        <v>-1.25</v>
      </c>
      <c r="BK299">
        <v>1.83</v>
      </c>
      <c r="BL299">
        <v>2.0699999999999998</v>
      </c>
      <c r="BM299">
        <v>1.84</v>
      </c>
      <c r="BN299">
        <v>2.08</v>
      </c>
      <c r="BO299">
        <v>1.84</v>
      </c>
      <c r="BP299">
        <v>2.08</v>
      </c>
      <c r="BQ299">
        <v>1.81</v>
      </c>
      <c r="BR299">
        <v>2.0299999999999998</v>
      </c>
      <c r="BS299">
        <v>1.84</v>
      </c>
      <c r="BT299">
        <v>2.14</v>
      </c>
      <c r="BU299">
        <v>1.48</v>
      </c>
      <c r="BV299">
        <v>4.33</v>
      </c>
      <c r="BW299">
        <v>6.5</v>
      </c>
      <c r="CA299">
        <v>1.44</v>
      </c>
      <c r="CB299">
        <v>4.5</v>
      </c>
      <c r="CC299">
        <v>7.5</v>
      </c>
      <c r="CD299">
        <v>1.5</v>
      </c>
      <c r="CE299">
        <v>4.41</v>
      </c>
      <c r="CF299">
        <v>7.31</v>
      </c>
      <c r="CJ299">
        <v>1.51</v>
      </c>
      <c r="CK299">
        <v>4.46</v>
      </c>
      <c r="CL299">
        <v>6.96</v>
      </c>
      <c r="CM299">
        <v>1.52</v>
      </c>
      <c r="CN299">
        <v>4.55</v>
      </c>
      <c r="CO299">
        <v>7.5</v>
      </c>
      <c r="CP299">
        <v>1.48</v>
      </c>
      <c r="CQ299">
        <v>4.38</v>
      </c>
      <c r="CR299">
        <v>7.07</v>
      </c>
      <c r="CS299">
        <v>1.5</v>
      </c>
      <c r="CT299">
        <v>4.7</v>
      </c>
      <c r="CU299">
        <v>8</v>
      </c>
      <c r="CV299">
        <v>1.86</v>
      </c>
      <c r="CW299">
        <v>2.04</v>
      </c>
      <c r="CX299">
        <v>1.85</v>
      </c>
      <c r="CY299">
        <v>2.06</v>
      </c>
      <c r="CZ299">
        <v>1.86</v>
      </c>
      <c r="DA299">
        <v>2.1</v>
      </c>
      <c r="DB299">
        <v>1.81</v>
      </c>
      <c r="DC299">
        <v>2.0299999999999998</v>
      </c>
      <c r="DD299">
        <v>1.89</v>
      </c>
      <c r="DE299">
        <v>2.1</v>
      </c>
      <c r="DF299">
        <v>-1</v>
      </c>
      <c r="DG299">
        <v>1.87</v>
      </c>
      <c r="DH299">
        <v>2.06</v>
      </c>
      <c r="DI299">
        <v>1.86</v>
      </c>
      <c r="DJ299">
        <v>2.0699999999999998</v>
      </c>
      <c r="DK299">
        <v>1.88</v>
      </c>
      <c r="DL299">
        <v>2.1</v>
      </c>
      <c r="DM299">
        <v>1.82</v>
      </c>
      <c r="DN299">
        <v>2.0499999999999998</v>
      </c>
      <c r="DO299">
        <v>1.85</v>
      </c>
      <c r="DP299">
        <v>2.14</v>
      </c>
    </row>
    <row r="300" spans="1:120" x14ac:dyDescent="0.3">
      <c r="A300" t="s">
        <v>120</v>
      </c>
      <c r="B300" s="2">
        <v>45720</v>
      </c>
      <c r="C300" s="1">
        <v>0.83333333333333337</v>
      </c>
      <c r="D300" t="s">
        <v>151</v>
      </c>
      <c r="E300" t="s">
        <v>156</v>
      </c>
      <c r="F300">
        <v>1</v>
      </c>
      <c r="G300">
        <v>0</v>
      </c>
      <c r="H300" t="s">
        <v>124</v>
      </c>
      <c r="I300">
        <v>0</v>
      </c>
      <c r="J300">
        <v>0</v>
      </c>
      <c r="K300" t="s">
        <v>125</v>
      </c>
      <c r="L300" t="s">
        <v>140</v>
      </c>
      <c r="M300">
        <v>11</v>
      </c>
      <c r="N300">
        <v>8</v>
      </c>
      <c r="O300">
        <v>5</v>
      </c>
      <c r="P300">
        <v>2</v>
      </c>
      <c r="Q300">
        <v>7</v>
      </c>
      <c r="R300">
        <v>16</v>
      </c>
      <c r="S300">
        <v>4</v>
      </c>
      <c r="T300">
        <v>6</v>
      </c>
      <c r="U300">
        <v>5</v>
      </c>
      <c r="V300">
        <v>5</v>
      </c>
      <c r="W300">
        <v>0</v>
      </c>
      <c r="X300">
        <v>0</v>
      </c>
      <c r="Y300">
        <v>1.65</v>
      </c>
      <c r="Z300">
        <v>4.5</v>
      </c>
      <c r="AA300">
        <v>4.5</v>
      </c>
      <c r="AE300">
        <v>1.67</v>
      </c>
      <c r="AF300">
        <v>4.5</v>
      </c>
      <c r="AG300">
        <v>4.5999999999999996</v>
      </c>
      <c r="AH300">
        <v>1.66</v>
      </c>
      <c r="AI300">
        <v>4.58</v>
      </c>
      <c r="AJ300">
        <v>4.59</v>
      </c>
      <c r="AN300">
        <v>1.67</v>
      </c>
      <c r="AO300">
        <v>4.6900000000000004</v>
      </c>
      <c r="AP300">
        <v>4.6900000000000004</v>
      </c>
      <c r="AQ300">
        <v>1.67</v>
      </c>
      <c r="AR300">
        <v>4.6900000000000004</v>
      </c>
      <c r="AS300">
        <v>4.75</v>
      </c>
      <c r="AT300">
        <v>1.64</v>
      </c>
      <c r="AU300">
        <v>4.5</v>
      </c>
      <c r="AV300">
        <v>4.57</v>
      </c>
      <c r="AW300">
        <v>1.7</v>
      </c>
      <c r="AX300">
        <v>4.8</v>
      </c>
      <c r="AY300">
        <v>4.8</v>
      </c>
      <c r="AZ300">
        <v>1.4</v>
      </c>
      <c r="BA300">
        <v>3</v>
      </c>
      <c r="BB300">
        <v>1.41</v>
      </c>
      <c r="BC300">
        <v>2.98</v>
      </c>
      <c r="BD300">
        <v>1.42</v>
      </c>
      <c r="BE300">
        <v>3.05</v>
      </c>
      <c r="BF300">
        <v>1.39</v>
      </c>
      <c r="BG300">
        <v>2.92</v>
      </c>
      <c r="BH300">
        <v>1.45</v>
      </c>
      <c r="BI300">
        <v>3.1</v>
      </c>
      <c r="BJ300">
        <v>-1</v>
      </c>
      <c r="BK300">
        <v>2.0699999999999998</v>
      </c>
      <c r="BL300">
        <v>1.83</v>
      </c>
      <c r="BM300">
        <v>2.08</v>
      </c>
      <c r="BN300">
        <v>1.81</v>
      </c>
      <c r="BO300">
        <v>2.08</v>
      </c>
      <c r="BP300">
        <v>1.84</v>
      </c>
      <c r="BQ300">
        <v>2.04</v>
      </c>
      <c r="BR300">
        <v>1.8</v>
      </c>
      <c r="BS300">
        <v>2.09</v>
      </c>
      <c r="BT300">
        <v>1.86</v>
      </c>
      <c r="BU300">
        <v>1.67</v>
      </c>
      <c r="BV300">
        <v>4.33</v>
      </c>
      <c r="BW300">
        <v>4.33</v>
      </c>
      <c r="CA300">
        <v>1.65</v>
      </c>
      <c r="CB300">
        <v>4.33</v>
      </c>
      <c r="CC300">
        <v>4.75</v>
      </c>
      <c r="CD300">
        <v>1.67</v>
      </c>
      <c r="CE300">
        <v>4.46</v>
      </c>
      <c r="CF300">
        <v>4.83</v>
      </c>
      <c r="CJ300">
        <v>1.69</v>
      </c>
      <c r="CK300">
        <v>4.46</v>
      </c>
      <c r="CL300">
        <v>4.6500000000000004</v>
      </c>
      <c r="CM300">
        <v>1.72</v>
      </c>
      <c r="CN300">
        <v>4.46</v>
      </c>
      <c r="CO300">
        <v>4.9000000000000004</v>
      </c>
      <c r="CP300">
        <v>1.68</v>
      </c>
      <c r="CQ300">
        <v>4.3600000000000003</v>
      </c>
      <c r="CR300">
        <v>4.58</v>
      </c>
      <c r="CS300">
        <v>1.7</v>
      </c>
      <c r="CT300">
        <v>4.7</v>
      </c>
      <c r="CU300">
        <v>4.9000000000000004</v>
      </c>
      <c r="CV300">
        <v>1.44</v>
      </c>
      <c r="CW300">
        <v>2.75</v>
      </c>
      <c r="CX300">
        <v>1.47</v>
      </c>
      <c r="CY300">
        <v>2.81</v>
      </c>
      <c r="CZ300">
        <v>1.5</v>
      </c>
      <c r="DA300">
        <v>2.95</v>
      </c>
      <c r="DB300">
        <v>1.45</v>
      </c>
      <c r="DC300">
        <v>2.77</v>
      </c>
      <c r="DD300">
        <v>1.51</v>
      </c>
      <c r="DE300">
        <v>2.94</v>
      </c>
      <c r="DF300">
        <v>-0.75</v>
      </c>
      <c r="DG300">
        <v>1.87</v>
      </c>
      <c r="DH300">
        <v>2.0299999999999998</v>
      </c>
      <c r="DI300">
        <v>1.84</v>
      </c>
      <c r="DJ300">
        <v>2.1</v>
      </c>
      <c r="DK300">
        <v>1.89</v>
      </c>
      <c r="DL300">
        <v>2.1</v>
      </c>
      <c r="DM300">
        <v>1.84</v>
      </c>
      <c r="DN300">
        <v>2.0299999999999998</v>
      </c>
      <c r="DO300">
        <v>1.87</v>
      </c>
      <c r="DP300">
        <v>2.12</v>
      </c>
    </row>
    <row r="301" spans="1:120" x14ac:dyDescent="0.3">
      <c r="A301" t="s">
        <v>120</v>
      </c>
      <c r="B301" s="2">
        <v>45781</v>
      </c>
      <c r="C301" s="1">
        <v>0.52083333333333337</v>
      </c>
      <c r="D301" t="s">
        <v>135</v>
      </c>
      <c r="E301" t="s">
        <v>132</v>
      </c>
      <c r="F301">
        <v>1</v>
      </c>
      <c r="G301">
        <v>1</v>
      </c>
      <c r="H301" t="s">
        <v>125</v>
      </c>
      <c r="I301">
        <v>0</v>
      </c>
      <c r="J301">
        <v>1</v>
      </c>
      <c r="K301" t="s">
        <v>130</v>
      </c>
      <c r="L301" t="s">
        <v>163</v>
      </c>
      <c r="M301">
        <v>5</v>
      </c>
      <c r="N301">
        <v>14</v>
      </c>
      <c r="O301">
        <v>2</v>
      </c>
      <c r="P301">
        <v>5</v>
      </c>
      <c r="Q301">
        <v>17</v>
      </c>
      <c r="R301">
        <v>13</v>
      </c>
      <c r="S301">
        <v>3</v>
      </c>
      <c r="T301">
        <v>8</v>
      </c>
      <c r="U301">
        <v>3</v>
      </c>
      <c r="V301">
        <v>1</v>
      </c>
      <c r="W301">
        <v>0</v>
      </c>
      <c r="X301">
        <v>0</v>
      </c>
      <c r="Y301">
        <v>5.25</v>
      </c>
      <c r="Z301">
        <v>3.25</v>
      </c>
      <c r="AA301">
        <v>1.75</v>
      </c>
      <c r="AE301">
        <v>5.5</v>
      </c>
      <c r="AF301">
        <v>3.4</v>
      </c>
      <c r="AG301">
        <v>1.75</v>
      </c>
      <c r="AH301">
        <v>5.3</v>
      </c>
      <c r="AI301">
        <v>3.39</v>
      </c>
      <c r="AJ301">
        <v>1.81</v>
      </c>
      <c r="AN301">
        <v>5.14</v>
      </c>
      <c r="AO301">
        <v>3.57</v>
      </c>
      <c r="AP301">
        <v>1.81</v>
      </c>
      <c r="AQ301">
        <v>5.6</v>
      </c>
      <c r="AR301">
        <v>3.6</v>
      </c>
      <c r="AS301">
        <v>1.81</v>
      </c>
      <c r="AT301">
        <v>5.15</v>
      </c>
      <c r="AU301">
        <v>3.44</v>
      </c>
      <c r="AV301">
        <v>1.78</v>
      </c>
      <c r="AW301">
        <v>5.8</v>
      </c>
      <c r="AX301">
        <v>3.5</v>
      </c>
      <c r="AY301">
        <v>1.84</v>
      </c>
      <c r="AZ301">
        <v>2.38</v>
      </c>
      <c r="BA301">
        <v>1.57</v>
      </c>
      <c r="BB301">
        <v>2.44</v>
      </c>
      <c r="BC301">
        <v>1.6</v>
      </c>
      <c r="BD301">
        <v>2.44</v>
      </c>
      <c r="BE301">
        <v>1.66</v>
      </c>
      <c r="BF301">
        <v>2.36</v>
      </c>
      <c r="BG301">
        <v>1.59</v>
      </c>
      <c r="BH301">
        <v>2.44</v>
      </c>
      <c r="BI301">
        <v>1.68</v>
      </c>
      <c r="BJ301">
        <v>0.75</v>
      </c>
      <c r="BK301">
        <v>1.83</v>
      </c>
      <c r="BL301">
        <v>2.0699999999999998</v>
      </c>
      <c r="BM301">
        <v>1.83</v>
      </c>
      <c r="BN301">
        <v>2.09</v>
      </c>
      <c r="BO301">
        <v>1.84</v>
      </c>
      <c r="BP301">
        <v>2.09</v>
      </c>
      <c r="BQ301">
        <v>1.8</v>
      </c>
      <c r="BR301">
        <v>2.04</v>
      </c>
      <c r="BS301">
        <v>1.89</v>
      </c>
      <c r="BT301">
        <v>2.11</v>
      </c>
      <c r="BU301">
        <v>3.9</v>
      </c>
      <c r="BV301">
        <v>3.2</v>
      </c>
      <c r="BW301">
        <v>2.1</v>
      </c>
      <c r="CA301">
        <v>4.2</v>
      </c>
      <c r="CB301">
        <v>3.1</v>
      </c>
      <c r="CC301">
        <v>2.0499999999999998</v>
      </c>
      <c r="CD301">
        <v>4.1900000000000004</v>
      </c>
      <c r="CE301">
        <v>3.19</v>
      </c>
      <c r="CF301">
        <v>2.1</v>
      </c>
      <c r="CJ301">
        <v>4.21</v>
      </c>
      <c r="CK301">
        <v>3.25</v>
      </c>
      <c r="CL301">
        <v>2.06</v>
      </c>
      <c r="CM301">
        <v>4.4000000000000004</v>
      </c>
      <c r="CN301">
        <v>3.32</v>
      </c>
      <c r="CO301">
        <v>2.15</v>
      </c>
      <c r="CP301">
        <v>4.0999999999999996</v>
      </c>
      <c r="CQ301">
        <v>3.17</v>
      </c>
      <c r="CR301">
        <v>2.0699999999999998</v>
      </c>
      <c r="CS301">
        <v>4.2</v>
      </c>
      <c r="CT301">
        <v>3.25</v>
      </c>
      <c r="CU301">
        <v>2.16</v>
      </c>
      <c r="CV301">
        <v>2.38</v>
      </c>
      <c r="CW301">
        <v>1.57</v>
      </c>
      <c r="CX301">
        <v>2.4900000000000002</v>
      </c>
      <c r="CY301">
        <v>1.58</v>
      </c>
      <c r="CZ301">
        <v>2.6</v>
      </c>
      <c r="DA301">
        <v>1.63</v>
      </c>
      <c r="DB301">
        <v>2.44</v>
      </c>
      <c r="DC301">
        <v>1.56</v>
      </c>
      <c r="DD301">
        <v>2.62</v>
      </c>
      <c r="DE301">
        <v>1.61</v>
      </c>
      <c r="DF301">
        <v>0.5</v>
      </c>
      <c r="DG301">
        <v>1.75</v>
      </c>
      <c r="DH301">
        <v>2.0499999999999998</v>
      </c>
      <c r="DI301">
        <v>1.83</v>
      </c>
      <c r="DJ301">
        <v>2.11</v>
      </c>
      <c r="DK301">
        <v>1.86</v>
      </c>
      <c r="DL301">
        <v>2.11</v>
      </c>
      <c r="DM301">
        <v>1.79</v>
      </c>
      <c r="DN301">
        <v>2.0699999999999998</v>
      </c>
      <c r="DO301">
        <v>1.84</v>
      </c>
      <c r="DP301">
        <v>2.17</v>
      </c>
    </row>
    <row r="302" spans="1:120" x14ac:dyDescent="0.3">
      <c r="A302" t="s">
        <v>120</v>
      </c>
      <c r="B302" s="2">
        <v>45781</v>
      </c>
      <c r="C302" s="1">
        <v>0.625</v>
      </c>
      <c r="D302" t="s">
        <v>149</v>
      </c>
      <c r="E302" t="s">
        <v>136</v>
      </c>
      <c r="F302">
        <v>2</v>
      </c>
      <c r="G302">
        <v>1</v>
      </c>
      <c r="H302" t="s">
        <v>124</v>
      </c>
      <c r="I302">
        <v>1</v>
      </c>
      <c r="J302">
        <v>1</v>
      </c>
      <c r="K302" t="s">
        <v>125</v>
      </c>
      <c r="L302" t="s">
        <v>153</v>
      </c>
      <c r="M302">
        <v>8</v>
      </c>
      <c r="N302">
        <v>11</v>
      </c>
      <c r="O302">
        <v>3</v>
      </c>
      <c r="P302">
        <v>5</v>
      </c>
      <c r="Q302">
        <v>12</v>
      </c>
      <c r="R302">
        <v>13</v>
      </c>
      <c r="S302">
        <v>2</v>
      </c>
      <c r="T302">
        <v>4</v>
      </c>
      <c r="U302">
        <v>0</v>
      </c>
      <c r="V302">
        <v>1</v>
      </c>
      <c r="W302">
        <v>2</v>
      </c>
      <c r="X302">
        <v>1</v>
      </c>
      <c r="Y302">
        <v>2.35</v>
      </c>
      <c r="Z302">
        <v>3.6</v>
      </c>
      <c r="AA302">
        <v>2.8</v>
      </c>
      <c r="AE302">
        <v>2.4</v>
      </c>
      <c r="AF302">
        <v>3.4</v>
      </c>
      <c r="AG302">
        <v>2.9</v>
      </c>
      <c r="AH302">
        <v>2.5</v>
      </c>
      <c r="AI302">
        <v>3.46</v>
      </c>
      <c r="AJ302">
        <v>2.9</v>
      </c>
      <c r="AN302">
        <v>2.46</v>
      </c>
      <c r="AO302">
        <v>3.55</v>
      </c>
      <c r="AP302">
        <v>2.97</v>
      </c>
      <c r="AQ302">
        <v>2.5</v>
      </c>
      <c r="AR302">
        <v>3.6</v>
      </c>
      <c r="AS302">
        <v>2.97</v>
      </c>
      <c r="AT302">
        <v>2.4300000000000002</v>
      </c>
      <c r="AU302">
        <v>3.46</v>
      </c>
      <c r="AV302">
        <v>2.87</v>
      </c>
      <c r="AW302">
        <v>2.5</v>
      </c>
      <c r="AX302">
        <v>3.6</v>
      </c>
      <c r="AY302">
        <v>3.05</v>
      </c>
      <c r="AZ302">
        <v>1.8</v>
      </c>
      <c r="BA302">
        <v>2</v>
      </c>
      <c r="BB302">
        <v>1.82</v>
      </c>
      <c r="BC302">
        <v>2.06</v>
      </c>
      <c r="BD302">
        <v>1.84</v>
      </c>
      <c r="BE302">
        <v>2.1</v>
      </c>
      <c r="BF302">
        <v>1.78</v>
      </c>
      <c r="BG302">
        <v>2.04</v>
      </c>
      <c r="BH302">
        <v>1.83</v>
      </c>
      <c r="BI302">
        <v>2.1800000000000002</v>
      </c>
      <c r="BJ302">
        <v>-0.25</v>
      </c>
      <c r="BK302">
        <v>2.09</v>
      </c>
      <c r="BL302">
        <v>1.81</v>
      </c>
      <c r="BM302">
        <v>2.16</v>
      </c>
      <c r="BN302">
        <v>1.77</v>
      </c>
      <c r="BO302">
        <v>2.16</v>
      </c>
      <c r="BP302">
        <v>1.81</v>
      </c>
      <c r="BQ302">
        <v>2.08</v>
      </c>
      <c r="BR302">
        <v>1.77</v>
      </c>
      <c r="BS302">
        <v>2.15</v>
      </c>
      <c r="BT302">
        <v>1.85</v>
      </c>
      <c r="BU302">
        <v>2.5</v>
      </c>
      <c r="BV302">
        <v>3.5</v>
      </c>
      <c r="BW302">
        <v>2.7</v>
      </c>
      <c r="CA302">
        <v>2.4500000000000002</v>
      </c>
      <c r="CB302">
        <v>3.25</v>
      </c>
      <c r="CC302">
        <v>2.8</v>
      </c>
      <c r="CD302">
        <v>2.58</v>
      </c>
      <c r="CE302">
        <v>3.4</v>
      </c>
      <c r="CF302">
        <v>2.89</v>
      </c>
      <c r="CJ302">
        <v>2.56</v>
      </c>
      <c r="CK302">
        <v>3.58</v>
      </c>
      <c r="CL302">
        <v>2.77</v>
      </c>
      <c r="CM302">
        <v>2.58</v>
      </c>
      <c r="CN302">
        <v>3.58</v>
      </c>
      <c r="CO302">
        <v>2.9</v>
      </c>
      <c r="CP302">
        <v>2.5299999999999998</v>
      </c>
      <c r="CQ302">
        <v>3.39</v>
      </c>
      <c r="CR302">
        <v>2.81</v>
      </c>
      <c r="CS302">
        <v>2.64</v>
      </c>
      <c r="CT302">
        <v>3.5</v>
      </c>
      <c r="CU302">
        <v>2.96</v>
      </c>
      <c r="CV302">
        <v>1.9</v>
      </c>
      <c r="CW302">
        <v>2</v>
      </c>
      <c r="CX302">
        <v>1.89</v>
      </c>
      <c r="CY302">
        <v>2.02</v>
      </c>
      <c r="CZ302">
        <v>1.92</v>
      </c>
      <c r="DA302">
        <v>2.04</v>
      </c>
      <c r="DB302">
        <v>1.85</v>
      </c>
      <c r="DC302">
        <v>1.98</v>
      </c>
      <c r="DD302">
        <v>1.93</v>
      </c>
      <c r="DE302">
        <v>2.06</v>
      </c>
      <c r="DF302">
        <v>0</v>
      </c>
      <c r="DG302">
        <v>1.84</v>
      </c>
      <c r="DH302">
        <v>2.09</v>
      </c>
      <c r="DI302">
        <v>1.85</v>
      </c>
      <c r="DJ302">
        <v>2.08</v>
      </c>
      <c r="DK302">
        <v>1.85</v>
      </c>
      <c r="DL302">
        <v>2.09</v>
      </c>
      <c r="DM302">
        <v>1.83</v>
      </c>
      <c r="DN302">
        <v>2.0499999999999998</v>
      </c>
      <c r="DO302">
        <v>1.9</v>
      </c>
      <c r="DP302">
        <v>2.1</v>
      </c>
    </row>
    <row r="303" spans="1:120" x14ac:dyDescent="0.3">
      <c r="A303" t="s">
        <v>120</v>
      </c>
      <c r="B303" s="2">
        <v>45781</v>
      </c>
      <c r="C303" s="1">
        <v>0.625</v>
      </c>
      <c r="D303" t="s">
        <v>128</v>
      </c>
      <c r="E303" t="s">
        <v>133</v>
      </c>
      <c r="F303">
        <v>1</v>
      </c>
      <c r="G303">
        <v>2</v>
      </c>
      <c r="H303" t="s">
        <v>130</v>
      </c>
      <c r="I303">
        <v>1</v>
      </c>
      <c r="J303">
        <v>0</v>
      </c>
      <c r="K303" t="s">
        <v>124</v>
      </c>
      <c r="L303" t="s">
        <v>171</v>
      </c>
      <c r="M303">
        <v>6</v>
      </c>
      <c r="N303">
        <v>22</v>
      </c>
      <c r="O303">
        <v>2</v>
      </c>
      <c r="P303">
        <v>7</v>
      </c>
      <c r="Q303">
        <v>12</v>
      </c>
      <c r="R303">
        <v>16</v>
      </c>
      <c r="S303">
        <v>4</v>
      </c>
      <c r="T303">
        <v>8</v>
      </c>
      <c r="U303">
        <v>2</v>
      </c>
      <c r="V303">
        <v>2</v>
      </c>
      <c r="W303">
        <v>0</v>
      </c>
      <c r="X303">
        <v>0</v>
      </c>
      <c r="Y303">
        <v>2.7</v>
      </c>
      <c r="Z303">
        <v>3.25</v>
      </c>
      <c r="AA303">
        <v>2.63</v>
      </c>
      <c r="AE303">
        <v>2.75</v>
      </c>
      <c r="AF303">
        <v>3.3</v>
      </c>
      <c r="AG303">
        <v>2.63</v>
      </c>
      <c r="AH303">
        <v>2.78</v>
      </c>
      <c r="AI303">
        <v>3.3</v>
      </c>
      <c r="AJ303">
        <v>2.71</v>
      </c>
      <c r="AN303">
        <v>2.78</v>
      </c>
      <c r="AO303">
        <v>3.45</v>
      </c>
      <c r="AP303">
        <v>2.66</v>
      </c>
      <c r="AQ303">
        <v>2.8</v>
      </c>
      <c r="AR303">
        <v>3.45</v>
      </c>
      <c r="AS303">
        <v>2.72</v>
      </c>
      <c r="AT303">
        <v>2.74</v>
      </c>
      <c r="AU303">
        <v>3.28</v>
      </c>
      <c r="AV303">
        <v>2.65</v>
      </c>
      <c r="AW303">
        <v>2.84</v>
      </c>
      <c r="AX303">
        <v>3.4</v>
      </c>
      <c r="AY303">
        <v>2.76</v>
      </c>
      <c r="AZ303">
        <v>2.1</v>
      </c>
      <c r="BA303">
        <v>1.73</v>
      </c>
      <c r="BB303">
        <v>2.12</v>
      </c>
      <c r="BC303">
        <v>1.78</v>
      </c>
      <c r="BD303">
        <v>2.13</v>
      </c>
      <c r="BE303">
        <v>1.8</v>
      </c>
      <c r="BF303">
        <v>2.0699999999999998</v>
      </c>
      <c r="BG303">
        <v>1.75</v>
      </c>
      <c r="BH303">
        <v>2.2000000000000002</v>
      </c>
      <c r="BI303">
        <v>1.81</v>
      </c>
      <c r="BJ303">
        <v>0</v>
      </c>
      <c r="BK303">
        <v>2</v>
      </c>
      <c r="BL303">
        <v>1.9</v>
      </c>
      <c r="BM303">
        <v>2.02</v>
      </c>
      <c r="BN303">
        <v>1.88</v>
      </c>
      <c r="BO303">
        <v>2.02</v>
      </c>
      <c r="BP303">
        <v>1.92</v>
      </c>
      <c r="BQ303">
        <v>1.98</v>
      </c>
      <c r="BR303">
        <v>1.88</v>
      </c>
      <c r="BS303">
        <v>2.02</v>
      </c>
      <c r="BT303">
        <v>1.96</v>
      </c>
      <c r="BU303">
        <v>2.75</v>
      </c>
      <c r="BV303">
        <v>3.2</v>
      </c>
      <c r="BW303">
        <v>2.63</v>
      </c>
      <c r="CA303">
        <v>2.8</v>
      </c>
      <c r="CB303">
        <v>3.1</v>
      </c>
      <c r="CC303">
        <v>2.6</v>
      </c>
      <c r="CD303">
        <v>2.85</v>
      </c>
      <c r="CE303">
        <v>3.27</v>
      </c>
      <c r="CF303">
        <v>2.7</v>
      </c>
      <c r="CJ303">
        <v>2.94</v>
      </c>
      <c r="CK303">
        <v>3.28</v>
      </c>
      <c r="CL303">
        <v>2.59</v>
      </c>
      <c r="CM303">
        <v>2.94</v>
      </c>
      <c r="CN303">
        <v>3.28</v>
      </c>
      <c r="CO303">
        <v>2.7</v>
      </c>
      <c r="CP303">
        <v>2.84</v>
      </c>
      <c r="CQ303">
        <v>3.2</v>
      </c>
      <c r="CR303">
        <v>2.63</v>
      </c>
      <c r="CS303">
        <v>2.94</v>
      </c>
      <c r="CT303">
        <v>3.35</v>
      </c>
      <c r="CU303">
        <v>2.74</v>
      </c>
      <c r="CV303">
        <v>2.2000000000000002</v>
      </c>
      <c r="CW303">
        <v>1.67</v>
      </c>
      <c r="CX303">
        <v>2.31</v>
      </c>
      <c r="CY303">
        <v>1.68</v>
      </c>
      <c r="CZ303">
        <v>2.33</v>
      </c>
      <c r="DA303">
        <v>1.68</v>
      </c>
      <c r="DB303">
        <v>2.25</v>
      </c>
      <c r="DC303">
        <v>1.65</v>
      </c>
      <c r="DD303">
        <v>2.36</v>
      </c>
      <c r="DE303">
        <v>1.72</v>
      </c>
      <c r="DF303">
        <v>0</v>
      </c>
      <c r="DG303">
        <v>2.0299999999999998</v>
      </c>
      <c r="DH303">
        <v>1.9</v>
      </c>
      <c r="DI303">
        <v>2.02</v>
      </c>
      <c r="DJ303">
        <v>1.91</v>
      </c>
      <c r="DK303">
        <v>2.06</v>
      </c>
      <c r="DL303">
        <v>1.91</v>
      </c>
      <c r="DM303">
        <v>2.0099999999999998</v>
      </c>
      <c r="DN303">
        <v>1.87</v>
      </c>
      <c r="DO303">
        <v>2.0699999999999998</v>
      </c>
      <c r="DP303">
        <v>1.92</v>
      </c>
    </row>
    <row r="304" spans="1:120" x14ac:dyDescent="0.3">
      <c r="A304" t="s">
        <v>120</v>
      </c>
      <c r="B304" s="2">
        <v>45781</v>
      </c>
      <c r="C304" s="1">
        <v>0.625</v>
      </c>
      <c r="D304" t="s">
        <v>144</v>
      </c>
      <c r="E304" t="s">
        <v>142</v>
      </c>
      <c r="F304">
        <v>2</v>
      </c>
      <c r="G304">
        <v>2</v>
      </c>
      <c r="H304" t="s">
        <v>125</v>
      </c>
      <c r="I304">
        <v>0</v>
      </c>
      <c r="J304">
        <v>1</v>
      </c>
      <c r="K304" t="s">
        <v>130</v>
      </c>
      <c r="L304" t="s">
        <v>131</v>
      </c>
      <c r="M304">
        <v>9</v>
      </c>
      <c r="N304">
        <v>11</v>
      </c>
      <c r="O304">
        <v>3</v>
      </c>
      <c r="P304">
        <v>4</v>
      </c>
      <c r="Q304">
        <v>13</v>
      </c>
      <c r="R304">
        <v>13</v>
      </c>
      <c r="S304">
        <v>4</v>
      </c>
      <c r="T304">
        <v>7</v>
      </c>
      <c r="U304">
        <v>2</v>
      </c>
      <c r="V304">
        <v>2</v>
      </c>
      <c r="W304">
        <v>0</v>
      </c>
      <c r="X304">
        <v>0</v>
      </c>
      <c r="Y304">
        <v>3</v>
      </c>
      <c r="Z304">
        <v>3.5</v>
      </c>
      <c r="AA304">
        <v>2.2999999999999998</v>
      </c>
      <c r="AE304">
        <v>3.1</v>
      </c>
      <c r="AF304">
        <v>3.4</v>
      </c>
      <c r="AG304">
        <v>2.2999999999999998</v>
      </c>
      <c r="AH304">
        <v>3.03</v>
      </c>
      <c r="AI304">
        <v>3.53</v>
      </c>
      <c r="AJ304">
        <v>2.38</v>
      </c>
      <c r="AN304">
        <v>3.1</v>
      </c>
      <c r="AO304">
        <v>3.49</v>
      </c>
      <c r="AP304">
        <v>2.41</v>
      </c>
      <c r="AQ304">
        <v>3.2</v>
      </c>
      <c r="AR304">
        <v>3.53</v>
      </c>
      <c r="AS304">
        <v>2.41</v>
      </c>
      <c r="AT304">
        <v>3.04</v>
      </c>
      <c r="AU304">
        <v>3.47</v>
      </c>
      <c r="AV304">
        <v>2.34</v>
      </c>
      <c r="AW304">
        <v>3.1</v>
      </c>
      <c r="AX304">
        <v>3.6</v>
      </c>
      <c r="AY304">
        <v>2.48</v>
      </c>
      <c r="AZ304">
        <v>1.8</v>
      </c>
      <c r="BA304">
        <v>2</v>
      </c>
      <c r="BB304">
        <v>1.83</v>
      </c>
      <c r="BC304">
        <v>2.06</v>
      </c>
      <c r="BD304">
        <v>1.84</v>
      </c>
      <c r="BE304">
        <v>2.0699999999999998</v>
      </c>
      <c r="BF304">
        <v>1.8</v>
      </c>
      <c r="BG304">
        <v>2.02</v>
      </c>
      <c r="BH304">
        <v>1.86</v>
      </c>
      <c r="BI304">
        <v>2.12</v>
      </c>
      <c r="BJ304">
        <v>0.25</v>
      </c>
      <c r="BK304">
        <v>1.85</v>
      </c>
      <c r="BL304">
        <v>2.0499999999999998</v>
      </c>
      <c r="BM304">
        <v>1.85</v>
      </c>
      <c r="BN304">
        <v>2.0699999999999998</v>
      </c>
      <c r="BO304">
        <v>1.86</v>
      </c>
      <c r="BP304">
        <v>2.0699999999999998</v>
      </c>
      <c r="BQ304">
        <v>1.83</v>
      </c>
      <c r="BR304">
        <v>1.97</v>
      </c>
      <c r="BS304">
        <v>1.86</v>
      </c>
      <c r="BT304">
        <v>2.13</v>
      </c>
      <c r="BU304">
        <v>2.9</v>
      </c>
      <c r="BV304">
        <v>3.5</v>
      </c>
      <c r="BW304">
        <v>2.38</v>
      </c>
      <c r="CA304">
        <v>3</v>
      </c>
      <c r="CB304">
        <v>3.4</v>
      </c>
      <c r="CC304">
        <v>2.2999999999999998</v>
      </c>
      <c r="CD304">
        <v>3.04</v>
      </c>
      <c r="CE304">
        <v>3.55</v>
      </c>
      <c r="CF304">
        <v>2.4</v>
      </c>
      <c r="CJ304">
        <v>2.96</v>
      </c>
      <c r="CK304">
        <v>3.57</v>
      </c>
      <c r="CL304">
        <v>2.4300000000000002</v>
      </c>
      <c r="CM304">
        <v>3.1</v>
      </c>
      <c r="CN304">
        <v>3.57</v>
      </c>
      <c r="CO304">
        <v>2.4300000000000002</v>
      </c>
      <c r="CP304">
        <v>2.98</v>
      </c>
      <c r="CQ304">
        <v>3.49</v>
      </c>
      <c r="CR304">
        <v>2.38</v>
      </c>
      <c r="CS304">
        <v>3.1</v>
      </c>
      <c r="CT304">
        <v>3.6</v>
      </c>
      <c r="CU304">
        <v>2.46</v>
      </c>
      <c r="CV304">
        <v>1.85</v>
      </c>
      <c r="CW304">
        <v>2.0499999999999998</v>
      </c>
      <c r="CX304">
        <v>1.87</v>
      </c>
      <c r="CY304">
        <v>2.04</v>
      </c>
      <c r="CZ304">
        <v>1.87</v>
      </c>
      <c r="DA304">
        <v>2.1</v>
      </c>
      <c r="DB304">
        <v>1.82</v>
      </c>
      <c r="DC304">
        <v>2.02</v>
      </c>
      <c r="DD304">
        <v>1.88</v>
      </c>
      <c r="DE304">
        <v>2.12</v>
      </c>
      <c r="DF304">
        <v>0.25</v>
      </c>
      <c r="DG304">
        <v>1.85</v>
      </c>
      <c r="DH304">
        <v>2.08</v>
      </c>
      <c r="DI304">
        <v>1.85</v>
      </c>
      <c r="DJ304">
        <v>2.08</v>
      </c>
      <c r="DK304">
        <v>1.86</v>
      </c>
      <c r="DL304">
        <v>2.08</v>
      </c>
      <c r="DM304">
        <v>1.82</v>
      </c>
      <c r="DN304">
        <v>2.0099999999999998</v>
      </c>
      <c r="DO304">
        <v>1.87</v>
      </c>
      <c r="DP304">
        <v>2.12</v>
      </c>
    </row>
    <row r="305" spans="1:120" x14ac:dyDescent="0.3">
      <c r="A305" t="s">
        <v>120</v>
      </c>
      <c r="B305" s="2">
        <v>45781</v>
      </c>
      <c r="C305" s="1">
        <v>0.72916666666666663</v>
      </c>
      <c r="D305" t="s">
        <v>145</v>
      </c>
      <c r="E305" t="s">
        <v>141</v>
      </c>
      <c r="F305">
        <v>2</v>
      </c>
      <c r="G305">
        <v>1</v>
      </c>
      <c r="H305" t="s">
        <v>124</v>
      </c>
      <c r="I305">
        <v>2</v>
      </c>
      <c r="J305">
        <v>0</v>
      </c>
      <c r="K305" t="s">
        <v>124</v>
      </c>
      <c r="L305" t="s">
        <v>137</v>
      </c>
      <c r="M305">
        <v>17</v>
      </c>
      <c r="N305">
        <v>19</v>
      </c>
      <c r="O305">
        <v>8</v>
      </c>
      <c r="P305">
        <v>3</v>
      </c>
      <c r="Q305">
        <v>7</v>
      </c>
      <c r="R305">
        <v>15</v>
      </c>
      <c r="S305">
        <v>4</v>
      </c>
      <c r="T305">
        <v>4</v>
      </c>
      <c r="U305">
        <v>2</v>
      </c>
      <c r="V305">
        <v>2</v>
      </c>
      <c r="W305">
        <v>0</v>
      </c>
      <c r="X305">
        <v>0</v>
      </c>
      <c r="Y305">
        <v>1.95</v>
      </c>
      <c r="Z305">
        <v>3.6</v>
      </c>
      <c r="AA305">
        <v>3.7</v>
      </c>
      <c r="AE305">
        <v>2</v>
      </c>
      <c r="AF305">
        <v>3.6</v>
      </c>
      <c r="AG305">
        <v>3.7</v>
      </c>
      <c r="AH305">
        <v>2</v>
      </c>
      <c r="AI305">
        <v>3.69</v>
      </c>
      <c r="AJ305">
        <v>3.8</v>
      </c>
      <c r="AN305">
        <v>2.0299999999999998</v>
      </c>
      <c r="AO305">
        <v>3.73</v>
      </c>
      <c r="AP305">
        <v>3.77</v>
      </c>
      <c r="AQ305">
        <v>2.0499999999999998</v>
      </c>
      <c r="AR305">
        <v>3.75</v>
      </c>
      <c r="AS305">
        <v>3.9</v>
      </c>
      <c r="AT305">
        <v>1.99</v>
      </c>
      <c r="AU305">
        <v>3.63</v>
      </c>
      <c r="AV305">
        <v>3.72</v>
      </c>
      <c r="AW305">
        <v>2.04</v>
      </c>
      <c r="AX305">
        <v>3.75</v>
      </c>
      <c r="AY305">
        <v>3.95</v>
      </c>
      <c r="AZ305">
        <v>1.8</v>
      </c>
      <c r="BA305">
        <v>2</v>
      </c>
      <c r="BB305">
        <v>1.8</v>
      </c>
      <c r="BC305">
        <v>2.09</v>
      </c>
      <c r="BD305">
        <v>1.82</v>
      </c>
      <c r="BE305">
        <v>2.13</v>
      </c>
      <c r="BF305">
        <v>1.78</v>
      </c>
      <c r="BG305">
        <v>2.0499999999999998</v>
      </c>
      <c r="BH305">
        <v>1.89</v>
      </c>
      <c r="BI305">
        <v>2.1</v>
      </c>
      <c r="BJ305">
        <v>-0.5</v>
      </c>
      <c r="BK305">
        <v>2.02</v>
      </c>
      <c r="BL305">
        <v>1.88</v>
      </c>
      <c r="BM305">
        <v>2.0099999999999998</v>
      </c>
      <c r="BN305">
        <v>1.9</v>
      </c>
      <c r="BO305">
        <v>2.0299999999999998</v>
      </c>
      <c r="BP305">
        <v>1.9</v>
      </c>
      <c r="BQ305">
        <v>1.98</v>
      </c>
      <c r="BR305">
        <v>1.86</v>
      </c>
      <c r="BS305">
        <v>2.0499999999999998</v>
      </c>
      <c r="BT305">
        <v>1.94</v>
      </c>
      <c r="BU305">
        <v>2.1</v>
      </c>
      <c r="BV305">
        <v>3.3</v>
      </c>
      <c r="BW305">
        <v>3.4</v>
      </c>
      <c r="CA305">
        <v>2.15</v>
      </c>
      <c r="CB305">
        <v>3.4</v>
      </c>
      <c r="CC305">
        <v>3.5</v>
      </c>
      <c r="CD305">
        <v>2.15</v>
      </c>
      <c r="CE305">
        <v>3.45</v>
      </c>
      <c r="CF305">
        <v>3.66</v>
      </c>
      <c r="CJ305">
        <v>2.12</v>
      </c>
      <c r="CK305">
        <v>3.44</v>
      </c>
      <c r="CL305">
        <v>3.73</v>
      </c>
      <c r="CM305">
        <v>2.23</v>
      </c>
      <c r="CN305">
        <v>3.5</v>
      </c>
      <c r="CO305">
        <v>3.73</v>
      </c>
      <c r="CP305">
        <v>2.14</v>
      </c>
      <c r="CQ305">
        <v>3.39</v>
      </c>
      <c r="CR305">
        <v>3.57</v>
      </c>
      <c r="CS305">
        <v>2.1800000000000002</v>
      </c>
      <c r="CT305">
        <v>3.5</v>
      </c>
      <c r="CU305">
        <v>3.8</v>
      </c>
      <c r="CV305">
        <v>1.95</v>
      </c>
      <c r="CW305">
        <v>1.95</v>
      </c>
      <c r="CX305">
        <v>1.99</v>
      </c>
      <c r="CY305">
        <v>1.92</v>
      </c>
      <c r="CZ305">
        <v>1.99</v>
      </c>
      <c r="DA305">
        <v>2.0099999999999998</v>
      </c>
      <c r="DB305">
        <v>1.93</v>
      </c>
      <c r="DC305">
        <v>1.9</v>
      </c>
      <c r="DD305">
        <v>2</v>
      </c>
      <c r="DE305">
        <v>1.98</v>
      </c>
      <c r="DF305">
        <v>-0.25</v>
      </c>
      <c r="DG305">
        <v>1.86</v>
      </c>
      <c r="DH305">
        <v>2.0699999999999998</v>
      </c>
      <c r="DI305">
        <v>1.85</v>
      </c>
      <c r="DJ305">
        <v>2.08</v>
      </c>
      <c r="DK305">
        <v>1.87</v>
      </c>
      <c r="DL305">
        <v>2.12</v>
      </c>
      <c r="DM305">
        <v>1.83</v>
      </c>
      <c r="DN305">
        <v>2.0499999999999998</v>
      </c>
      <c r="DO305">
        <v>1.88</v>
      </c>
      <c r="DP305">
        <v>2.12</v>
      </c>
    </row>
    <row r="306" spans="1:120" x14ac:dyDescent="0.3">
      <c r="A306" t="s">
        <v>120</v>
      </c>
      <c r="B306" s="2">
        <v>45812</v>
      </c>
      <c r="C306" s="1">
        <v>0.58333333333333337</v>
      </c>
      <c r="D306" t="s">
        <v>148</v>
      </c>
      <c r="E306" t="s">
        <v>151</v>
      </c>
      <c r="F306">
        <v>0</v>
      </c>
      <c r="G306">
        <v>0</v>
      </c>
      <c r="H306" t="s">
        <v>125</v>
      </c>
      <c r="I306">
        <v>0</v>
      </c>
      <c r="J306">
        <v>0</v>
      </c>
      <c r="K306" t="s">
        <v>125</v>
      </c>
      <c r="L306" t="s">
        <v>143</v>
      </c>
      <c r="M306">
        <v>9</v>
      </c>
      <c r="N306">
        <v>21</v>
      </c>
      <c r="O306">
        <v>2</v>
      </c>
      <c r="P306">
        <v>5</v>
      </c>
      <c r="Q306">
        <v>12</v>
      </c>
      <c r="R306">
        <v>12</v>
      </c>
      <c r="S306">
        <v>3</v>
      </c>
      <c r="T306">
        <v>6</v>
      </c>
      <c r="U306">
        <v>1</v>
      </c>
      <c r="V306">
        <v>3</v>
      </c>
      <c r="W306">
        <v>0</v>
      </c>
      <c r="X306">
        <v>0</v>
      </c>
      <c r="Y306">
        <v>3.2</v>
      </c>
      <c r="Z306">
        <v>3.6</v>
      </c>
      <c r="AA306">
        <v>2.15</v>
      </c>
      <c r="AE306">
        <v>3.25</v>
      </c>
      <c r="AF306">
        <v>3.7</v>
      </c>
      <c r="AG306">
        <v>2.15</v>
      </c>
      <c r="AH306">
        <v>3.26</v>
      </c>
      <c r="AI306">
        <v>3.8</v>
      </c>
      <c r="AJ306">
        <v>2.16</v>
      </c>
      <c r="AN306">
        <v>3.3</v>
      </c>
      <c r="AO306">
        <v>3.81</v>
      </c>
      <c r="AP306">
        <v>2.17</v>
      </c>
      <c r="AQ306">
        <v>3.4</v>
      </c>
      <c r="AR306">
        <v>3.85</v>
      </c>
      <c r="AS306">
        <v>2.2000000000000002</v>
      </c>
      <c r="AT306">
        <v>3.2</v>
      </c>
      <c r="AU306">
        <v>3.73</v>
      </c>
      <c r="AV306">
        <v>2.15</v>
      </c>
      <c r="AW306">
        <v>3.4</v>
      </c>
      <c r="AX306">
        <v>3.85</v>
      </c>
      <c r="AY306">
        <v>2.2000000000000002</v>
      </c>
      <c r="AZ306">
        <v>1.53</v>
      </c>
      <c r="BA306">
        <v>2.5</v>
      </c>
      <c r="BB306">
        <v>1.57</v>
      </c>
      <c r="BC306">
        <v>2.5099999999999998</v>
      </c>
      <c r="BD306">
        <v>1.57</v>
      </c>
      <c r="BE306">
        <v>2.5499999999999998</v>
      </c>
      <c r="BF306">
        <v>1.53</v>
      </c>
      <c r="BG306">
        <v>2.46</v>
      </c>
      <c r="BH306">
        <v>1.59</v>
      </c>
      <c r="BI306">
        <v>2.5</v>
      </c>
      <c r="BJ306">
        <v>0.25</v>
      </c>
      <c r="BK306">
        <v>2</v>
      </c>
      <c r="BL306">
        <v>1.9</v>
      </c>
      <c r="BM306">
        <v>2.02</v>
      </c>
      <c r="BN306">
        <v>1.89</v>
      </c>
      <c r="BO306">
        <v>2.02</v>
      </c>
      <c r="BP306">
        <v>1.9</v>
      </c>
      <c r="BQ306">
        <v>1.97</v>
      </c>
      <c r="BR306">
        <v>1.83</v>
      </c>
      <c r="BS306">
        <v>2.06</v>
      </c>
      <c r="BT306">
        <v>1.92</v>
      </c>
      <c r="BU306">
        <v>2.9</v>
      </c>
      <c r="BV306">
        <v>3.5</v>
      </c>
      <c r="BW306">
        <v>2.35</v>
      </c>
      <c r="CA306">
        <v>2.9</v>
      </c>
      <c r="CB306">
        <v>3.5</v>
      </c>
      <c r="CC306">
        <v>2.4</v>
      </c>
      <c r="CD306">
        <v>2.94</v>
      </c>
      <c r="CE306">
        <v>3.65</v>
      </c>
      <c r="CF306">
        <v>2.42</v>
      </c>
      <c r="CJ306">
        <v>2.98</v>
      </c>
      <c r="CK306">
        <v>3.57</v>
      </c>
      <c r="CL306">
        <v>2.42</v>
      </c>
      <c r="CM306">
        <v>3</v>
      </c>
      <c r="CN306">
        <v>3.7</v>
      </c>
      <c r="CO306">
        <v>2.46</v>
      </c>
      <c r="CP306">
        <v>2.89</v>
      </c>
      <c r="CQ306">
        <v>3.57</v>
      </c>
      <c r="CR306">
        <v>2.41</v>
      </c>
      <c r="CS306">
        <v>3</v>
      </c>
      <c r="CT306">
        <v>3.7</v>
      </c>
      <c r="CU306">
        <v>2.5</v>
      </c>
      <c r="CV306">
        <v>1.62</v>
      </c>
      <c r="CW306">
        <v>2.2999999999999998</v>
      </c>
      <c r="CX306">
        <v>1.67</v>
      </c>
      <c r="CY306">
        <v>2.2999999999999998</v>
      </c>
      <c r="CZ306">
        <v>1.7</v>
      </c>
      <c r="DA306">
        <v>2.54</v>
      </c>
      <c r="DB306">
        <v>1.63</v>
      </c>
      <c r="DC306">
        <v>2.2999999999999998</v>
      </c>
      <c r="DD306">
        <v>1.7</v>
      </c>
      <c r="DE306">
        <v>2.4</v>
      </c>
      <c r="DF306">
        <v>0.25</v>
      </c>
      <c r="DG306">
        <v>1.73</v>
      </c>
      <c r="DH306">
        <v>2.08</v>
      </c>
      <c r="DI306">
        <v>1.83</v>
      </c>
      <c r="DJ306">
        <v>2.11</v>
      </c>
      <c r="DK306">
        <v>1.83</v>
      </c>
      <c r="DL306">
        <v>2.14</v>
      </c>
      <c r="DM306">
        <v>1.79</v>
      </c>
      <c r="DN306">
        <v>2.0299999999999998</v>
      </c>
      <c r="DO306">
        <v>1.83</v>
      </c>
      <c r="DP306">
        <v>2.1800000000000002</v>
      </c>
    </row>
    <row r="307" spans="1:120" x14ac:dyDescent="0.3">
      <c r="A307" t="s">
        <v>120</v>
      </c>
      <c r="B307" s="2">
        <v>45812</v>
      </c>
      <c r="C307" s="1">
        <v>0.58333333333333337</v>
      </c>
      <c r="D307" t="s">
        <v>123</v>
      </c>
      <c r="E307" t="s">
        <v>129</v>
      </c>
      <c r="F307">
        <v>3</v>
      </c>
      <c r="G307">
        <v>2</v>
      </c>
      <c r="H307" t="s">
        <v>124</v>
      </c>
      <c r="I307">
        <v>3</v>
      </c>
      <c r="J307">
        <v>1</v>
      </c>
      <c r="K307" t="s">
        <v>124</v>
      </c>
      <c r="L307" t="s">
        <v>157</v>
      </c>
      <c r="M307">
        <v>12</v>
      </c>
      <c r="N307">
        <v>14</v>
      </c>
      <c r="O307">
        <v>6</v>
      </c>
      <c r="P307">
        <v>6</v>
      </c>
      <c r="Q307">
        <v>10</v>
      </c>
      <c r="R307">
        <v>9</v>
      </c>
      <c r="S307">
        <v>4</v>
      </c>
      <c r="T307">
        <v>4</v>
      </c>
      <c r="U307">
        <v>3</v>
      </c>
      <c r="V307">
        <v>0</v>
      </c>
      <c r="W307">
        <v>0</v>
      </c>
      <c r="X307">
        <v>0</v>
      </c>
      <c r="Y307">
        <v>4.5</v>
      </c>
      <c r="Z307">
        <v>3.5</v>
      </c>
      <c r="AA307">
        <v>1.83</v>
      </c>
      <c r="AE307">
        <v>4.33</v>
      </c>
      <c r="AF307">
        <v>3.7</v>
      </c>
      <c r="AG307">
        <v>1.85</v>
      </c>
      <c r="AH307">
        <v>4.2699999999999996</v>
      </c>
      <c r="AI307">
        <v>3.75</v>
      </c>
      <c r="AJ307">
        <v>1.87</v>
      </c>
      <c r="AN307">
        <v>4.3899999999999997</v>
      </c>
      <c r="AO307">
        <v>3.79</v>
      </c>
      <c r="AP307">
        <v>1.87</v>
      </c>
      <c r="AQ307">
        <v>4.5</v>
      </c>
      <c r="AR307">
        <v>3.8</v>
      </c>
      <c r="AS307">
        <v>1.9</v>
      </c>
      <c r="AT307">
        <v>4.24</v>
      </c>
      <c r="AU307">
        <v>3.7</v>
      </c>
      <c r="AV307">
        <v>1.86</v>
      </c>
      <c r="AW307">
        <v>4.5999999999999996</v>
      </c>
      <c r="AX307">
        <v>3.9</v>
      </c>
      <c r="AY307">
        <v>1.9</v>
      </c>
      <c r="AZ307">
        <v>1.8</v>
      </c>
      <c r="BA307">
        <v>2</v>
      </c>
      <c r="BB307">
        <v>1.84</v>
      </c>
      <c r="BC307">
        <v>2.06</v>
      </c>
      <c r="BD307">
        <v>1.85</v>
      </c>
      <c r="BE307">
        <v>2.06</v>
      </c>
      <c r="BF307">
        <v>1.8</v>
      </c>
      <c r="BG307">
        <v>2.02</v>
      </c>
      <c r="BH307">
        <v>1.84</v>
      </c>
      <c r="BI307">
        <v>2.14</v>
      </c>
      <c r="BJ307">
        <v>0.5</v>
      </c>
      <c r="BK307">
        <v>2.04</v>
      </c>
      <c r="BL307">
        <v>1.86</v>
      </c>
      <c r="BM307">
        <v>2.0299999999999998</v>
      </c>
      <c r="BN307">
        <v>1.88</v>
      </c>
      <c r="BO307">
        <v>2.04</v>
      </c>
      <c r="BP307">
        <v>1.88</v>
      </c>
      <c r="BQ307">
        <v>1.99</v>
      </c>
      <c r="BR307">
        <v>1.85</v>
      </c>
      <c r="BS307">
        <v>2.11</v>
      </c>
      <c r="BT307">
        <v>1.9</v>
      </c>
      <c r="BU307">
        <v>4.2</v>
      </c>
      <c r="BV307">
        <v>3.4</v>
      </c>
      <c r="BW307">
        <v>1.91</v>
      </c>
      <c r="CA307">
        <v>4.4000000000000004</v>
      </c>
      <c r="CB307">
        <v>3.5</v>
      </c>
      <c r="CC307">
        <v>1.87</v>
      </c>
      <c r="CD307">
        <v>4.29</v>
      </c>
      <c r="CE307">
        <v>3.55</v>
      </c>
      <c r="CF307">
        <v>1.94</v>
      </c>
      <c r="CJ307">
        <v>4.6500000000000004</v>
      </c>
      <c r="CK307">
        <v>3.47</v>
      </c>
      <c r="CL307">
        <v>1.9</v>
      </c>
      <c r="CM307">
        <v>4.6500000000000004</v>
      </c>
      <c r="CN307">
        <v>3.69</v>
      </c>
      <c r="CO307">
        <v>2</v>
      </c>
      <c r="CP307">
        <v>4.1900000000000004</v>
      </c>
      <c r="CQ307">
        <v>3.52</v>
      </c>
      <c r="CR307">
        <v>1.92</v>
      </c>
      <c r="CS307">
        <v>4.5</v>
      </c>
      <c r="CT307">
        <v>3.6</v>
      </c>
      <c r="CU307">
        <v>1.98</v>
      </c>
      <c r="CV307">
        <v>1.8</v>
      </c>
      <c r="CW307">
        <v>2</v>
      </c>
      <c r="CX307">
        <v>1.83</v>
      </c>
      <c r="CY307">
        <v>2.06</v>
      </c>
      <c r="CZ307">
        <v>1.87</v>
      </c>
      <c r="DA307">
        <v>2.1</v>
      </c>
      <c r="DB307">
        <v>1.81</v>
      </c>
      <c r="DC307">
        <v>2.02</v>
      </c>
      <c r="DD307">
        <v>1.88</v>
      </c>
      <c r="DE307">
        <v>2.12</v>
      </c>
      <c r="DF307">
        <v>0.5</v>
      </c>
      <c r="DG307">
        <v>1.95</v>
      </c>
      <c r="DH307">
        <v>1.98</v>
      </c>
      <c r="DI307">
        <v>1.97</v>
      </c>
      <c r="DJ307">
        <v>1.95</v>
      </c>
      <c r="DK307">
        <v>1.97</v>
      </c>
      <c r="DL307">
        <v>1.98</v>
      </c>
      <c r="DM307">
        <v>1.92</v>
      </c>
      <c r="DN307">
        <v>1.93</v>
      </c>
      <c r="DO307">
        <v>2.0099999999999998</v>
      </c>
      <c r="DP307">
        <v>1.98</v>
      </c>
    </row>
    <row r="308" spans="1:120" x14ac:dyDescent="0.3">
      <c r="A308" t="s">
        <v>120</v>
      </c>
      <c r="B308" s="2">
        <v>45812</v>
      </c>
      <c r="C308" s="1">
        <v>0.58333333333333337</v>
      </c>
      <c r="D308" t="s">
        <v>156</v>
      </c>
      <c r="E308" t="s">
        <v>139</v>
      </c>
      <c r="F308">
        <v>3</v>
      </c>
      <c r="G308">
        <v>1</v>
      </c>
      <c r="H308" t="s">
        <v>124</v>
      </c>
      <c r="I308">
        <v>2</v>
      </c>
      <c r="J308">
        <v>0</v>
      </c>
      <c r="K308" t="s">
        <v>124</v>
      </c>
      <c r="L308" t="s">
        <v>160</v>
      </c>
      <c r="M308">
        <v>13</v>
      </c>
      <c r="N308">
        <v>12</v>
      </c>
      <c r="O308">
        <v>8</v>
      </c>
      <c r="P308">
        <v>4</v>
      </c>
      <c r="Q308">
        <v>16</v>
      </c>
      <c r="R308">
        <v>20</v>
      </c>
      <c r="S308">
        <v>4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1.38</v>
      </c>
      <c r="Z308">
        <v>5.5</v>
      </c>
      <c r="AA308">
        <v>6.5</v>
      </c>
      <c r="AE308">
        <v>1.36</v>
      </c>
      <c r="AF308">
        <v>5.5</v>
      </c>
      <c r="AG308">
        <v>7.5</v>
      </c>
      <c r="AH308">
        <v>1.39</v>
      </c>
      <c r="AI308">
        <v>5.42</v>
      </c>
      <c r="AJ308">
        <v>7.33</v>
      </c>
      <c r="AN308">
        <v>1.43</v>
      </c>
      <c r="AO308">
        <v>5.4</v>
      </c>
      <c r="AP308">
        <v>7.13</v>
      </c>
      <c r="AQ308">
        <v>1.43</v>
      </c>
      <c r="AR308">
        <v>5.6</v>
      </c>
      <c r="AS308">
        <v>7.75</v>
      </c>
      <c r="AT308">
        <v>1.39</v>
      </c>
      <c r="AU308">
        <v>5.32</v>
      </c>
      <c r="AV308">
        <v>7.12</v>
      </c>
      <c r="AW308">
        <v>1.42</v>
      </c>
      <c r="AX308">
        <v>5.9</v>
      </c>
      <c r="AY308">
        <v>7.6</v>
      </c>
      <c r="AZ308">
        <v>1.4</v>
      </c>
      <c r="BA308">
        <v>3</v>
      </c>
      <c r="BB308">
        <v>1.39</v>
      </c>
      <c r="BC308">
        <v>3.07</v>
      </c>
      <c r="BD308">
        <v>1.4</v>
      </c>
      <c r="BE308">
        <v>3.1</v>
      </c>
      <c r="BF308">
        <v>1.38</v>
      </c>
      <c r="BG308">
        <v>2.97</v>
      </c>
      <c r="BH308">
        <v>1.43</v>
      </c>
      <c r="BI308">
        <v>3.1</v>
      </c>
      <c r="BJ308">
        <v>-1.5</v>
      </c>
      <c r="BK308">
        <v>2.04</v>
      </c>
      <c r="BL308">
        <v>1.86</v>
      </c>
      <c r="BM308">
        <v>2.0499999999999998</v>
      </c>
      <c r="BN308">
        <v>1.86</v>
      </c>
      <c r="BO308">
        <v>2.0499999999999998</v>
      </c>
      <c r="BP308">
        <v>1.87</v>
      </c>
      <c r="BQ308">
        <v>2.0099999999999998</v>
      </c>
      <c r="BR308">
        <v>1.84</v>
      </c>
      <c r="BS308">
        <v>2.0499999999999998</v>
      </c>
      <c r="BT308">
        <v>1.86</v>
      </c>
      <c r="BU308">
        <v>1.36</v>
      </c>
      <c r="BV308">
        <v>5.5</v>
      </c>
      <c r="BW308">
        <v>7</v>
      </c>
      <c r="CA308">
        <v>1.4</v>
      </c>
      <c r="CB308">
        <v>5</v>
      </c>
      <c r="CC308">
        <v>7.5</v>
      </c>
      <c r="CD308">
        <v>1.37</v>
      </c>
      <c r="CE308">
        <v>5.64</v>
      </c>
      <c r="CF308">
        <v>7.87</v>
      </c>
      <c r="CJ308">
        <v>1.39</v>
      </c>
      <c r="CK308">
        <v>5.64</v>
      </c>
      <c r="CL308">
        <v>7.48</v>
      </c>
      <c r="CM308">
        <v>1.41</v>
      </c>
      <c r="CN308">
        <v>5.7</v>
      </c>
      <c r="CO308">
        <v>8.5</v>
      </c>
      <c r="CP308">
        <v>1.37</v>
      </c>
      <c r="CQ308">
        <v>5.41</v>
      </c>
      <c r="CR308">
        <v>7.68</v>
      </c>
      <c r="CS308">
        <v>1.39</v>
      </c>
      <c r="CT308">
        <v>6</v>
      </c>
      <c r="CU308">
        <v>8.4</v>
      </c>
      <c r="CV308">
        <v>1.36</v>
      </c>
      <c r="CW308">
        <v>3.2</v>
      </c>
      <c r="CX308">
        <v>1.4</v>
      </c>
      <c r="CY308">
        <v>3.09</v>
      </c>
      <c r="CZ308">
        <v>1.45</v>
      </c>
      <c r="DA308">
        <v>3.2</v>
      </c>
      <c r="DB308">
        <v>1.41</v>
      </c>
      <c r="DC308">
        <v>2.93</v>
      </c>
      <c r="DD308">
        <v>1.46</v>
      </c>
      <c r="DE308">
        <v>3.1</v>
      </c>
      <c r="DF308">
        <v>-1.5</v>
      </c>
      <c r="DG308">
        <v>1.98</v>
      </c>
      <c r="DH308">
        <v>1.95</v>
      </c>
      <c r="DI308">
        <v>1.97</v>
      </c>
      <c r="DJ308">
        <v>1.93</v>
      </c>
      <c r="DK308">
        <v>2.02</v>
      </c>
      <c r="DL308">
        <v>1.97</v>
      </c>
      <c r="DM308">
        <v>1.95</v>
      </c>
      <c r="DN308">
        <v>1.91</v>
      </c>
      <c r="DO308">
        <v>2.04</v>
      </c>
      <c r="DP308">
        <v>1.93</v>
      </c>
    </row>
    <row r="309" spans="1:120" x14ac:dyDescent="0.3">
      <c r="A309" t="s">
        <v>120</v>
      </c>
      <c r="B309" s="2">
        <v>45812</v>
      </c>
      <c r="C309" s="1">
        <v>0.6875</v>
      </c>
      <c r="D309" t="s">
        <v>122</v>
      </c>
      <c r="E309" t="s">
        <v>152</v>
      </c>
      <c r="F309">
        <v>0</v>
      </c>
      <c r="G309">
        <v>0</v>
      </c>
      <c r="H309" t="s">
        <v>125</v>
      </c>
      <c r="I309">
        <v>0</v>
      </c>
      <c r="J309">
        <v>0</v>
      </c>
      <c r="K309" t="s">
        <v>125</v>
      </c>
      <c r="L309" t="s">
        <v>173</v>
      </c>
      <c r="M309">
        <v>13</v>
      </c>
      <c r="N309">
        <v>9</v>
      </c>
      <c r="O309">
        <v>2</v>
      </c>
      <c r="P309">
        <v>5</v>
      </c>
      <c r="Q309">
        <v>13</v>
      </c>
      <c r="R309">
        <v>9</v>
      </c>
      <c r="S309">
        <v>5</v>
      </c>
      <c r="T309">
        <v>3</v>
      </c>
      <c r="U309">
        <v>3</v>
      </c>
      <c r="V309">
        <v>2</v>
      </c>
      <c r="W309">
        <v>0</v>
      </c>
      <c r="X309">
        <v>0</v>
      </c>
      <c r="Y309">
        <v>3.4</v>
      </c>
      <c r="Z309">
        <v>3.6</v>
      </c>
      <c r="AA309">
        <v>2.1</v>
      </c>
      <c r="AE309">
        <v>3.4</v>
      </c>
      <c r="AF309">
        <v>3.6</v>
      </c>
      <c r="AG309">
        <v>2.1</v>
      </c>
      <c r="AH309">
        <v>3.39</v>
      </c>
      <c r="AI309">
        <v>3.66</v>
      </c>
      <c r="AJ309">
        <v>2.15</v>
      </c>
      <c r="AN309">
        <v>3.44</v>
      </c>
      <c r="AO309">
        <v>3.71</v>
      </c>
      <c r="AP309">
        <v>2.15</v>
      </c>
      <c r="AQ309">
        <v>3.45</v>
      </c>
      <c r="AR309">
        <v>3.75</v>
      </c>
      <c r="AS309">
        <v>2.2000000000000002</v>
      </c>
      <c r="AT309">
        <v>3.33</v>
      </c>
      <c r="AU309">
        <v>3.61</v>
      </c>
      <c r="AV309">
        <v>2.13</v>
      </c>
      <c r="AW309">
        <v>3.5</v>
      </c>
      <c r="AX309">
        <v>3.75</v>
      </c>
      <c r="AY309">
        <v>2.2000000000000002</v>
      </c>
      <c r="AZ309">
        <v>1.67</v>
      </c>
      <c r="BA309">
        <v>2.2000000000000002</v>
      </c>
      <c r="BB309">
        <v>1.69</v>
      </c>
      <c r="BC309">
        <v>2.2599999999999998</v>
      </c>
      <c r="BD309">
        <v>1.72</v>
      </c>
      <c r="BE309">
        <v>2.31</v>
      </c>
      <c r="BF309">
        <v>1.66</v>
      </c>
      <c r="BG309">
        <v>2.23</v>
      </c>
      <c r="BH309">
        <v>1.74</v>
      </c>
      <c r="BI309">
        <v>2.2799999999999998</v>
      </c>
      <c r="BJ309">
        <v>0.25</v>
      </c>
      <c r="BK309">
        <v>2.0499999999999998</v>
      </c>
      <c r="BL309">
        <v>1.85</v>
      </c>
      <c r="BM309">
        <v>2.04</v>
      </c>
      <c r="BN309">
        <v>1.87</v>
      </c>
      <c r="BO309">
        <v>2.0499999999999998</v>
      </c>
      <c r="BP309">
        <v>1.87</v>
      </c>
      <c r="BQ309">
        <v>2</v>
      </c>
      <c r="BR309">
        <v>1.8</v>
      </c>
      <c r="BS309">
        <v>2.06</v>
      </c>
      <c r="BT309">
        <v>1.9</v>
      </c>
      <c r="BU309">
        <v>3.4</v>
      </c>
      <c r="BV309">
        <v>3.6</v>
      </c>
      <c r="BW309">
        <v>2.0499999999999998</v>
      </c>
      <c r="CA309">
        <v>3.4</v>
      </c>
      <c r="CB309">
        <v>3.6</v>
      </c>
      <c r="CC309">
        <v>2.1</v>
      </c>
      <c r="CD309">
        <v>3.48</v>
      </c>
      <c r="CE309">
        <v>3.75</v>
      </c>
      <c r="CF309">
        <v>2.11</v>
      </c>
      <c r="CJ309">
        <v>3.46</v>
      </c>
      <c r="CK309">
        <v>3.71</v>
      </c>
      <c r="CL309">
        <v>2.14</v>
      </c>
      <c r="CM309">
        <v>3.64</v>
      </c>
      <c r="CN309">
        <v>3.81</v>
      </c>
      <c r="CO309">
        <v>2.19</v>
      </c>
      <c r="CP309">
        <v>3.39</v>
      </c>
      <c r="CQ309">
        <v>3.67</v>
      </c>
      <c r="CR309">
        <v>2.11</v>
      </c>
      <c r="CS309">
        <v>3.55</v>
      </c>
      <c r="CT309">
        <v>3.8</v>
      </c>
      <c r="CU309">
        <v>2.16</v>
      </c>
      <c r="CV309">
        <v>1.67</v>
      </c>
      <c r="CW309">
        <v>2.2000000000000002</v>
      </c>
      <c r="CX309">
        <v>1.67</v>
      </c>
      <c r="CY309">
        <v>2.3199999999999998</v>
      </c>
      <c r="CZ309">
        <v>1.68</v>
      </c>
      <c r="DA309">
        <v>2.4300000000000002</v>
      </c>
      <c r="DB309">
        <v>1.65</v>
      </c>
      <c r="DC309">
        <v>2.27</v>
      </c>
      <c r="DD309">
        <v>1.71</v>
      </c>
      <c r="DE309">
        <v>2.4</v>
      </c>
      <c r="DF309">
        <v>0.25</v>
      </c>
      <c r="DG309">
        <v>2.08</v>
      </c>
      <c r="DH309">
        <v>1.85</v>
      </c>
      <c r="DI309">
        <v>2.1</v>
      </c>
      <c r="DJ309">
        <v>1.84</v>
      </c>
      <c r="DK309">
        <v>2.1</v>
      </c>
      <c r="DL309">
        <v>1.87</v>
      </c>
      <c r="DM309">
        <v>2.0299999999999998</v>
      </c>
      <c r="DN309">
        <v>1.79</v>
      </c>
      <c r="DO309">
        <v>2.11</v>
      </c>
      <c r="DP309">
        <v>1.89</v>
      </c>
    </row>
    <row r="310" spans="1:120" x14ac:dyDescent="0.3">
      <c r="A310" t="s">
        <v>120</v>
      </c>
      <c r="B310" s="2">
        <v>45842</v>
      </c>
      <c r="C310" s="1">
        <v>0.83333333333333337</v>
      </c>
      <c r="D310" t="s">
        <v>155</v>
      </c>
      <c r="E310" t="s">
        <v>138</v>
      </c>
      <c r="F310">
        <v>0</v>
      </c>
      <c r="G310">
        <v>3</v>
      </c>
      <c r="H310" t="s">
        <v>130</v>
      </c>
      <c r="I310">
        <v>0</v>
      </c>
      <c r="J310">
        <v>3</v>
      </c>
      <c r="K310" t="s">
        <v>130</v>
      </c>
      <c r="L310" t="s">
        <v>126</v>
      </c>
      <c r="M310">
        <v>7</v>
      </c>
      <c r="N310">
        <v>16</v>
      </c>
      <c r="O310">
        <v>2</v>
      </c>
      <c r="P310">
        <v>5</v>
      </c>
      <c r="Q310">
        <v>8</v>
      </c>
      <c r="R310">
        <v>9</v>
      </c>
      <c r="S310">
        <v>12</v>
      </c>
      <c r="T310">
        <v>2</v>
      </c>
      <c r="U310">
        <v>2</v>
      </c>
      <c r="V310">
        <v>0</v>
      </c>
      <c r="W310">
        <v>0</v>
      </c>
      <c r="X310">
        <v>0</v>
      </c>
      <c r="Y310">
        <v>6.5</v>
      </c>
      <c r="Z310">
        <v>4.2</v>
      </c>
      <c r="AA310">
        <v>1.48</v>
      </c>
      <c r="AE310">
        <v>6</v>
      </c>
      <c r="AF310">
        <v>4.2</v>
      </c>
      <c r="AG310">
        <v>1.5</v>
      </c>
      <c r="AH310">
        <v>6.61</v>
      </c>
      <c r="AI310">
        <v>4.47</v>
      </c>
      <c r="AJ310">
        <v>1.51</v>
      </c>
      <c r="AN310">
        <v>6.52</v>
      </c>
      <c r="AO310">
        <v>4.59</v>
      </c>
      <c r="AP310">
        <v>1.53</v>
      </c>
      <c r="AQ310">
        <v>6.75</v>
      </c>
      <c r="AR310">
        <v>4.7</v>
      </c>
      <c r="AS310">
        <v>1.53</v>
      </c>
      <c r="AT310">
        <v>6.4</v>
      </c>
      <c r="AU310">
        <v>4.4400000000000004</v>
      </c>
      <c r="AV310">
        <v>1.5</v>
      </c>
      <c r="AW310">
        <v>7.2</v>
      </c>
      <c r="AX310">
        <v>4.8</v>
      </c>
      <c r="AY310">
        <v>1.51</v>
      </c>
      <c r="AZ310">
        <v>1.62</v>
      </c>
      <c r="BA310">
        <v>2.2999999999999998</v>
      </c>
      <c r="BB310">
        <v>1.64</v>
      </c>
      <c r="BC310">
        <v>2.35</v>
      </c>
      <c r="BD310">
        <v>1.65</v>
      </c>
      <c r="BE310">
        <v>2.4500000000000002</v>
      </c>
      <c r="BF310">
        <v>1.6</v>
      </c>
      <c r="BG310">
        <v>2.33</v>
      </c>
      <c r="BH310">
        <v>1.57</v>
      </c>
      <c r="BI310">
        <v>2.2599999999999998</v>
      </c>
      <c r="BJ310">
        <v>1.25</v>
      </c>
      <c r="BK310">
        <v>1.83</v>
      </c>
      <c r="BL310">
        <v>2.0699999999999998</v>
      </c>
      <c r="BM310">
        <v>1.84</v>
      </c>
      <c r="BN310">
        <v>2.08</v>
      </c>
      <c r="BO310">
        <v>1.84</v>
      </c>
      <c r="BP310">
        <v>2.08</v>
      </c>
      <c r="BQ310">
        <v>1.8</v>
      </c>
      <c r="BR310">
        <v>2.04</v>
      </c>
      <c r="BS310">
        <v>1.83</v>
      </c>
      <c r="BT310">
        <v>2.06</v>
      </c>
      <c r="BU310">
        <v>6.5</v>
      </c>
      <c r="BV310">
        <v>4.5</v>
      </c>
      <c r="BW310">
        <v>1.45</v>
      </c>
      <c r="CA310">
        <v>7.5</v>
      </c>
      <c r="CB310">
        <v>4.5999999999999996</v>
      </c>
      <c r="CC310">
        <v>1.4</v>
      </c>
      <c r="CD310">
        <v>7.45</v>
      </c>
      <c r="CE310">
        <v>4.8499999999999996</v>
      </c>
      <c r="CF310">
        <v>1.45</v>
      </c>
      <c r="CJ310">
        <v>7</v>
      </c>
      <c r="CK310">
        <v>4.6500000000000004</v>
      </c>
      <c r="CL310">
        <v>1.49</v>
      </c>
      <c r="CM310">
        <v>7.75</v>
      </c>
      <c r="CN310">
        <v>4.8499999999999996</v>
      </c>
      <c r="CO310">
        <v>1.49</v>
      </c>
      <c r="CP310">
        <v>7.18</v>
      </c>
      <c r="CQ310">
        <v>4.63</v>
      </c>
      <c r="CR310">
        <v>1.45</v>
      </c>
      <c r="CS310">
        <v>8.1999999999999993</v>
      </c>
      <c r="CT310">
        <v>4.8</v>
      </c>
      <c r="CU310">
        <v>1.48</v>
      </c>
      <c r="CV310">
        <v>1.67</v>
      </c>
      <c r="CW310">
        <v>2.2000000000000002</v>
      </c>
      <c r="CX310">
        <v>1.73</v>
      </c>
      <c r="CY310">
        <v>2.2000000000000002</v>
      </c>
      <c r="CZ310">
        <v>1.73</v>
      </c>
      <c r="DA310">
        <v>2.3199999999999998</v>
      </c>
      <c r="DB310">
        <v>1.68</v>
      </c>
      <c r="DC310">
        <v>2.19</v>
      </c>
      <c r="DD310">
        <v>1.77</v>
      </c>
      <c r="DE310">
        <v>2.2799999999999998</v>
      </c>
      <c r="DF310">
        <v>1.25</v>
      </c>
      <c r="DG310">
        <v>1.86</v>
      </c>
      <c r="DH310">
        <v>2.04</v>
      </c>
      <c r="DI310">
        <v>1.88</v>
      </c>
      <c r="DJ310">
        <v>2.04</v>
      </c>
      <c r="DK310">
        <v>1.92</v>
      </c>
      <c r="DL310">
        <v>2.06</v>
      </c>
      <c r="DM310">
        <v>1.87</v>
      </c>
      <c r="DN310">
        <v>1.99</v>
      </c>
      <c r="DO310">
        <v>1.91</v>
      </c>
      <c r="DP310">
        <v>2.06</v>
      </c>
    </row>
    <row r="311" spans="1:120" x14ac:dyDescent="0.3">
      <c r="A311" t="s">
        <v>120</v>
      </c>
      <c r="B311" s="2">
        <v>45995</v>
      </c>
      <c r="C311" s="1">
        <v>0.52083333333333337</v>
      </c>
      <c r="D311" t="s">
        <v>152</v>
      </c>
      <c r="E311" t="s">
        <v>149</v>
      </c>
      <c r="F311">
        <v>5</v>
      </c>
      <c r="G311">
        <v>2</v>
      </c>
      <c r="H311" t="s">
        <v>124</v>
      </c>
      <c r="I311">
        <v>2</v>
      </c>
      <c r="J311">
        <v>2</v>
      </c>
      <c r="K311" t="s">
        <v>125</v>
      </c>
      <c r="L311" t="s">
        <v>134</v>
      </c>
      <c r="M311">
        <v>21</v>
      </c>
      <c r="N311">
        <v>8</v>
      </c>
      <c r="O311">
        <v>9</v>
      </c>
      <c r="P311">
        <v>3</v>
      </c>
      <c r="Q311">
        <v>10</v>
      </c>
      <c r="R311">
        <v>16</v>
      </c>
      <c r="S311">
        <v>1</v>
      </c>
      <c r="T311">
        <v>4</v>
      </c>
      <c r="U311">
        <v>2</v>
      </c>
      <c r="V311">
        <v>3</v>
      </c>
      <c r="W311">
        <v>0</v>
      </c>
      <c r="X311">
        <v>0</v>
      </c>
      <c r="Y311">
        <v>1.5</v>
      </c>
      <c r="Z311">
        <v>4.75</v>
      </c>
      <c r="AA311">
        <v>5.75</v>
      </c>
      <c r="AE311">
        <v>1.5</v>
      </c>
      <c r="AF311">
        <v>4.5999999999999996</v>
      </c>
      <c r="AG311">
        <v>6</v>
      </c>
      <c r="AH311">
        <v>1.5</v>
      </c>
      <c r="AI311">
        <v>4.8099999999999996</v>
      </c>
      <c r="AJ311">
        <v>6.12</v>
      </c>
      <c r="AN311">
        <v>1.52</v>
      </c>
      <c r="AO311">
        <v>4.84</v>
      </c>
      <c r="AP311">
        <v>6.21</v>
      </c>
      <c r="AQ311">
        <v>1.52</v>
      </c>
      <c r="AR311">
        <v>4.9000000000000004</v>
      </c>
      <c r="AS311">
        <v>6.21</v>
      </c>
      <c r="AT311">
        <v>1.5</v>
      </c>
      <c r="AU311">
        <v>4.7</v>
      </c>
      <c r="AV311">
        <v>5.95</v>
      </c>
      <c r="AW311">
        <v>1.55</v>
      </c>
      <c r="AX311">
        <v>4.9000000000000004</v>
      </c>
      <c r="AY311">
        <v>6.4</v>
      </c>
      <c r="AZ311">
        <v>1.53</v>
      </c>
      <c r="BA311">
        <v>2.5</v>
      </c>
      <c r="BB311">
        <v>1.55</v>
      </c>
      <c r="BC311">
        <v>2.56</v>
      </c>
      <c r="BD311">
        <v>1.55</v>
      </c>
      <c r="BE311">
        <v>2.59</v>
      </c>
      <c r="BF311">
        <v>1.53</v>
      </c>
      <c r="BG311">
        <v>2.48</v>
      </c>
      <c r="BH311">
        <v>1.59</v>
      </c>
      <c r="BI311">
        <v>2.62</v>
      </c>
      <c r="BJ311">
        <v>-1</v>
      </c>
      <c r="BK311">
        <v>1.84</v>
      </c>
      <c r="BL311">
        <v>2.09</v>
      </c>
      <c r="BM311">
        <v>1.81</v>
      </c>
      <c r="BN311">
        <v>2.1</v>
      </c>
      <c r="BO311">
        <v>1.85</v>
      </c>
      <c r="BP311">
        <v>2.1</v>
      </c>
      <c r="BQ311">
        <v>1.8</v>
      </c>
      <c r="BR311">
        <v>2.0499999999999998</v>
      </c>
      <c r="BS311">
        <v>1.88</v>
      </c>
      <c r="BT311">
        <v>2.08</v>
      </c>
      <c r="BU311">
        <v>1.62</v>
      </c>
      <c r="BV311">
        <v>4.2</v>
      </c>
      <c r="BW311">
        <v>5</v>
      </c>
      <c r="CA311">
        <v>1.6</v>
      </c>
      <c r="CB311">
        <v>4.2</v>
      </c>
      <c r="CC311">
        <v>5.5</v>
      </c>
      <c r="CD311">
        <v>1.64</v>
      </c>
      <c r="CE311">
        <v>4.3499999999999996</v>
      </c>
      <c r="CF311">
        <v>5.3</v>
      </c>
      <c r="CJ311">
        <v>1.63</v>
      </c>
      <c r="CK311">
        <v>4.3099999999999996</v>
      </c>
      <c r="CL311">
        <v>5.4</v>
      </c>
      <c r="CM311">
        <v>1.66</v>
      </c>
      <c r="CN311">
        <v>4.4000000000000004</v>
      </c>
      <c r="CO311">
        <v>5.5</v>
      </c>
      <c r="CP311">
        <v>1.63</v>
      </c>
      <c r="CQ311">
        <v>4.25</v>
      </c>
      <c r="CR311">
        <v>5.16</v>
      </c>
      <c r="CS311">
        <v>1.66</v>
      </c>
      <c r="CT311">
        <v>4.5</v>
      </c>
      <c r="CU311">
        <v>5.6</v>
      </c>
      <c r="CV311">
        <v>1.62</v>
      </c>
      <c r="CW311">
        <v>2.2999999999999998</v>
      </c>
      <c r="CX311">
        <v>1.67</v>
      </c>
      <c r="CY311">
        <v>2.2999999999999998</v>
      </c>
      <c r="CZ311">
        <v>1.67</v>
      </c>
      <c r="DA311">
        <v>2.4</v>
      </c>
      <c r="DB311">
        <v>1.62</v>
      </c>
      <c r="DC311">
        <v>2.3199999999999998</v>
      </c>
      <c r="DD311">
        <v>1.69</v>
      </c>
      <c r="DE311">
        <v>2.42</v>
      </c>
      <c r="DF311">
        <v>-1</v>
      </c>
      <c r="DG311">
        <v>2.0499999999999998</v>
      </c>
      <c r="DH311">
        <v>1.75</v>
      </c>
      <c r="DI311">
        <v>2.11</v>
      </c>
      <c r="DJ311">
        <v>1.83</v>
      </c>
      <c r="DK311">
        <v>2.11</v>
      </c>
      <c r="DL311">
        <v>1.9</v>
      </c>
      <c r="DM311">
        <v>2.06</v>
      </c>
      <c r="DN311">
        <v>1.81</v>
      </c>
      <c r="DO311">
        <v>2.14</v>
      </c>
      <c r="DP311">
        <v>1.87</v>
      </c>
    </row>
    <row r="312" spans="1:120" x14ac:dyDescent="0.3">
      <c r="A312" t="s">
        <v>120</v>
      </c>
      <c r="B312" s="2">
        <v>45995</v>
      </c>
      <c r="C312" s="1">
        <v>0.625</v>
      </c>
      <c r="D312" t="s">
        <v>136</v>
      </c>
      <c r="E312" t="s">
        <v>155</v>
      </c>
      <c r="F312">
        <v>2</v>
      </c>
      <c r="G312">
        <v>2</v>
      </c>
      <c r="H312" t="s">
        <v>125</v>
      </c>
      <c r="I312">
        <v>1</v>
      </c>
      <c r="J312">
        <v>1</v>
      </c>
      <c r="K312" t="s">
        <v>125</v>
      </c>
      <c r="L312" t="s">
        <v>159</v>
      </c>
      <c r="M312">
        <v>21</v>
      </c>
      <c r="N312">
        <v>15</v>
      </c>
      <c r="O312">
        <v>7</v>
      </c>
      <c r="P312">
        <v>6</v>
      </c>
      <c r="Q312">
        <v>9</v>
      </c>
      <c r="R312">
        <v>11</v>
      </c>
      <c r="S312">
        <v>3</v>
      </c>
      <c r="T312">
        <v>6</v>
      </c>
      <c r="U312">
        <v>2</v>
      </c>
      <c r="V312">
        <v>5</v>
      </c>
      <c r="W312">
        <v>0</v>
      </c>
      <c r="X312">
        <v>0</v>
      </c>
      <c r="Y312">
        <v>1.29</v>
      </c>
      <c r="Z312">
        <v>6</v>
      </c>
      <c r="AA312">
        <v>10</v>
      </c>
      <c r="AE312">
        <v>1.25</v>
      </c>
      <c r="AF312">
        <v>6</v>
      </c>
      <c r="AG312">
        <v>12</v>
      </c>
      <c r="AH312">
        <v>1.27</v>
      </c>
      <c r="AI312">
        <v>5.96</v>
      </c>
      <c r="AJ312">
        <v>10.93</v>
      </c>
      <c r="AN312">
        <v>1.28</v>
      </c>
      <c r="AO312">
        <v>6.11</v>
      </c>
      <c r="AP312">
        <v>11.9</v>
      </c>
      <c r="AQ312">
        <v>1.29</v>
      </c>
      <c r="AR312">
        <v>6.2</v>
      </c>
      <c r="AS312">
        <v>12</v>
      </c>
      <c r="AT312">
        <v>1.27</v>
      </c>
      <c r="AU312">
        <v>5.89</v>
      </c>
      <c r="AV312">
        <v>10.98</v>
      </c>
      <c r="AW312">
        <v>1.3</v>
      </c>
      <c r="AX312">
        <v>6.4</v>
      </c>
      <c r="AY312">
        <v>12.5</v>
      </c>
      <c r="AZ312">
        <v>1.62</v>
      </c>
      <c r="BA312">
        <v>2.2999999999999998</v>
      </c>
      <c r="BB312">
        <v>1.63</v>
      </c>
      <c r="BC312">
        <v>2.34</v>
      </c>
      <c r="BD312">
        <v>1.66</v>
      </c>
      <c r="BE312">
        <v>2.39</v>
      </c>
      <c r="BF312">
        <v>1.61</v>
      </c>
      <c r="BG312">
        <v>2.33</v>
      </c>
      <c r="BH312">
        <v>1.66</v>
      </c>
      <c r="BI312">
        <v>2.44</v>
      </c>
      <c r="BJ312">
        <v>-1.5</v>
      </c>
      <c r="BK312">
        <v>1.78</v>
      </c>
      <c r="BL312">
        <v>2.0299999999999998</v>
      </c>
      <c r="BM312">
        <v>1.81</v>
      </c>
      <c r="BN312">
        <v>2.0699999999999998</v>
      </c>
      <c r="BO312">
        <v>1.84</v>
      </c>
      <c r="BP312">
        <v>2.08</v>
      </c>
      <c r="BQ312">
        <v>1.8</v>
      </c>
      <c r="BR312">
        <v>2.0299999999999998</v>
      </c>
      <c r="BS312">
        <v>1.84</v>
      </c>
      <c r="BT312">
        <v>2.12</v>
      </c>
      <c r="BU312">
        <v>1.29</v>
      </c>
      <c r="BV312">
        <v>6</v>
      </c>
      <c r="BW312">
        <v>9</v>
      </c>
      <c r="CA312">
        <v>1.25</v>
      </c>
      <c r="CB312">
        <v>6</v>
      </c>
      <c r="CC312">
        <v>11</v>
      </c>
      <c r="CD312">
        <v>1.29</v>
      </c>
      <c r="CE312">
        <v>5.95</v>
      </c>
      <c r="CF312">
        <v>10.93</v>
      </c>
      <c r="CJ312">
        <v>1.33</v>
      </c>
      <c r="CK312">
        <v>6.17</v>
      </c>
      <c r="CL312">
        <v>8.89</v>
      </c>
      <c r="CM312">
        <v>1.33</v>
      </c>
      <c r="CN312">
        <v>6.2</v>
      </c>
      <c r="CO312">
        <v>11.02</v>
      </c>
      <c r="CP312">
        <v>1.29</v>
      </c>
      <c r="CQ312">
        <v>5.98</v>
      </c>
      <c r="CR312">
        <v>10.039999999999999</v>
      </c>
      <c r="CS312">
        <v>1.32</v>
      </c>
      <c r="CT312">
        <v>6.4</v>
      </c>
      <c r="CU312">
        <v>11.5</v>
      </c>
      <c r="CV312">
        <v>1.5</v>
      </c>
      <c r="CW312">
        <v>2.63</v>
      </c>
      <c r="CX312">
        <v>1.54</v>
      </c>
      <c r="CY312">
        <v>2.58</v>
      </c>
      <c r="CZ312">
        <v>1.57</v>
      </c>
      <c r="DA312">
        <v>2.77</v>
      </c>
      <c r="DB312">
        <v>1.52</v>
      </c>
      <c r="DC312">
        <v>2.57</v>
      </c>
      <c r="DD312">
        <v>1.57</v>
      </c>
      <c r="DE312">
        <v>2.72</v>
      </c>
      <c r="DF312">
        <v>-1.75</v>
      </c>
      <c r="DG312">
        <v>2.06</v>
      </c>
      <c r="DH312">
        <v>1.87</v>
      </c>
      <c r="DI312">
        <v>2.0499999999999998</v>
      </c>
      <c r="DJ312">
        <v>1.86</v>
      </c>
      <c r="DK312">
        <v>2.1</v>
      </c>
      <c r="DL312">
        <v>1.87</v>
      </c>
      <c r="DM312">
        <v>2.04</v>
      </c>
      <c r="DN312">
        <v>1.83</v>
      </c>
      <c r="DO312">
        <v>2.12</v>
      </c>
      <c r="DP312">
        <v>1.86</v>
      </c>
    </row>
    <row r="313" spans="1:120" x14ac:dyDescent="0.3">
      <c r="A313" t="s">
        <v>120</v>
      </c>
      <c r="B313" s="2">
        <v>45995</v>
      </c>
      <c r="C313" s="1">
        <v>0.625</v>
      </c>
      <c r="D313" t="s">
        <v>141</v>
      </c>
      <c r="E313" t="s">
        <v>135</v>
      </c>
      <c r="F313">
        <v>0</v>
      </c>
      <c r="G313">
        <v>1</v>
      </c>
      <c r="H313" t="s">
        <v>130</v>
      </c>
      <c r="I313">
        <v>0</v>
      </c>
      <c r="J313">
        <v>0</v>
      </c>
      <c r="K313" t="s">
        <v>125</v>
      </c>
      <c r="L313" t="s">
        <v>140</v>
      </c>
      <c r="M313">
        <v>10</v>
      </c>
      <c r="N313">
        <v>13</v>
      </c>
      <c r="O313">
        <v>5</v>
      </c>
      <c r="P313">
        <v>5</v>
      </c>
      <c r="Q313">
        <v>9</v>
      </c>
      <c r="R313">
        <v>13</v>
      </c>
      <c r="S313">
        <v>1</v>
      </c>
      <c r="T313">
        <v>7</v>
      </c>
      <c r="U313">
        <v>0</v>
      </c>
      <c r="V313">
        <v>3</v>
      </c>
      <c r="W313">
        <v>0</v>
      </c>
      <c r="X313">
        <v>0</v>
      </c>
      <c r="Y313">
        <v>2.1</v>
      </c>
      <c r="Z313">
        <v>3.3</v>
      </c>
      <c r="AA313">
        <v>3.7</v>
      </c>
      <c r="AE313">
        <v>2.1</v>
      </c>
      <c r="AF313">
        <v>3.3</v>
      </c>
      <c r="AG313">
        <v>3.75</v>
      </c>
      <c r="AH313">
        <v>2.13</v>
      </c>
      <c r="AI313">
        <v>3.38</v>
      </c>
      <c r="AJ313">
        <v>3.72</v>
      </c>
      <c r="AN313">
        <v>2.14</v>
      </c>
      <c r="AO313">
        <v>3.48</v>
      </c>
      <c r="AP313">
        <v>3.69</v>
      </c>
      <c r="AQ313">
        <v>2.15</v>
      </c>
      <c r="AR313">
        <v>3.48</v>
      </c>
      <c r="AS313">
        <v>3.9</v>
      </c>
      <c r="AT313">
        <v>2.11</v>
      </c>
      <c r="AU313">
        <v>3.33</v>
      </c>
      <c r="AV313">
        <v>3.67</v>
      </c>
      <c r="AW313">
        <v>2.16</v>
      </c>
      <c r="AX313">
        <v>3.4</v>
      </c>
      <c r="AY313">
        <v>4</v>
      </c>
      <c r="AZ313">
        <v>2.2000000000000002</v>
      </c>
      <c r="BA313">
        <v>1.67</v>
      </c>
      <c r="BB313">
        <v>2.2400000000000002</v>
      </c>
      <c r="BC313">
        <v>1.7</v>
      </c>
      <c r="BD313">
        <v>2.35</v>
      </c>
      <c r="BE313">
        <v>1.72</v>
      </c>
      <c r="BF313">
        <v>2.2200000000000002</v>
      </c>
      <c r="BG313">
        <v>1.67</v>
      </c>
      <c r="BH313">
        <v>2.2999999999999998</v>
      </c>
      <c r="BI313">
        <v>1.73</v>
      </c>
      <c r="BJ313">
        <v>-0.25</v>
      </c>
      <c r="BK313">
        <v>1.84</v>
      </c>
      <c r="BL313">
        <v>2.09</v>
      </c>
      <c r="BM313">
        <v>1.83</v>
      </c>
      <c r="BN313">
        <v>2.09</v>
      </c>
      <c r="BO313">
        <v>1.84</v>
      </c>
      <c r="BP313">
        <v>2.09</v>
      </c>
      <c r="BQ313">
        <v>1.8</v>
      </c>
      <c r="BR313">
        <v>2.0499999999999998</v>
      </c>
      <c r="BS313">
        <v>1.85</v>
      </c>
      <c r="BT313">
        <v>2.14</v>
      </c>
      <c r="BU313">
        <v>1.91</v>
      </c>
      <c r="BV313">
        <v>3.3</v>
      </c>
      <c r="BW313">
        <v>4.0999999999999996</v>
      </c>
      <c r="CA313">
        <v>1.95</v>
      </c>
      <c r="CB313">
        <v>3.25</v>
      </c>
      <c r="CC313">
        <v>4.33</v>
      </c>
      <c r="CD313">
        <v>1.99</v>
      </c>
      <c r="CE313">
        <v>3.38</v>
      </c>
      <c r="CF313">
        <v>4.3499999999999996</v>
      </c>
      <c r="CJ313">
        <v>1.94</v>
      </c>
      <c r="CK313">
        <v>3.43</v>
      </c>
      <c r="CL313">
        <v>4.4800000000000004</v>
      </c>
      <c r="CM313">
        <v>2.02</v>
      </c>
      <c r="CN313">
        <v>3.45</v>
      </c>
      <c r="CO313">
        <v>4.4800000000000004</v>
      </c>
      <c r="CP313">
        <v>1.97</v>
      </c>
      <c r="CQ313">
        <v>3.34</v>
      </c>
      <c r="CR313">
        <v>4.21</v>
      </c>
      <c r="CS313">
        <v>2.02</v>
      </c>
      <c r="CT313">
        <v>3.5</v>
      </c>
      <c r="CU313">
        <v>4.5</v>
      </c>
      <c r="CV313">
        <v>2.2000000000000002</v>
      </c>
      <c r="CW313">
        <v>1.67</v>
      </c>
      <c r="CX313">
        <v>2.2999999999999998</v>
      </c>
      <c r="CY313">
        <v>1.68</v>
      </c>
      <c r="CZ313">
        <v>2.35</v>
      </c>
      <c r="DA313">
        <v>1.74</v>
      </c>
      <c r="DB313">
        <v>2.2400000000000002</v>
      </c>
      <c r="DC313">
        <v>1.67</v>
      </c>
      <c r="DD313">
        <v>2.3199999999999998</v>
      </c>
      <c r="DE313">
        <v>1.74</v>
      </c>
      <c r="DF313">
        <v>-0.5</v>
      </c>
      <c r="DG313">
        <v>2</v>
      </c>
      <c r="DH313">
        <v>1.93</v>
      </c>
      <c r="DI313">
        <v>2</v>
      </c>
      <c r="DJ313">
        <v>1.93</v>
      </c>
      <c r="DK313">
        <v>2.0099999999999998</v>
      </c>
      <c r="DL313">
        <v>1.93</v>
      </c>
      <c r="DM313">
        <v>1.98</v>
      </c>
      <c r="DN313">
        <v>1.87</v>
      </c>
      <c r="DO313">
        <v>2.02</v>
      </c>
      <c r="DP313">
        <v>1.96</v>
      </c>
    </row>
    <row r="314" spans="1:120" x14ac:dyDescent="0.3">
      <c r="A314" t="s">
        <v>120</v>
      </c>
      <c r="B314" s="2">
        <v>45995</v>
      </c>
      <c r="C314" s="1">
        <v>0.625</v>
      </c>
      <c r="D314" t="s">
        <v>139</v>
      </c>
      <c r="E314" t="s">
        <v>145</v>
      </c>
      <c r="F314">
        <v>0</v>
      </c>
      <c r="G314">
        <v>3</v>
      </c>
      <c r="H314" t="s">
        <v>130</v>
      </c>
      <c r="I314">
        <v>0</v>
      </c>
      <c r="J314">
        <v>0</v>
      </c>
      <c r="K314" t="s">
        <v>125</v>
      </c>
      <c r="L314" t="s">
        <v>185</v>
      </c>
      <c r="M314">
        <v>7</v>
      </c>
      <c r="N314">
        <v>25</v>
      </c>
      <c r="O314">
        <v>2</v>
      </c>
      <c r="P314">
        <v>10</v>
      </c>
      <c r="Q314">
        <v>11</v>
      </c>
      <c r="R314">
        <v>4</v>
      </c>
      <c r="S314">
        <v>2</v>
      </c>
      <c r="T314">
        <v>14</v>
      </c>
      <c r="U314">
        <v>3</v>
      </c>
      <c r="V314">
        <v>1</v>
      </c>
      <c r="W314">
        <v>0</v>
      </c>
      <c r="X314">
        <v>0</v>
      </c>
      <c r="Y314">
        <v>6</v>
      </c>
      <c r="Z314">
        <v>4.2</v>
      </c>
      <c r="AA314">
        <v>1.55</v>
      </c>
      <c r="AE314">
        <v>5.5</v>
      </c>
      <c r="AF314">
        <v>4.33</v>
      </c>
      <c r="AG314">
        <v>1.57</v>
      </c>
      <c r="AH314">
        <v>5.75</v>
      </c>
      <c r="AI314">
        <v>4.49</v>
      </c>
      <c r="AJ314">
        <v>1.56</v>
      </c>
      <c r="AN314">
        <v>5.91</v>
      </c>
      <c r="AO314">
        <v>4.6399999999999997</v>
      </c>
      <c r="AP314">
        <v>1.56</v>
      </c>
      <c r="AQ314">
        <v>6</v>
      </c>
      <c r="AR314">
        <v>5.6</v>
      </c>
      <c r="AS314">
        <v>1.57</v>
      </c>
      <c r="AT314">
        <v>5.65</v>
      </c>
      <c r="AU314">
        <v>4.42</v>
      </c>
      <c r="AV314">
        <v>1.55</v>
      </c>
      <c r="AW314">
        <v>6.2</v>
      </c>
      <c r="AX314">
        <v>4.5999999999999996</v>
      </c>
      <c r="AY314">
        <v>1.58</v>
      </c>
      <c r="AZ314">
        <v>1.62</v>
      </c>
      <c r="BA314">
        <v>2.2999999999999998</v>
      </c>
      <c r="BB314">
        <v>1.61</v>
      </c>
      <c r="BC314">
        <v>2.4</v>
      </c>
      <c r="BD314">
        <v>1.62</v>
      </c>
      <c r="BE314">
        <v>2.4500000000000002</v>
      </c>
      <c r="BF314">
        <v>1.59</v>
      </c>
      <c r="BG314">
        <v>2.37</v>
      </c>
      <c r="BH314">
        <v>1.62</v>
      </c>
      <c r="BI314">
        <v>2.5</v>
      </c>
      <c r="BJ314">
        <v>1</v>
      </c>
      <c r="BK314">
        <v>2</v>
      </c>
      <c r="BL314">
        <v>1.93</v>
      </c>
      <c r="BM314">
        <v>1.98</v>
      </c>
      <c r="BN314">
        <v>1.93</v>
      </c>
      <c r="BO314">
        <v>2.02</v>
      </c>
      <c r="BP314">
        <v>1.93</v>
      </c>
      <c r="BQ314">
        <v>1.96</v>
      </c>
      <c r="BR314">
        <v>1.88</v>
      </c>
      <c r="BS314">
        <v>2.0299999999999998</v>
      </c>
      <c r="BT314">
        <v>1.94</v>
      </c>
      <c r="BU314">
        <v>6.25</v>
      </c>
      <c r="BV314">
        <v>4.33</v>
      </c>
      <c r="BW314">
        <v>1.5</v>
      </c>
      <c r="CA314">
        <v>6.5</v>
      </c>
      <c r="CB314">
        <v>4.5</v>
      </c>
      <c r="CC314">
        <v>1.5</v>
      </c>
      <c r="CD314">
        <v>6.23</v>
      </c>
      <c r="CE314">
        <v>4.6399999999999997</v>
      </c>
      <c r="CF314">
        <v>1.53</v>
      </c>
      <c r="CJ314">
        <v>6.68</v>
      </c>
      <c r="CK314">
        <v>4.4400000000000004</v>
      </c>
      <c r="CL314">
        <v>1.53</v>
      </c>
      <c r="CM314">
        <v>6.68</v>
      </c>
      <c r="CN314">
        <v>4.7</v>
      </c>
      <c r="CO314">
        <v>1.57</v>
      </c>
      <c r="CP314">
        <v>6.1</v>
      </c>
      <c r="CQ314">
        <v>4.55</v>
      </c>
      <c r="CR314">
        <v>1.52</v>
      </c>
      <c r="CS314">
        <v>6.4</v>
      </c>
      <c r="CT314">
        <v>4.8</v>
      </c>
      <c r="CU314">
        <v>1.55</v>
      </c>
      <c r="CV314">
        <v>1.57</v>
      </c>
      <c r="CW314">
        <v>2.38</v>
      </c>
      <c r="CX314">
        <v>1.58</v>
      </c>
      <c r="CY314">
        <v>2.4900000000000002</v>
      </c>
      <c r="CZ314">
        <v>1.67</v>
      </c>
      <c r="DA314">
        <v>2.5</v>
      </c>
      <c r="DB314">
        <v>1.57</v>
      </c>
      <c r="DC314">
        <v>2.41</v>
      </c>
      <c r="DD314">
        <v>1.62</v>
      </c>
      <c r="DE314">
        <v>2.58</v>
      </c>
      <c r="DF314">
        <v>1</v>
      </c>
      <c r="DG314">
        <v>2.09</v>
      </c>
      <c r="DH314">
        <v>1.84</v>
      </c>
      <c r="DI314">
        <v>2.1</v>
      </c>
      <c r="DJ314">
        <v>1.84</v>
      </c>
      <c r="DK314">
        <v>2.12</v>
      </c>
      <c r="DL314">
        <v>1.87</v>
      </c>
      <c r="DM314">
        <v>2.0499999999999998</v>
      </c>
      <c r="DN314">
        <v>1.82</v>
      </c>
      <c r="DO314">
        <v>2.08</v>
      </c>
      <c r="DP314">
        <v>1.9</v>
      </c>
    </row>
    <row r="315" spans="1:120" x14ac:dyDescent="0.3">
      <c r="A315" t="s">
        <v>120</v>
      </c>
      <c r="B315" s="2">
        <v>45995</v>
      </c>
      <c r="C315" s="1">
        <v>0.72916666666666663</v>
      </c>
      <c r="D315" t="s">
        <v>132</v>
      </c>
      <c r="E315" t="s">
        <v>148</v>
      </c>
      <c r="F315">
        <v>1</v>
      </c>
      <c r="G315">
        <v>1</v>
      </c>
      <c r="H315" t="s">
        <v>125</v>
      </c>
      <c r="I315">
        <v>0</v>
      </c>
      <c r="J315">
        <v>0</v>
      </c>
      <c r="K315" t="s">
        <v>125</v>
      </c>
      <c r="L315" t="s">
        <v>137</v>
      </c>
      <c r="M315">
        <v>14</v>
      </c>
      <c r="N315">
        <v>3</v>
      </c>
      <c r="O315">
        <v>3</v>
      </c>
      <c r="P315">
        <v>2</v>
      </c>
      <c r="Q315">
        <v>7</v>
      </c>
      <c r="R315">
        <v>9</v>
      </c>
      <c r="S315">
        <v>13</v>
      </c>
      <c r="T315">
        <v>5</v>
      </c>
      <c r="U315">
        <v>1</v>
      </c>
      <c r="V315">
        <v>3</v>
      </c>
      <c r="W315">
        <v>0</v>
      </c>
      <c r="X315">
        <v>0</v>
      </c>
      <c r="Y315">
        <v>1.6</v>
      </c>
      <c r="Z315">
        <v>4.33</v>
      </c>
      <c r="AA315">
        <v>5</v>
      </c>
      <c r="AE315">
        <v>1.6</v>
      </c>
      <c r="AF315">
        <v>4.2</v>
      </c>
      <c r="AG315">
        <v>5.5</v>
      </c>
      <c r="AH315">
        <v>1.63</v>
      </c>
      <c r="AI315">
        <v>4.17</v>
      </c>
      <c r="AJ315">
        <v>5.42</v>
      </c>
      <c r="AN315">
        <v>1.65</v>
      </c>
      <c r="AO315">
        <v>4.2300000000000004</v>
      </c>
      <c r="AP315">
        <v>5.45</v>
      </c>
      <c r="AQ315">
        <v>1.65</v>
      </c>
      <c r="AR315">
        <v>4.33</v>
      </c>
      <c r="AS315">
        <v>5.5</v>
      </c>
      <c r="AT315">
        <v>1.61</v>
      </c>
      <c r="AU315">
        <v>4.16</v>
      </c>
      <c r="AV315">
        <v>5.35</v>
      </c>
      <c r="AW315">
        <v>1.64</v>
      </c>
      <c r="AX315">
        <v>4.4000000000000004</v>
      </c>
      <c r="AY315">
        <v>5.8</v>
      </c>
      <c r="AZ315">
        <v>1.73</v>
      </c>
      <c r="BA315">
        <v>2.1</v>
      </c>
      <c r="BB315">
        <v>1.81</v>
      </c>
      <c r="BC315">
        <v>2.0699999999999998</v>
      </c>
      <c r="BD315">
        <v>1.82</v>
      </c>
      <c r="BE315">
        <v>2.12</v>
      </c>
      <c r="BF315">
        <v>1.77</v>
      </c>
      <c r="BG315">
        <v>2.06</v>
      </c>
      <c r="BH315">
        <v>1.81</v>
      </c>
      <c r="BI315">
        <v>2.1800000000000002</v>
      </c>
      <c r="BJ315">
        <v>-1</v>
      </c>
      <c r="BK315">
        <v>2.1</v>
      </c>
      <c r="BL315">
        <v>1.83</v>
      </c>
      <c r="BM315">
        <v>2.1</v>
      </c>
      <c r="BN315">
        <v>1.83</v>
      </c>
      <c r="BO315">
        <v>2.1</v>
      </c>
      <c r="BP315">
        <v>1.83</v>
      </c>
      <c r="BQ315">
        <v>2.0499999999999998</v>
      </c>
      <c r="BR315">
        <v>1.8</v>
      </c>
      <c r="BS315">
        <v>2.0699999999999998</v>
      </c>
      <c r="BT315">
        <v>1.86</v>
      </c>
      <c r="BU315">
        <v>1.6</v>
      </c>
      <c r="BV315">
        <v>4.33</v>
      </c>
      <c r="BW315">
        <v>5</v>
      </c>
      <c r="CA315">
        <v>1.57</v>
      </c>
      <c r="CB315">
        <v>4</v>
      </c>
      <c r="CC315">
        <v>5</v>
      </c>
      <c r="CD315">
        <v>1.62</v>
      </c>
      <c r="CE315">
        <v>4.24</v>
      </c>
      <c r="CF315">
        <v>5.66</v>
      </c>
      <c r="CJ315">
        <v>1.63</v>
      </c>
      <c r="CK315">
        <v>4.3099999999999996</v>
      </c>
      <c r="CL315">
        <v>5.4</v>
      </c>
      <c r="CM315">
        <v>1.68</v>
      </c>
      <c r="CN315">
        <v>4.33</v>
      </c>
      <c r="CO315">
        <v>5.66</v>
      </c>
      <c r="CP315">
        <v>1.63</v>
      </c>
      <c r="CQ315">
        <v>4.1500000000000004</v>
      </c>
      <c r="CR315">
        <v>5.21</v>
      </c>
      <c r="CS315">
        <v>1.66</v>
      </c>
      <c r="CT315">
        <v>4.3</v>
      </c>
      <c r="CU315">
        <v>5.9</v>
      </c>
      <c r="CV315">
        <v>1.73</v>
      </c>
      <c r="CW315">
        <v>2.1</v>
      </c>
      <c r="CX315">
        <v>1.75</v>
      </c>
      <c r="CY315">
        <v>2.1800000000000002</v>
      </c>
      <c r="CZ315">
        <v>1.76</v>
      </c>
      <c r="DA315">
        <v>2.2999999999999998</v>
      </c>
      <c r="DB315">
        <v>1.72</v>
      </c>
      <c r="DC315">
        <v>2.15</v>
      </c>
      <c r="DD315">
        <v>1.79</v>
      </c>
      <c r="DE315">
        <v>2.2599999999999998</v>
      </c>
      <c r="DF315">
        <v>-0.75</v>
      </c>
      <c r="DG315">
        <v>1.73</v>
      </c>
      <c r="DH315">
        <v>2.08</v>
      </c>
      <c r="DI315">
        <v>1.78</v>
      </c>
      <c r="DJ315">
        <v>2.16</v>
      </c>
      <c r="DK315">
        <v>1.84</v>
      </c>
      <c r="DL315">
        <v>2.16</v>
      </c>
      <c r="DM315">
        <v>1.8</v>
      </c>
      <c r="DN315">
        <v>2.06</v>
      </c>
      <c r="DO315">
        <v>1.83</v>
      </c>
      <c r="DP315">
        <v>2.1800000000000002</v>
      </c>
    </row>
    <row r="316" spans="1:120" x14ac:dyDescent="0.3">
      <c r="A316" t="s">
        <v>120</v>
      </c>
      <c r="B316" t="s">
        <v>221</v>
      </c>
      <c r="C316" s="1">
        <v>0.58333333333333337</v>
      </c>
      <c r="D316" t="s">
        <v>151</v>
      </c>
      <c r="E316" t="s">
        <v>128</v>
      </c>
      <c r="F316">
        <v>2</v>
      </c>
      <c r="G316">
        <v>2</v>
      </c>
      <c r="H316" t="s">
        <v>125</v>
      </c>
      <c r="I316">
        <v>0</v>
      </c>
      <c r="J316">
        <v>2</v>
      </c>
      <c r="K316" t="s">
        <v>130</v>
      </c>
      <c r="L316" t="s">
        <v>164</v>
      </c>
      <c r="M316">
        <v>34</v>
      </c>
      <c r="N316">
        <v>13</v>
      </c>
      <c r="O316">
        <v>9</v>
      </c>
      <c r="P316">
        <v>4</v>
      </c>
      <c r="Q316">
        <v>11</v>
      </c>
      <c r="R316">
        <v>7</v>
      </c>
      <c r="S316">
        <v>15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1.27</v>
      </c>
      <c r="Z316">
        <v>7</v>
      </c>
      <c r="AA316">
        <v>8.5</v>
      </c>
      <c r="AE316">
        <v>1.22</v>
      </c>
      <c r="AF316">
        <v>6.5</v>
      </c>
      <c r="AG316">
        <v>11</v>
      </c>
      <c r="AH316">
        <v>1.25</v>
      </c>
      <c r="AI316">
        <v>6.84</v>
      </c>
      <c r="AJ316">
        <v>10.14</v>
      </c>
      <c r="AN316">
        <v>1.27</v>
      </c>
      <c r="AO316">
        <v>6.72</v>
      </c>
      <c r="AP316">
        <v>10.9</v>
      </c>
      <c r="AQ316">
        <v>1.28</v>
      </c>
      <c r="AR316">
        <v>7</v>
      </c>
      <c r="AS316">
        <v>12</v>
      </c>
      <c r="AT316">
        <v>1.25</v>
      </c>
      <c r="AU316">
        <v>6.57</v>
      </c>
      <c r="AV316">
        <v>9.6999999999999993</v>
      </c>
      <c r="AW316">
        <v>1.3</v>
      </c>
      <c r="AX316">
        <v>6.8</v>
      </c>
      <c r="AY316">
        <v>10.5</v>
      </c>
      <c r="AZ316">
        <v>1.44</v>
      </c>
      <c r="BA316">
        <v>2.75</v>
      </c>
      <c r="BB316">
        <v>1.44</v>
      </c>
      <c r="BC316">
        <v>2.84</v>
      </c>
      <c r="BD316">
        <v>1.45</v>
      </c>
      <c r="BE316">
        <v>2.89</v>
      </c>
      <c r="BF316">
        <v>1.43</v>
      </c>
      <c r="BG316">
        <v>2.77</v>
      </c>
      <c r="BH316">
        <v>1.5</v>
      </c>
      <c r="BI316">
        <v>2.88</v>
      </c>
      <c r="BJ316">
        <v>-1.75</v>
      </c>
      <c r="BK316">
        <v>1.95</v>
      </c>
      <c r="BL316">
        <v>1.95</v>
      </c>
      <c r="BM316">
        <v>1.93</v>
      </c>
      <c r="BN316">
        <v>1.96</v>
      </c>
      <c r="BO316">
        <v>2.02</v>
      </c>
      <c r="BP316">
        <v>1.96</v>
      </c>
      <c r="BQ316">
        <v>1.92</v>
      </c>
      <c r="BR316">
        <v>1.91</v>
      </c>
      <c r="BS316">
        <v>1.98</v>
      </c>
      <c r="BT316">
        <v>1.94</v>
      </c>
      <c r="BU316">
        <v>1.17</v>
      </c>
      <c r="BV316">
        <v>7.5</v>
      </c>
      <c r="BW316">
        <v>12</v>
      </c>
      <c r="CA316">
        <v>1.18</v>
      </c>
      <c r="CB316">
        <v>7.5</v>
      </c>
      <c r="CC316">
        <v>14</v>
      </c>
      <c r="CD316">
        <v>1.21</v>
      </c>
      <c r="CE316">
        <v>7.43</v>
      </c>
      <c r="CF316">
        <v>13.76</v>
      </c>
      <c r="CJ316">
        <v>1.22</v>
      </c>
      <c r="CK316">
        <v>7.69</v>
      </c>
      <c r="CL316">
        <v>12.8</v>
      </c>
      <c r="CM316">
        <v>1.22</v>
      </c>
      <c r="CN316">
        <v>7.69</v>
      </c>
      <c r="CO316">
        <v>16</v>
      </c>
      <c r="CP316">
        <v>1.2</v>
      </c>
      <c r="CQ316">
        <v>7.33</v>
      </c>
      <c r="CR316">
        <v>13.53</v>
      </c>
      <c r="CS316">
        <v>1.21</v>
      </c>
      <c r="CT316">
        <v>8.4</v>
      </c>
      <c r="CU316">
        <v>16.5</v>
      </c>
      <c r="CV316">
        <v>1.44</v>
      </c>
      <c r="CW316">
        <v>2.75</v>
      </c>
      <c r="CX316">
        <v>1.44</v>
      </c>
      <c r="CY316">
        <v>2.82</v>
      </c>
      <c r="CZ316">
        <v>1.45</v>
      </c>
      <c r="DA316">
        <v>2.9</v>
      </c>
      <c r="DB316">
        <v>1.44</v>
      </c>
      <c r="DC316">
        <v>2.81</v>
      </c>
      <c r="DD316">
        <v>1.47</v>
      </c>
      <c r="DE316">
        <v>3.05</v>
      </c>
      <c r="DF316">
        <v>-2</v>
      </c>
      <c r="DG316">
        <v>1.99</v>
      </c>
      <c r="DH316">
        <v>1.94</v>
      </c>
      <c r="DI316">
        <v>1.98</v>
      </c>
      <c r="DJ316">
        <v>1.92</v>
      </c>
      <c r="DK316">
        <v>2.0099999999999998</v>
      </c>
      <c r="DL316">
        <v>1.96</v>
      </c>
      <c r="DM316">
        <v>1.96</v>
      </c>
      <c r="DN316">
        <v>1.9</v>
      </c>
      <c r="DO316">
        <v>2.0499999999999998</v>
      </c>
      <c r="DP316">
        <v>1.94</v>
      </c>
    </row>
    <row r="317" spans="1:120" x14ac:dyDescent="0.3">
      <c r="A317" t="s">
        <v>120</v>
      </c>
      <c r="B317" t="s">
        <v>221</v>
      </c>
      <c r="C317" s="1">
        <v>0.58333333333333337</v>
      </c>
      <c r="D317" t="s">
        <v>129</v>
      </c>
      <c r="E317" t="s">
        <v>144</v>
      </c>
      <c r="F317">
        <v>2</v>
      </c>
      <c r="G317">
        <v>1</v>
      </c>
      <c r="H317" t="s">
        <v>124</v>
      </c>
      <c r="I317">
        <v>1</v>
      </c>
      <c r="J317">
        <v>0</v>
      </c>
      <c r="K317" t="s">
        <v>124</v>
      </c>
      <c r="L317" t="s">
        <v>176</v>
      </c>
      <c r="M317">
        <v>15</v>
      </c>
      <c r="N317">
        <v>11</v>
      </c>
      <c r="O317">
        <v>6</v>
      </c>
      <c r="P317">
        <v>4</v>
      </c>
      <c r="Q317">
        <v>15</v>
      </c>
      <c r="R317">
        <v>8</v>
      </c>
      <c r="S317">
        <v>10</v>
      </c>
      <c r="T317">
        <v>3</v>
      </c>
      <c r="U317">
        <v>0</v>
      </c>
      <c r="V317">
        <v>2</v>
      </c>
      <c r="W317">
        <v>0</v>
      </c>
      <c r="X317">
        <v>0</v>
      </c>
      <c r="Y317">
        <v>1.3</v>
      </c>
      <c r="Z317">
        <v>6</v>
      </c>
      <c r="AA317">
        <v>8</v>
      </c>
      <c r="AE317">
        <v>1.3</v>
      </c>
      <c r="AF317">
        <v>5.5</v>
      </c>
      <c r="AG317">
        <v>10</v>
      </c>
      <c r="AH317">
        <v>1.3</v>
      </c>
      <c r="AI317">
        <v>6.09</v>
      </c>
      <c r="AJ317">
        <v>9.7799999999999994</v>
      </c>
      <c r="AN317">
        <v>1.31</v>
      </c>
      <c r="AO317">
        <v>6.01</v>
      </c>
      <c r="AP317">
        <v>10.4</v>
      </c>
      <c r="AQ317">
        <v>1.31</v>
      </c>
      <c r="AR317">
        <v>6.2</v>
      </c>
      <c r="AS317">
        <v>10.4</v>
      </c>
      <c r="AT317">
        <v>1.3</v>
      </c>
      <c r="AU317">
        <v>5.89</v>
      </c>
      <c r="AV317">
        <v>9.4499999999999993</v>
      </c>
      <c r="AW317">
        <v>1.32</v>
      </c>
      <c r="AX317">
        <v>6.4</v>
      </c>
      <c r="AY317">
        <v>11</v>
      </c>
      <c r="AZ317">
        <v>1.53</v>
      </c>
      <c r="BA317">
        <v>2.5</v>
      </c>
      <c r="BB317">
        <v>1.54</v>
      </c>
      <c r="BC317">
        <v>2.58</v>
      </c>
      <c r="BD317">
        <v>1.54</v>
      </c>
      <c r="BE317">
        <v>2.58</v>
      </c>
      <c r="BF317">
        <v>1.52</v>
      </c>
      <c r="BG317">
        <v>2.5099999999999998</v>
      </c>
      <c r="BH317">
        <v>1.58</v>
      </c>
      <c r="BI317">
        <v>2.62</v>
      </c>
      <c r="BJ317">
        <v>-1.5</v>
      </c>
      <c r="BK317">
        <v>1.88</v>
      </c>
      <c r="BL317">
        <v>2.02</v>
      </c>
      <c r="BM317">
        <v>1.88</v>
      </c>
      <c r="BN317">
        <v>2.0299999999999998</v>
      </c>
      <c r="BO317">
        <v>1.89</v>
      </c>
      <c r="BP317">
        <v>2.0299999999999998</v>
      </c>
      <c r="BQ317">
        <v>1.86</v>
      </c>
      <c r="BR317">
        <v>1.99</v>
      </c>
      <c r="BS317">
        <v>1.9</v>
      </c>
      <c r="BT317">
        <v>2.0499999999999998</v>
      </c>
      <c r="BU317">
        <v>1.25</v>
      </c>
      <c r="BV317">
        <v>5.5</v>
      </c>
      <c r="BW317">
        <v>11</v>
      </c>
      <c r="CA317">
        <v>1.25</v>
      </c>
      <c r="CB317">
        <v>6</v>
      </c>
      <c r="CC317">
        <v>11</v>
      </c>
      <c r="CD317">
        <v>1.28</v>
      </c>
      <c r="CE317">
        <v>6.12</v>
      </c>
      <c r="CF317">
        <v>10.75</v>
      </c>
      <c r="CJ317">
        <v>1.3</v>
      </c>
      <c r="CK317">
        <v>5.6</v>
      </c>
      <c r="CL317">
        <v>11.7</v>
      </c>
      <c r="CM317">
        <v>1.3</v>
      </c>
      <c r="CN317">
        <v>6.4</v>
      </c>
      <c r="CO317">
        <v>11.7</v>
      </c>
      <c r="CP317">
        <v>1.28</v>
      </c>
      <c r="CQ317">
        <v>5.9</v>
      </c>
      <c r="CR317">
        <v>10.63</v>
      </c>
      <c r="CS317">
        <v>1.3</v>
      </c>
      <c r="CT317">
        <v>6.4</v>
      </c>
      <c r="CU317">
        <v>12.5</v>
      </c>
      <c r="CV317">
        <v>1.53</v>
      </c>
      <c r="CW317">
        <v>2.5</v>
      </c>
      <c r="CX317">
        <v>1.56</v>
      </c>
      <c r="CY317">
        <v>2.5099999999999998</v>
      </c>
      <c r="CZ317">
        <v>1.59</v>
      </c>
      <c r="DA317">
        <v>2.65</v>
      </c>
      <c r="DB317">
        <v>1.53</v>
      </c>
      <c r="DC317">
        <v>2.5299999999999998</v>
      </c>
      <c r="DD317">
        <v>1.6</v>
      </c>
      <c r="DE317">
        <v>2.62</v>
      </c>
      <c r="DF317">
        <v>-1.75</v>
      </c>
      <c r="DG317">
        <v>2.0699999999999998</v>
      </c>
      <c r="DH317">
        <v>1.86</v>
      </c>
      <c r="DI317">
        <v>2.0499999999999998</v>
      </c>
      <c r="DJ317">
        <v>1.86</v>
      </c>
      <c r="DK317">
        <v>2.0699999999999998</v>
      </c>
      <c r="DL317">
        <v>1.88</v>
      </c>
      <c r="DM317">
        <v>2.02</v>
      </c>
      <c r="DN317">
        <v>1.85</v>
      </c>
      <c r="DO317">
        <v>2.0699999999999998</v>
      </c>
      <c r="DP317">
        <v>1.91</v>
      </c>
    </row>
    <row r="318" spans="1:120" x14ac:dyDescent="0.3">
      <c r="A318" t="s">
        <v>120</v>
      </c>
      <c r="B318" t="s">
        <v>221</v>
      </c>
      <c r="C318" s="1">
        <v>0.58333333333333337</v>
      </c>
      <c r="D318" t="s">
        <v>133</v>
      </c>
      <c r="E318" t="s">
        <v>156</v>
      </c>
      <c r="F318">
        <v>4</v>
      </c>
      <c r="G318">
        <v>2</v>
      </c>
      <c r="H318" t="s">
        <v>124</v>
      </c>
      <c r="I318">
        <v>2</v>
      </c>
      <c r="J318">
        <v>0</v>
      </c>
      <c r="K318" t="s">
        <v>124</v>
      </c>
      <c r="L318" t="s">
        <v>153</v>
      </c>
      <c r="M318">
        <v>13</v>
      </c>
      <c r="N318">
        <v>11</v>
      </c>
      <c r="O318">
        <v>5</v>
      </c>
      <c r="P318">
        <v>4</v>
      </c>
      <c r="Q318">
        <v>12</v>
      </c>
      <c r="R318">
        <v>15</v>
      </c>
      <c r="S318">
        <v>1</v>
      </c>
      <c r="T318">
        <v>4</v>
      </c>
      <c r="U318">
        <v>1</v>
      </c>
      <c r="V318">
        <v>2</v>
      </c>
      <c r="W318">
        <v>0</v>
      </c>
      <c r="X318">
        <v>0</v>
      </c>
      <c r="Y318">
        <v>2.2000000000000002</v>
      </c>
      <c r="Z318">
        <v>3.6</v>
      </c>
      <c r="AA318">
        <v>3.1</v>
      </c>
      <c r="AE318">
        <v>2.25</v>
      </c>
      <c r="AF318">
        <v>3.5</v>
      </c>
      <c r="AG318">
        <v>3.1</v>
      </c>
      <c r="AH318">
        <v>2.25</v>
      </c>
      <c r="AI318">
        <v>3.57</v>
      </c>
      <c r="AJ318">
        <v>3.23</v>
      </c>
      <c r="AN318">
        <v>2.27</v>
      </c>
      <c r="AO318">
        <v>3.63</v>
      </c>
      <c r="AP318">
        <v>3.22</v>
      </c>
      <c r="AQ318">
        <v>2.2799999999999998</v>
      </c>
      <c r="AR318">
        <v>3.65</v>
      </c>
      <c r="AS318">
        <v>3.23</v>
      </c>
      <c r="AT318">
        <v>2.23</v>
      </c>
      <c r="AU318">
        <v>3.55</v>
      </c>
      <c r="AV318">
        <v>3.14</v>
      </c>
      <c r="AW318">
        <v>2.2799999999999998</v>
      </c>
      <c r="AX318">
        <v>3.7</v>
      </c>
      <c r="AY318">
        <v>3.35</v>
      </c>
      <c r="AZ318">
        <v>1.67</v>
      </c>
      <c r="BA318">
        <v>2.2000000000000002</v>
      </c>
      <c r="BB318">
        <v>1.7</v>
      </c>
      <c r="BC318">
        <v>2.2400000000000002</v>
      </c>
      <c r="BD318">
        <v>1.72</v>
      </c>
      <c r="BE318">
        <v>2.33</v>
      </c>
      <c r="BF318">
        <v>1.66</v>
      </c>
      <c r="BG318">
        <v>2.23</v>
      </c>
      <c r="BH318">
        <v>1.73</v>
      </c>
      <c r="BI318">
        <v>2.2799999999999998</v>
      </c>
      <c r="BJ318">
        <v>-0.25</v>
      </c>
      <c r="BK318">
        <v>1.95</v>
      </c>
      <c r="BL318">
        <v>1.95</v>
      </c>
      <c r="BM318">
        <v>1.95</v>
      </c>
      <c r="BN318">
        <v>1.95</v>
      </c>
      <c r="BO318">
        <v>1.95</v>
      </c>
      <c r="BP318">
        <v>1.95</v>
      </c>
      <c r="BQ318">
        <v>1.92</v>
      </c>
      <c r="BR318">
        <v>1.91</v>
      </c>
      <c r="BS318">
        <v>1.97</v>
      </c>
      <c r="BT318">
        <v>2</v>
      </c>
      <c r="BU318">
        <v>2.2000000000000002</v>
      </c>
      <c r="BV318">
        <v>3.6</v>
      </c>
      <c r="BW318">
        <v>3.1</v>
      </c>
      <c r="CA318">
        <v>2.38</v>
      </c>
      <c r="CB318">
        <v>3.4</v>
      </c>
      <c r="CC318">
        <v>3</v>
      </c>
      <c r="CD318">
        <v>2.29</v>
      </c>
      <c r="CE318">
        <v>3.63</v>
      </c>
      <c r="CF318">
        <v>3.16</v>
      </c>
      <c r="CJ318">
        <v>2.34</v>
      </c>
      <c r="CK318">
        <v>3.68</v>
      </c>
      <c r="CL318">
        <v>3.02</v>
      </c>
      <c r="CM318">
        <v>2.4300000000000002</v>
      </c>
      <c r="CN318">
        <v>3.78</v>
      </c>
      <c r="CO318">
        <v>3.33</v>
      </c>
      <c r="CP318">
        <v>2.2799999999999998</v>
      </c>
      <c r="CQ318">
        <v>3.56</v>
      </c>
      <c r="CR318">
        <v>3.1</v>
      </c>
      <c r="CS318">
        <v>2.34</v>
      </c>
      <c r="CT318">
        <v>3.65</v>
      </c>
      <c r="CU318">
        <v>3.3</v>
      </c>
      <c r="CV318">
        <v>1.8</v>
      </c>
      <c r="CW318">
        <v>2</v>
      </c>
      <c r="CX318">
        <v>1.82</v>
      </c>
      <c r="CY318">
        <v>2.0699999999999998</v>
      </c>
      <c r="CZ318">
        <v>1.9</v>
      </c>
      <c r="DA318">
        <v>2.1</v>
      </c>
      <c r="DB318">
        <v>1.81</v>
      </c>
      <c r="DC318">
        <v>2.0299999999999998</v>
      </c>
      <c r="DD318">
        <v>1.89</v>
      </c>
      <c r="DE318">
        <v>2.1</v>
      </c>
      <c r="DF318">
        <v>-0.25</v>
      </c>
      <c r="DG318">
        <v>2.0099999999999998</v>
      </c>
      <c r="DH318">
        <v>1.92</v>
      </c>
      <c r="DI318">
        <v>2</v>
      </c>
      <c r="DJ318">
        <v>1.93</v>
      </c>
      <c r="DK318">
        <v>2.02</v>
      </c>
      <c r="DL318">
        <v>1.94</v>
      </c>
      <c r="DM318">
        <v>1.98</v>
      </c>
      <c r="DN318">
        <v>1.89</v>
      </c>
      <c r="DO318">
        <v>2.0099999999999998</v>
      </c>
      <c r="DP318">
        <v>1.97</v>
      </c>
    </row>
    <row r="319" spans="1:120" x14ac:dyDescent="0.3">
      <c r="A319" t="s">
        <v>120</v>
      </c>
      <c r="B319" t="s">
        <v>221</v>
      </c>
      <c r="C319" s="1">
        <v>0.6875</v>
      </c>
      <c r="D319" t="s">
        <v>138</v>
      </c>
      <c r="E319" t="s">
        <v>122</v>
      </c>
      <c r="F319">
        <v>4</v>
      </c>
      <c r="G319">
        <v>1</v>
      </c>
      <c r="H319" t="s">
        <v>124</v>
      </c>
      <c r="I319">
        <v>1</v>
      </c>
      <c r="J319">
        <v>1</v>
      </c>
      <c r="K319" t="s">
        <v>125</v>
      </c>
      <c r="L319" t="s">
        <v>157</v>
      </c>
      <c r="M319">
        <v>13</v>
      </c>
      <c r="N319">
        <v>9</v>
      </c>
      <c r="O319">
        <v>6</v>
      </c>
      <c r="P319">
        <v>5</v>
      </c>
      <c r="Q319">
        <v>7</v>
      </c>
      <c r="R319">
        <v>9</v>
      </c>
      <c r="S319">
        <v>7</v>
      </c>
      <c r="T319">
        <v>2</v>
      </c>
      <c r="U319">
        <v>0</v>
      </c>
      <c r="V319">
        <v>2</v>
      </c>
      <c r="W319">
        <v>0</v>
      </c>
      <c r="X319">
        <v>0</v>
      </c>
      <c r="Y319">
        <v>1.65</v>
      </c>
      <c r="Z319">
        <v>4.2</v>
      </c>
      <c r="AA319">
        <v>4.75</v>
      </c>
      <c r="AE319">
        <v>1.67</v>
      </c>
      <c r="AF319">
        <v>4.0999999999999996</v>
      </c>
      <c r="AG319">
        <v>5</v>
      </c>
      <c r="AH319">
        <v>1.66</v>
      </c>
      <c r="AI319">
        <v>4.29</v>
      </c>
      <c r="AJ319">
        <v>4.97</v>
      </c>
      <c r="AN319">
        <v>1.69</v>
      </c>
      <c r="AO319">
        <v>4.28</v>
      </c>
      <c r="AP319">
        <v>4.99</v>
      </c>
      <c r="AQ319">
        <v>1.69</v>
      </c>
      <c r="AR319">
        <v>4.3499999999999996</v>
      </c>
      <c r="AS319">
        <v>5.3</v>
      </c>
      <c r="AT319">
        <v>1.65</v>
      </c>
      <c r="AU319">
        <v>4.21</v>
      </c>
      <c r="AV319">
        <v>4.7300000000000004</v>
      </c>
      <c r="AW319">
        <v>1.67</v>
      </c>
      <c r="AX319">
        <v>4.4000000000000004</v>
      </c>
      <c r="AY319">
        <v>5.5</v>
      </c>
      <c r="AZ319">
        <v>1.67</v>
      </c>
      <c r="BA319">
        <v>2.2000000000000002</v>
      </c>
      <c r="BB319">
        <v>1.67</v>
      </c>
      <c r="BC319">
        <v>2.2799999999999998</v>
      </c>
      <c r="BD319">
        <v>1.7</v>
      </c>
      <c r="BE319">
        <v>2.35</v>
      </c>
      <c r="BF319">
        <v>1.64</v>
      </c>
      <c r="BG319">
        <v>2.27</v>
      </c>
      <c r="BH319">
        <v>1.7</v>
      </c>
      <c r="BI319">
        <v>2.34</v>
      </c>
      <c r="BJ319">
        <v>-0.75</v>
      </c>
      <c r="BK319">
        <v>1.84</v>
      </c>
      <c r="BL319">
        <v>2.06</v>
      </c>
      <c r="BM319">
        <v>1.85</v>
      </c>
      <c r="BN319">
        <v>2.0699999999999998</v>
      </c>
      <c r="BO319">
        <v>1.85</v>
      </c>
      <c r="BP319">
        <v>2.0699999999999998</v>
      </c>
      <c r="BQ319">
        <v>1.81</v>
      </c>
      <c r="BR319">
        <v>2.0299999999999998</v>
      </c>
      <c r="BS319">
        <v>1.84</v>
      </c>
      <c r="BT319">
        <v>2.16</v>
      </c>
      <c r="BU319">
        <v>1.6</v>
      </c>
      <c r="BV319">
        <v>4.33</v>
      </c>
      <c r="BW319">
        <v>5.25</v>
      </c>
      <c r="CA319">
        <v>1.62</v>
      </c>
      <c r="CB319">
        <v>4.2</v>
      </c>
      <c r="CC319">
        <v>5</v>
      </c>
      <c r="CD319">
        <v>1.62</v>
      </c>
      <c r="CE319">
        <v>4.3499999999999996</v>
      </c>
      <c r="CF319">
        <v>5.45</v>
      </c>
      <c r="CJ319">
        <v>1.66</v>
      </c>
      <c r="CK319">
        <v>4.4000000000000004</v>
      </c>
      <c r="CL319">
        <v>5.03</v>
      </c>
      <c r="CM319">
        <v>1.66</v>
      </c>
      <c r="CN319">
        <v>4.45</v>
      </c>
      <c r="CO319">
        <v>5.54</v>
      </c>
      <c r="CP319">
        <v>1.61</v>
      </c>
      <c r="CQ319">
        <v>4.29</v>
      </c>
      <c r="CR319">
        <v>5.26</v>
      </c>
      <c r="CS319">
        <v>1.64</v>
      </c>
      <c r="CT319">
        <v>4.5</v>
      </c>
      <c r="CU319">
        <v>5.7</v>
      </c>
      <c r="CV319">
        <v>1.62</v>
      </c>
      <c r="CW319">
        <v>2.2999999999999998</v>
      </c>
      <c r="CX319">
        <v>1.65</v>
      </c>
      <c r="CY319">
        <v>2.35</v>
      </c>
      <c r="CZ319">
        <v>1.65</v>
      </c>
      <c r="DA319">
        <v>2.42</v>
      </c>
      <c r="DB319">
        <v>1.62</v>
      </c>
      <c r="DC319">
        <v>2.3199999999999998</v>
      </c>
      <c r="DD319">
        <v>1.67</v>
      </c>
      <c r="DE319">
        <v>2.46</v>
      </c>
      <c r="DF319">
        <v>-1</v>
      </c>
      <c r="DG319">
        <v>2.0499999999999998</v>
      </c>
      <c r="DH319">
        <v>1.88</v>
      </c>
      <c r="DI319">
        <v>2.0499999999999998</v>
      </c>
      <c r="DJ319">
        <v>1.88</v>
      </c>
      <c r="DK319">
        <v>2.1</v>
      </c>
      <c r="DL319">
        <v>1.95</v>
      </c>
      <c r="DM319">
        <v>2.02</v>
      </c>
      <c r="DN319">
        <v>1.85</v>
      </c>
      <c r="DO319">
        <v>2.09</v>
      </c>
      <c r="DP319">
        <v>1.9</v>
      </c>
    </row>
    <row r="320" spans="1:120" x14ac:dyDescent="0.3">
      <c r="A320" t="s">
        <v>120</v>
      </c>
      <c r="B320" t="s">
        <v>222</v>
      </c>
      <c r="C320" s="1">
        <v>0.83333333333333337</v>
      </c>
      <c r="D320" t="s">
        <v>142</v>
      </c>
      <c r="E320" t="s">
        <v>123</v>
      </c>
      <c r="F320">
        <v>1</v>
      </c>
      <c r="G320">
        <v>0</v>
      </c>
      <c r="H320" t="s">
        <v>124</v>
      </c>
      <c r="I320">
        <v>1</v>
      </c>
      <c r="J320">
        <v>0</v>
      </c>
      <c r="K320" t="s">
        <v>124</v>
      </c>
      <c r="L320" t="s">
        <v>223</v>
      </c>
      <c r="M320">
        <v>12</v>
      </c>
      <c r="N320">
        <v>12</v>
      </c>
      <c r="O320">
        <v>3</v>
      </c>
      <c r="P320">
        <v>7</v>
      </c>
      <c r="Q320">
        <v>11</v>
      </c>
      <c r="R320">
        <v>10</v>
      </c>
      <c r="S320">
        <v>6</v>
      </c>
      <c r="T320">
        <v>9</v>
      </c>
      <c r="U320">
        <v>3</v>
      </c>
      <c r="V320">
        <v>2</v>
      </c>
      <c r="W320">
        <v>0</v>
      </c>
      <c r="X320">
        <v>0</v>
      </c>
      <c r="Y320">
        <v>2.15</v>
      </c>
      <c r="Z320">
        <v>3.5</v>
      </c>
      <c r="AA320">
        <v>3.3</v>
      </c>
      <c r="AE320">
        <v>2.1</v>
      </c>
      <c r="AF320">
        <v>3.5</v>
      </c>
      <c r="AG320">
        <v>3.3</v>
      </c>
      <c r="AH320">
        <v>2.16</v>
      </c>
      <c r="AI320">
        <v>3.62</v>
      </c>
      <c r="AJ320">
        <v>3.39</v>
      </c>
      <c r="AN320">
        <v>2.1800000000000002</v>
      </c>
      <c r="AO320">
        <v>3.79</v>
      </c>
      <c r="AP320">
        <v>3.3</v>
      </c>
      <c r="AQ320">
        <v>2.1800000000000002</v>
      </c>
      <c r="AR320">
        <v>3.79</v>
      </c>
      <c r="AS320">
        <v>3.4</v>
      </c>
      <c r="AT320">
        <v>2.15</v>
      </c>
      <c r="AU320">
        <v>3.58</v>
      </c>
      <c r="AV320">
        <v>3.3</v>
      </c>
      <c r="AW320">
        <v>2.2000000000000002</v>
      </c>
      <c r="AX320">
        <v>3.65</v>
      </c>
      <c r="AY320">
        <v>3.55</v>
      </c>
      <c r="AZ320">
        <v>1.73</v>
      </c>
      <c r="BA320">
        <v>2.1</v>
      </c>
      <c r="BB320">
        <v>1.75</v>
      </c>
      <c r="BC320">
        <v>2.17</v>
      </c>
      <c r="BD320">
        <v>1.79</v>
      </c>
      <c r="BE320">
        <v>2.17</v>
      </c>
      <c r="BF320">
        <v>1.74</v>
      </c>
      <c r="BG320">
        <v>2.1</v>
      </c>
      <c r="BH320">
        <v>1.69</v>
      </c>
      <c r="BI320">
        <v>2.16</v>
      </c>
      <c r="BJ320">
        <v>-0.25</v>
      </c>
      <c r="BK320">
        <v>1.89</v>
      </c>
      <c r="BL320">
        <v>2.0099999999999998</v>
      </c>
      <c r="BM320">
        <v>1.88</v>
      </c>
      <c r="BN320">
        <v>2.0299999999999998</v>
      </c>
      <c r="BO320">
        <v>1.89</v>
      </c>
      <c r="BP320">
        <v>2.0299999999999998</v>
      </c>
      <c r="BQ320">
        <v>1.85</v>
      </c>
      <c r="BR320">
        <v>1.98</v>
      </c>
      <c r="BS320">
        <v>1.91</v>
      </c>
      <c r="BT320">
        <v>2.0699999999999998</v>
      </c>
      <c r="BU320">
        <v>2.2000000000000002</v>
      </c>
      <c r="BV320">
        <v>3.3</v>
      </c>
      <c r="BW320">
        <v>3.4</v>
      </c>
      <c r="CA320">
        <v>2.2000000000000002</v>
      </c>
      <c r="CB320">
        <v>3.4</v>
      </c>
      <c r="CC320">
        <v>3.3</v>
      </c>
      <c r="CD320">
        <v>2.2400000000000002</v>
      </c>
      <c r="CE320">
        <v>3.45</v>
      </c>
      <c r="CF320">
        <v>3.43</v>
      </c>
      <c r="CJ320">
        <v>2.36</v>
      </c>
      <c r="CK320">
        <v>3.4</v>
      </c>
      <c r="CL320">
        <v>3.21</v>
      </c>
      <c r="CM320">
        <v>2.36</v>
      </c>
      <c r="CN320">
        <v>3.5</v>
      </c>
      <c r="CO320">
        <v>3.43</v>
      </c>
      <c r="CP320">
        <v>2.2400000000000002</v>
      </c>
      <c r="CQ320">
        <v>3.41</v>
      </c>
      <c r="CR320">
        <v>3.3</v>
      </c>
      <c r="CS320">
        <v>2.2999999999999998</v>
      </c>
      <c r="CT320">
        <v>3.55</v>
      </c>
      <c r="CU320">
        <v>3.45</v>
      </c>
      <c r="CV320">
        <v>1.85</v>
      </c>
      <c r="CW320">
        <v>1.93</v>
      </c>
      <c r="CX320">
        <v>1.86</v>
      </c>
      <c r="CY320">
        <v>2.0499999999999998</v>
      </c>
      <c r="CZ320">
        <v>1.9</v>
      </c>
      <c r="DA320">
        <v>2.1</v>
      </c>
      <c r="DB320">
        <v>1.83</v>
      </c>
      <c r="DC320">
        <v>2.0099999999999998</v>
      </c>
      <c r="DD320">
        <v>1.94</v>
      </c>
      <c r="DE320">
        <v>2.04</v>
      </c>
      <c r="DF320">
        <v>-0.25</v>
      </c>
      <c r="DG320">
        <v>1.91</v>
      </c>
      <c r="DH320">
        <v>1.99</v>
      </c>
      <c r="DI320">
        <v>1.93</v>
      </c>
      <c r="DJ320">
        <v>1.99</v>
      </c>
      <c r="DK320">
        <v>2.0099999999999998</v>
      </c>
      <c r="DL320">
        <v>1.99</v>
      </c>
      <c r="DM320">
        <v>1.93</v>
      </c>
      <c r="DN320">
        <v>1.94</v>
      </c>
      <c r="DO320">
        <v>1.97</v>
      </c>
      <c r="DP320">
        <v>2</v>
      </c>
    </row>
    <row r="321" spans="1:120" x14ac:dyDescent="0.3">
      <c r="A321" t="s">
        <v>120</v>
      </c>
      <c r="B321" t="s">
        <v>224</v>
      </c>
      <c r="C321" s="1">
        <v>0.8125</v>
      </c>
      <c r="D321" t="s">
        <v>138</v>
      </c>
      <c r="E321" t="s">
        <v>149</v>
      </c>
      <c r="F321">
        <v>5</v>
      </c>
      <c r="G321">
        <v>0</v>
      </c>
      <c r="H321" t="s">
        <v>124</v>
      </c>
      <c r="I321">
        <v>4</v>
      </c>
      <c r="J321">
        <v>0</v>
      </c>
      <c r="K321" t="s">
        <v>124</v>
      </c>
      <c r="L321" t="s">
        <v>163</v>
      </c>
      <c r="M321">
        <v>14</v>
      </c>
      <c r="N321">
        <v>11</v>
      </c>
      <c r="O321">
        <v>7</v>
      </c>
      <c r="P321">
        <v>4</v>
      </c>
      <c r="Q321">
        <v>9</v>
      </c>
      <c r="R321">
        <v>15</v>
      </c>
      <c r="S321">
        <v>5</v>
      </c>
      <c r="T321">
        <v>4</v>
      </c>
      <c r="U321">
        <v>2</v>
      </c>
      <c r="V321">
        <v>3</v>
      </c>
      <c r="W321">
        <v>0</v>
      </c>
      <c r="X321">
        <v>0</v>
      </c>
      <c r="Y321">
        <v>1.67</v>
      </c>
      <c r="Z321">
        <v>3.9</v>
      </c>
      <c r="AA321">
        <v>5</v>
      </c>
      <c r="AE321">
        <v>1.7</v>
      </c>
      <c r="AF321">
        <v>3.9</v>
      </c>
      <c r="AG321">
        <v>5</v>
      </c>
      <c r="AH321">
        <v>1.72</v>
      </c>
      <c r="AI321">
        <v>4.01</v>
      </c>
      <c r="AJ321">
        <v>4.84</v>
      </c>
      <c r="AN321">
        <v>1.74</v>
      </c>
      <c r="AO321">
        <v>4.01</v>
      </c>
      <c r="AP321">
        <v>4.9400000000000004</v>
      </c>
      <c r="AQ321">
        <v>1.75</v>
      </c>
      <c r="AR321">
        <v>4.1500000000000004</v>
      </c>
      <c r="AS321">
        <v>5</v>
      </c>
      <c r="AT321">
        <v>1.71</v>
      </c>
      <c r="AU321">
        <v>3.96</v>
      </c>
      <c r="AV321">
        <v>4.75</v>
      </c>
      <c r="AW321">
        <v>1.75</v>
      </c>
      <c r="AX321">
        <v>4.0999999999999996</v>
      </c>
      <c r="AY321">
        <v>5.3</v>
      </c>
      <c r="AZ321">
        <v>1.73</v>
      </c>
      <c r="BA321">
        <v>2.1</v>
      </c>
      <c r="BB321">
        <v>1.71</v>
      </c>
      <c r="BC321">
        <v>2.2200000000000002</v>
      </c>
      <c r="BD321">
        <v>1.74</v>
      </c>
      <c r="BE321">
        <v>2.2200000000000002</v>
      </c>
      <c r="BF321">
        <v>1.69</v>
      </c>
      <c r="BG321">
        <v>2.1800000000000002</v>
      </c>
      <c r="BH321">
        <v>1.73</v>
      </c>
      <c r="BI321">
        <v>2.2999999999999998</v>
      </c>
      <c r="BJ321">
        <v>-0.75</v>
      </c>
      <c r="BK321">
        <v>1.92</v>
      </c>
      <c r="BL321">
        <v>1.98</v>
      </c>
      <c r="BM321">
        <v>1.93</v>
      </c>
      <c r="BN321">
        <v>1.97</v>
      </c>
      <c r="BO321">
        <v>1.93</v>
      </c>
      <c r="BP321">
        <v>2.0099999999999998</v>
      </c>
      <c r="BQ321">
        <v>1.89</v>
      </c>
      <c r="BR321">
        <v>1.94</v>
      </c>
      <c r="BS321">
        <v>1.94</v>
      </c>
      <c r="BT321">
        <v>2.0299999999999998</v>
      </c>
      <c r="BU321">
        <v>1.65</v>
      </c>
      <c r="BV321">
        <v>3.9</v>
      </c>
      <c r="BW321">
        <v>5</v>
      </c>
      <c r="CA321">
        <v>1.67</v>
      </c>
      <c r="CB321">
        <v>3.9</v>
      </c>
      <c r="CC321">
        <v>5</v>
      </c>
      <c r="CD321">
        <v>1.68</v>
      </c>
      <c r="CE321">
        <v>3.99</v>
      </c>
      <c r="CF321">
        <v>5.24</v>
      </c>
      <c r="CJ321">
        <v>1.68</v>
      </c>
      <c r="CK321">
        <v>4.0199999999999996</v>
      </c>
      <c r="CL321">
        <v>5.37</v>
      </c>
      <c r="CM321">
        <v>1.7</v>
      </c>
      <c r="CN321">
        <v>4.1500000000000004</v>
      </c>
      <c r="CO321">
        <v>5.37</v>
      </c>
      <c r="CP321">
        <v>1.67</v>
      </c>
      <c r="CQ321">
        <v>3.99</v>
      </c>
      <c r="CR321">
        <v>5.0999999999999996</v>
      </c>
      <c r="CS321">
        <v>1.71</v>
      </c>
      <c r="CT321">
        <v>4.0999999999999996</v>
      </c>
      <c r="CU321">
        <v>5.6</v>
      </c>
      <c r="CV321">
        <v>1.67</v>
      </c>
      <c r="CW321">
        <v>2.2000000000000002</v>
      </c>
      <c r="CX321">
        <v>1.71</v>
      </c>
      <c r="CY321">
        <v>2.23</v>
      </c>
      <c r="CZ321">
        <v>1.71</v>
      </c>
      <c r="DA321">
        <v>2.3199999999999998</v>
      </c>
      <c r="DB321">
        <v>1.67</v>
      </c>
      <c r="DC321">
        <v>2.23</v>
      </c>
      <c r="DD321">
        <v>1.75</v>
      </c>
      <c r="DE321">
        <v>2.3199999999999998</v>
      </c>
      <c r="DF321">
        <v>-0.75</v>
      </c>
      <c r="DG321">
        <v>1.86</v>
      </c>
      <c r="DH321">
        <v>2.04</v>
      </c>
      <c r="DI321">
        <v>1.89</v>
      </c>
      <c r="DJ321">
        <v>2.04</v>
      </c>
      <c r="DK321">
        <v>1.89</v>
      </c>
      <c r="DL321">
        <v>2.08</v>
      </c>
      <c r="DM321">
        <v>1.84</v>
      </c>
      <c r="DN321">
        <v>2.02</v>
      </c>
      <c r="DO321">
        <v>1.9</v>
      </c>
      <c r="DP321">
        <v>2.1</v>
      </c>
    </row>
    <row r="322" spans="1:120" x14ac:dyDescent="0.3">
      <c r="A322" t="s">
        <v>120</v>
      </c>
      <c r="B322" t="s">
        <v>225</v>
      </c>
      <c r="C322" s="1">
        <v>0.625</v>
      </c>
      <c r="D322" t="s">
        <v>148</v>
      </c>
      <c r="E322" t="s">
        <v>136</v>
      </c>
      <c r="F322">
        <v>4</v>
      </c>
      <c r="G322">
        <v>2</v>
      </c>
      <c r="H322" t="s">
        <v>124</v>
      </c>
      <c r="I322">
        <v>1</v>
      </c>
      <c r="J322">
        <v>1</v>
      </c>
      <c r="K322" t="s">
        <v>125</v>
      </c>
      <c r="L322" t="s">
        <v>131</v>
      </c>
      <c r="M322">
        <v>16</v>
      </c>
      <c r="N322">
        <v>12</v>
      </c>
      <c r="O322">
        <v>8</v>
      </c>
      <c r="P322">
        <v>3</v>
      </c>
      <c r="Q322">
        <v>7</v>
      </c>
      <c r="R322">
        <v>11</v>
      </c>
      <c r="S322">
        <v>4</v>
      </c>
      <c r="T322">
        <v>8</v>
      </c>
      <c r="U322">
        <v>3</v>
      </c>
      <c r="V322">
        <v>3</v>
      </c>
      <c r="W322">
        <v>0</v>
      </c>
      <c r="X322">
        <v>1</v>
      </c>
      <c r="Y322">
        <v>2.4</v>
      </c>
      <c r="Z322">
        <v>3.75</v>
      </c>
      <c r="AA322">
        <v>2.63</v>
      </c>
      <c r="AE322">
        <v>2.5</v>
      </c>
      <c r="AF322">
        <v>3.6</v>
      </c>
      <c r="AG322">
        <v>2.75</v>
      </c>
      <c r="AH322">
        <v>2.56</v>
      </c>
      <c r="AI322">
        <v>3.59</v>
      </c>
      <c r="AJ322">
        <v>2.75</v>
      </c>
      <c r="AN322">
        <v>2.52</v>
      </c>
      <c r="AO322">
        <v>3.85</v>
      </c>
      <c r="AP322">
        <v>2.71</v>
      </c>
      <c r="AQ322">
        <v>2.56</v>
      </c>
      <c r="AR322">
        <v>3.85</v>
      </c>
      <c r="AS322">
        <v>2.75</v>
      </c>
      <c r="AT322">
        <v>2.5</v>
      </c>
      <c r="AU322">
        <v>3.61</v>
      </c>
      <c r="AV322">
        <v>2.7</v>
      </c>
      <c r="AW322">
        <v>2.6</v>
      </c>
      <c r="AX322">
        <v>3.75</v>
      </c>
      <c r="AY322">
        <v>2.84</v>
      </c>
      <c r="AZ322">
        <v>1.57</v>
      </c>
      <c r="BA322">
        <v>2.38</v>
      </c>
      <c r="BB322">
        <v>1.62</v>
      </c>
      <c r="BC322">
        <v>2.38</v>
      </c>
      <c r="BD322">
        <v>1.63</v>
      </c>
      <c r="BE322">
        <v>2.42</v>
      </c>
      <c r="BF322">
        <v>1.59</v>
      </c>
      <c r="BG322">
        <v>2.37</v>
      </c>
      <c r="BH322">
        <v>1.65</v>
      </c>
      <c r="BI322">
        <v>2.44</v>
      </c>
      <c r="BJ322">
        <v>0</v>
      </c>
      <c r="BK322">
        <v>1.85</v>
      </c>
      <c r="BL322">
        <v>2.0499999999999998</v>
      </c>
      <c r="BM322">
        <v>1.88</v>
      </c>
      <c r="BN322">
        <v>2.02</v>
      </c>
      <c r="BO322">
        <v>1.89</v>
      </c>
      <c r="BP322">
        <v>2.0499999999999998</v>
      </c>
      <c r="BQ322">
        <v>1.85</v>
      </c>
      <c r="BR322">
        <v>2.0099999999999998</v>
      </c>
      <c r="BS322">
        <v>1.91</v>
      </c>
      <c r="BT322">
        <v>2.08</v>
      </c>
      <c r="BU322">
        <v>2.6</v>
      </c>
      <c r="BV322">
        <v>3.5</v>
      </c>
      <c r="BW322">
        <v>2.5499999999999998</v>
      </c>
      <c r="CA322">
        <v>2.5499999999999998</v>
      </c>
      <c r="CB322">
        <v>3.5</v>
      </c>
      <c r="CC322">
        <v>2.5499999999999998</v>
      </c>
      <c r="CD322">
        <v>2.7</v>
      </c>
      <c r="CE322">
        <v>3.66</v>
      </c>
      <c r="CF322">
        <v>2.6</v>
      </c>
      <c r="CJ322">
        <v>2.58</v>
      </c>
      <c r="CK322">
        <v>3.61</v>
      </c>
      <c r="CL322">
        <v>2.74</v>
      </c>
      <c r="CM322">
        <v>2.75</v>
      </c>
      <c r="CN322">
        <v>3.7</v>
      </c>
      <c r="CO322">
        <v>2.74</v>
      </c>
      <c r="CP322">
        <v>2.64</v>
      </c>
      <c r="CQ322">
        <v>3.58</v>
      </c>
      <c r="CR322">
        <v>2.59</v>
      </c>
      <c r="CS322">
        <v>2.78</v>
      </c>
      <c r="CT322">
        <v>3.7</v>
      </c>
      <c r="CU322">
        <v>2.7</v>
      </c>
      <c r="CV322">
        <v>1.57</v>
      </c>
      <c r="CW322">
        <v>2.38</v>
      </c>
      <c r="CX322">
        <v>1.63</v>
      </c>
      <c r="CY322">
        <v>2.4</v>
      </c>
      <c r="CZ322">
        <v>1.63</v>
      </c>
      <c r="DA322">
        <v>2.4700000000000002</v>
      </c>
      <c r="DB322">
        <v>1.6</v>
      </c>
      <c r="DC322">
        <v>2.37</v>
      </c>
      <c r="DD322">
        <v>1.65</v>
      </c>
      <c r="DE322">
        <v>2.52</v>
      </c>
      <c r="DF322">
        <v>0</v>
      </c>
      <c r="DG322">
        <v>2.0099999999999998</v>
      </c>
      <c r="DH322">
        <v>1.92</v>
      </c>
      <c r="DI322">
        <v>2</v>
      </c>
      <c r="DJ322">
        <v>1.93</v>
      </c>
      <c r="DK322">
        <v>2.02</v>
      </c>
      <c r="DL322">
        <v>1.95</v>
      </c>
      <c r="DM322">
        <v>1.96</v>
      </c>
      <c r="DN322">
        <v>1.92</v>
      </c>
      <c r="DO322">
        <v>2.0099999999999998</v>
      </c>
      <c r="DP322">
        <v>1.97</v>
      </c>
    </row>
    <row r="323" spans="1:120" x14ac:dyDescent="0.3">
      <c r="A323" t="s">
        <v>120</v>
      </c>
      <c r="B323" t="s">
        <v>225</v>
      </c>
      <c r="C323" s="1">
        <v>0.625</v>
      </c>
      <c r="D323" t="s">
        <v>149</v>
      </c>
      <c r="E323" t="s">
        <v>142</v>
      </c>
      <c r="F323">
        <v>0</v>
      </c>
      <c r="G323">
        <v>0</v>
      </c>
      <c r="H323" t="s">
        <v>125</v>
      </c>
      <c r="I323">
        <v>0</v>
      </c>
      <c r="J323">
        <v>0</v>
      </c>
      <c r="K323" t="s">
        <v>125</v>
      </c>
      <c r="L323" t="s">
        <v>150</v>
      </c>
      <c r="M323">
        <v>5</v>
      </c>
      <c r="N323">
        <v>15</v>
      </c>
      <c r="O323">
        <v>0</v>
      </c>
      <c r="P323">
        <v>4</v>
      </c>
      <c r="Q323">
        <v>13</v>
      </c>
      <c r="R323">
        <v>10</v>
      </c>
      <c r="S323">
        <v>5</v>
      </c>
      <c r="T323">
        <v>4</v>
      </c>
      <c r="U323">
        <v>3</v>
      </c>
      <c r="V323">
        <v>4</v>
      </c>
      <c r="W323">
        <v>1</v>
      </c>
      <c r="X323">
        <v>0</v>
      </c>
      <c r="Y323">
        <v>2.4500000000000002</v>
      </c>
      <c r="Z323">
        <v>3.6</v>
      </c>
      <c r="AA323">
        <v>2.63</v>
      </c>
      <c r="AE323">
        <v>2.5499999999999998</v>
      </c>
      <c r="AF323">
        <v>3.5</v>
      </c>
      <c r="AG323">
        <v>2.7</v>
      </c>
      <c r="AH323">
        <v>2.59</v>
      </c>
      <c r="AI323">
        <v>3.61</v>
      </c>
      <c r="AJ323">
        <v>2.71</v>
      </c>
      <c r="AN323">
        <v>2.59</v>
      </c>
      <c r="AO323">
        <v>3.57</v>
      </c>
      <c r="AP323">
        <v>2.78</v>
      </c>
      <c r="AQ323">
        <v>2.6</v>
      </c>
      <c r="AR323">
        <v>3.65</v>
      </c>
      <c r="AS323">
        <v>2.78</v>
      </c>
      <c r="AT323">
        <v>2.54</v>
      </c>
      <c r="AU323">
        <v>3.54</v>
      </c>
      <c r="AV323">
        <v>2.69</v>
      </c>
      <c r="AW323">
        <v>2.66</v>
      </c>
      <c r="AX323">
        <v>3.6</v>
      </c>
      <c r="AY323">
        <v>2.82</v>
      </c>
      <c r="AZ323">
        <v>1.8</v>
      </c>
      <c r="BA323">
        <v>2</v>
      </c>
      <c r="BB323">
        <v>1.81</v>
      </c>
      <c r="BC323">
        <v>2.09</v>
      </c>
      <c r="BD323">
        <v>1.82</v>
      </c>
      <c r="BE323">
        <v>2.1</v>
      </c>
      <c r="BF323">
        <v>1.78</v>
      </c>
      <c r="BG323">
        <v>2.04</v>
      </c>
      <c r="BH323">
        <v>1.84</v>
      </c>
      <c r="BI323">
        <v>2.14</v>
      </c>
      <c r="BJ323">
        <v>0</v>
      </c>
      <c r="BK323">
        <v>1.88</v>
      </c>
      <c r="BL323">
        <v>2.02</v>
      </c>
      <c r="BM323">
        <v>1.91</v>
      </c>
      <c r="BN323">
        <v>2</v>
      </c>
      <c r="BO323">
        <v>1.91</v>
      </c>
      <c r="BP323">
        <v>2.02</v>
      </c>
      <c r="BQ323">
        <v>1.86</v>
      </c>
      <c r="BR323">
        <v>2</v>
      </c>
      <c r="BS323">
        <v>1.93</v>
      </c>
      <c r="BT323">
        <v>2.04</v>
      </c>
      <c r="BU323">
        <v>2.5</v>
      </c>
      <c r="BV323">
        <v>3.5</v>
      </c>
      <c r="BW323">
        <v>2.7</v>
      </c>
      <c r="CA323">
        <v>2.5499999999999998</v>
      </c>
      <c r="CB323">
        <v>3.4</v>
      </c>
      <c r="CC323">
        <v>2.63</v>
      </c>
      <c r="CD323">
        <v>2.59</v>
      </c>
      <c r="CE323">
        <v>3.54</v>
      </c>
      <c r="CF323">
        <v>2.79</v>
      </c>
      <c r="CJ323">
        <v>2.56</v>
      </c>
      <c r="CK323">
        <v>3.58</v>
      </c>
      <c r="CL323">
        <v>2.77</v>
      </c>
      <c r="CM323">
        <v>2.66</v>
      </c>
      <c r="CN323">
        <v>3.58</v>
      </c>
      <c r="CO323">
        <v>2.79</v>
      </c>
      <c r="CP323">
        <v>2.57</v>
      </c>
      <c r="CQ323">
        <v>3.49</v>
      </c>
      <c r="CR323">
        <v>2.72</v>
      </c>
      <c r="CS323">
        <v>2.66</v>
      </c>
      <c r="CT323">
        <v>3.6</v>
      </c>
      <c r="CU323">
        <v>2.86</v>
      </c>
      <c r="CV323">
        <v>1.73</v>
      </c>
      <c r="CW323">
        <v>2.1</v>
      </c>
      <c r="CX323">
        <v>1.79</v>
      </c>
      <c r="CY323">
        <v>2.13</v>
      </c>
      <c r="CZ323">
        <v>1.8</v>
      </c>
      <c r="DA323">
        <v>2.21</v>
      </c>
      <c r="DB323">
        <v>1.75</v>
      </c>
      <c r="DC323">
        <v>2.11</v>
      </c>
      <c r="DD323">
        <v>1.82</v>
      </c>
      <c r="DE323">
        <v>2.2000000000000002</v>
      </c>
      <c r="DF323">
        <v>0</v>
      </c>
      <c r="DG323">
        <v>1.87</v>
      </c>
      <c r="DH323">
        <v>2.06</v>
      </c>
      <c r="DI323">
        <v>1.89</v>
      </c>
      <c r="DJ323">
        <v>2.04</v>
      </c>
      <c r="DK323">
        <v>1.89</v>
      </c>
      <c r="DL323">
        <v>2.06</v>
      </c>
      <c r="DM323">
        <v>1.87</v>
      </c>
      <c r="DN323">
        <v>2.0099999999999998</v>
      </c>
      <c r="DO323">
        <v>1.93</v>
      </c>
      <c r="DP323">
        <v>2.06</v>
      </c>
    </row>
    <row r="324" spans="1:120" x14ac:dyDescent="0.3">
      <c r="A324" t="s">
        <v>120</v>
      </c>
      <c r="B324" t="s">
        <v>225</v>
      </c>
      <c r="C324" s="1">
        <v>0.625</v>
      </c>
      <c r="D324" t="s">
        <v>135</v>
      </c>
      <c r="E324" t="s">
        <v>152</v>
      </c>
      <c r="F324">
        <v>0</v>
      </c>
      <c r="G324">
        <v>2</v>
      </c>
      <c r="H324" t="s">
        <v>130</v>
      </c>
      <c r="I324">
        <v>0</v>
      </c>
      <c r="J324">
        <v>0</v>
      </c>
      <c r="K324" t="s">
        <v>125</v>
      </c>
      <c r="L324" t="s">
        <v>137</v>
      </c>
      <c r="M324">
        <v>8</v>
      </c>
      <c r="N324">
        <v>12</v>
      </c>
      <c r="O324">
        <v>3</v>
      </c>
      <c r="P324">
        <v>7</v>
      </c>
      <c r="Q324">
        <v>7</v>
      </c>
      <c r="R324">
        <v>6</v>
      </c>
      <c r="S324">
        <v>2</v>
      </c>
      <c r="T324">
        <v>5</v>
      </c>
      <c r="U324">
        <v>4</v>
      </c>
      <c r="V324">
        <v>0</v>
      </c>
      <c r="W324">
        <v>0</v>
      </c>
      <c r="X324">
        <v>0</v>
      </c>
      <c r="Y324">
        <v>3.7</v>
      </c>
      <c r="Z324">
        <v>3.6</v>
      </c>
      <c r="AA324">
        <v>1.91</v>
      </c>
      <c r="AE324">
        <v>4</v>
      </c>
      <c r="AF324">
        <v>3.6</v>
      </c>
      <c r="AG324">
        <v>1.95</v>
      </c>
      <c r="AH324">
        <v>3.79</v>
      </c>
      <c r="AI324">
        <v>3.74</v>
      </c>
      <c r="AJ324">
        <v>1.99</v>
      </c>
      <c r="AN324">
        <v>3.94</v>
      </c>
      <c r="AO324">
        <v>3.72</v>
      </c>
      <c r="AP324">
        <v>1.99</v>
      </c>
      <c r="AQ324">
        <v>4</v>
      </c>
      <c r="AR324">
        <v>3.75</v>
      </c>
      <c r="AS324">
        <v>2</v>
      </c>
      <c r="AT324">
        <v>3.8</v>
      </c>
      <c r="AU324">
        <v>3.65</v>
      </c>
      <c r="AV324">
        <v>1.96</v>
      </c>
      <c r="AW324">
        <v>4.0999999999999996</v>
      </c>
      <c r="AX324">
        <v>3.75</v>
      </c>
      <c r="AY324">
        <v>2.02</v>
      </c>
      <c r="AZ324">
        <v>1.86</v>
      </c>
      <c r="BA324">
        <v>2.04</v>
      </c>
      <c r="BB324">
        <v>1.86</v>
      </c>
      <c r="BC324">
        <v>2.04</v>
      </c>
      <c r="BD324">
        <v>1.87</v>
      </c>
      <c r="BE324">
        <v>2.04</v>
      </c>
      <c r="BF324">
        <v>1.83</v>
      </c>
      <c r="BG324">
        <v>2</v>
      </c>
      <c r="BH324">
        <v>1.89</v>
      </c>
      <c r="BI324">
        <v>2.1</v>
      </c>
      <c r="BJ324">
        <v>0.5</v>
      </c>
      <c r="BK324">
        <v>1.93</v>
      </c>
      <c r="BL324">
        <v>1.97</v>
      </c>
      <c r="BM324">
        <v>1.91</v>
      </c>
      <c r="BN324">
        <v>2</v>
      </c>
      <c r="BO324">
        <v>1.97</v>
      </c>
      <c r="BP324">
        <v>2</v>
      </c>
      <c r="BQ324">
        <v>1.88</v>
      </c>
      <c r="BR324">
        <v>1.95</v>
      </c>
      <c r="BS324">
        <v>1.96</v>
      </c>
      <c r="BT324">
        <v>2.02</v>
      </c>
      <c r="BU324">
        <v>4</v>
      </c>
      <c r="BV324">
        <v>3.6</v>
      </c>
      <c r="BW324">
        <v>1.9</v>
      </c>
      <c r="CA324">
        <v>4.0999999999999996</v>
      </c>
      <c r="CB324">
        <v>3.5</v>
      </c>
      <c r="CC324">
        <v>1.87</v>
      </c>
      <c r="CD324">
        <v>4.13</v>
      </c>
      <c r="CE324">
        <v>3.73</v>
      </c>
      <c r="CF324">
        <v>1.93</v>
      </c>
      <c r="CJ324">
        <v>4.3</v>
      </c>
      <c r="CK324">
        <v>3.68</v>
      </c>
      <c r="CL324">
        <v>1.9</v>
      </c>
      <c r="CM324">
        <v>4.3</v>
      </c>
      <c r="CN324">
        <v>3.75</v>
      </c>
      <c r="CO324">
        <v>1.97</v>
      </c>
      <c r="CP324">
        <v>4.0599999999999996</v>
      </c>
      <c r="CQ324">
        <v>3.64</v>
      </c>
      <c r="CR324">
        <v>1.91</v>
      </c>
      <c r="CS324">
        <v>4.4000000000000004</v>
      </c>
      <c r="CT324">
        <v>3.75</v>
      </c>
      <c r="CU324">
        <v>1.96</v>
      </c>
      <c r="CV324">
        <v>1.86</v>
      </c>
      <c r="CW324">
        <v>2.04</v>
      </c>
      <c r="CX324">
        <v>1.85</v>
      </c>
      <c r="CY324">
        <v>2.06</v>
      </c>
      <c r="CZ324">
        <v>2</v>
      </c>
      <c r="DA324">
        <v>2.06</v>
      </c>
      <c r="DB324">
        <v>1.87</v>
      </c>
      <c r="DC324">
        <v>1.97</v>
      </c>
      <c r="DD324">
        <v>1.91</v>
      </c>
      <c r="DE324">
        <v>2.08</v>
      </c>
      <c r="DF324">
        <v>0.5</v>
      </c>
      <c r="DG324">
        <v>1.98</v>
      </c>
      <c r="DH324">
        <v>1.95</v>
      </c>
      <c r="DI324">
        <v>1.99</v>
      </c>
      <c r="DJ324">
        <v>1.93</v>
      </c>
      <c r="DK324">
        <v>1.99</v>
      </c>
      <c r="DL324">
        <v>1.97</v>
      </c>
      <c r="DM324">
        <v>1.94</v>
      </c>
      <c r="DN324">
        <v>1.91</v>
      </c>
      <c r="DO324">
        <v>2.0299999999999998</v>
      </c>
      <c r="DP324">
        <v>1.96</v>
      </c>
    </row>
    <row r="325" spans="1:120" x14ac:dyDescent="0.3">
      <c r="A325" t="s">
        <v>120</v>
      </c>
      <c r="B325" t="s">
        <v>225</v>
      </c>
      <c r="C325" s="1">
        <v>0.625</v>
      </c>
      <c r="D325" t="s">
        <v>144</v>
      </c>
      <c r="E325" t="s">
        <v>139</v>
      </c>
      <c r="F325">
        <v>1</v>
      </c>
      <c r="G325">
        <v>1</v>
      </c>
      <c r="H325" t="s">
        <v>125</v>
      </c>
      <c r="I325">
        <v>0</v>
      </c>
      <c r="J325">
        <v>0</v>
      </c>
      <c r="K325" t="s">
        <v>125</v>
      </c>
      <c r="L325" t="s">
        <v>226</v>
      </c>
      <c r="M325">
        <v>12</v>
      </c>
      <c r="N325">
        <v>15</v>
      </c>
      <c r="O325">
        <v>4</v>
      </c>
      <c r="P325">
        <v>4</v>
      </c>
      <c r="Q325">
        <v>14</v>
      </c>
      <c r="R325">
        <v>13</v>
      </c>
      <c r="S325">
        <v>2</v>
      </c>
      <c r="T325">
        <v>5</v>
      </c>
      <c r="U325">
        <v>2</v>
      </c>
      <c r="V325">
        <v>1</v>
      </c>
      <c r="W325">
        <v>0</v>
      </c>
      <c r="X325">
        <v>0</v>
      </c>
      <c r="Y325">
        <v>1.48</v>
      </c>
      <c r="Z325">
        <v>4.33</v>
      </c>
      <c r="AA325">
        <v>6.5</v>
      </c>
      <c r="AE325">
        <v>1.5</v>
      </c>
      <c r="AF325">
        <v>4.4000000000000004</v>
      </c>
      <c r="AG325">
        <v>6.5</v>
      </c>
      <c r="AH325">
        <v>1.5</v>
      </c>
      <c r="AI325">
        <v>4.6100000000000003</v>
      </c>
      <c r="AJ325">
        <v>6.49</v>
      </c>
      <c r="AN325">
        <v>1.52</v>
      </c>
      <c r="AO325">
        <v>4.58</v>
      </c>
      <c r="AP325">
        <v>6.72</v>
      </c>
      <c r="AQ325">
        <v>1.52</v>
      </c>
      <c r="AR325">
        <v>4.6500000000000004</v>
      </c>
      <c r="AS325">
        <v>6.72</v>
      </c>
      <c r="AT325">
        <v>1.49</v>
      </c>
      <c r="AU325">
        <v>4.49</v>
      </c>
      <c r="AV325">
        <v>6.44</v>
      </c>
      <c r="AW325">
        <v>1.55</v>
      </c>
      <c r="AX325">
        <v>4.5999999999999996</v>
      </c>
      <c r="AY325">
        <v>7</v>
      </c>
      <c r="AZ325">
        <v>1.73</v>
      </c>
      <c r="BA325">
        <v>2.1</v>
      </c>
      <c r="BB325">
        <v>1.7</v>
      </c>
      <c r="BC325">
        <v>2.23</v>
      </c>
      <c r="BD325">
        <v>1.75</v>
      </c>
      <c r="BE325">
        <v>2.25</v>
      </c>
      <c r="BF325">
        <v>1.68</v>
      </c>
      <c r="BG325">
        <v>2.19</v>
      </c>
      <c r="BH325">
        <v>1.75</v>
      </c>
      <c r="BI325">
        <v>2.2400000000000002</v>
      </c>
      <c r="BJ325">
        <v>-1</v>
      </c>
      <c r="BK325">
        <v>1.82</v>
      </c>
      <c r="BL325">
        <v>2.08</v>
      </c>
      <c r="BM325">
        <v>1.83</v>
      </c>
      <c r="BN325">
        <v>2.1</v>
      </c>
      <c r="BO325">
        <v>1.83</v>
      </c>
      <c r="BP325">
        <v>2.1</v>
      </c>
      <c r="BQ325">
        <v>1.79</v>
      </c>
      <c r="BR325">
        <v>2.06</v>
      </c>
      <c r="BS325">
        <v>1.84</v>
      </c>
      <c r="BT325">
        <v>2.0499999999999998</v>
      </c>
      <c r="BU325">
        <v>1.62</v>
      </c>
      <c r="BV325">
        <v>4.2</v>
      </c>
      <c r="BW325">
        <v>5</v>
      </c>
      <c r="CA325">
        <v>1.57</v>
      </c>
      <c r="CB325">
        <v>4.2</v>
      </c>
      <c r="CC325">
        <v>5.5</v>
      </c>
      <c r="CD325">
        <v>1.64</v>
      </c>
      <c r="CE325">
        <v>4.3</v>
      </c>
      <c r="CF325">
        <v>5.25</v>
      </c>
      <c r="CJ325">
        <v>1.59</v>
      </c>
      <c r="CK325">
        <v>4.45</v>
      </c>
      <c r="CL325">
        <v>5.61</v>
      </c>
      <c r="CM325">
        <v>1.64</v>
      </c>
      <c r="CN325">
        <v>4.45</v>
      </c>
      <c r="CO325">
        <v>5.7</v>
      </c>
      <c r="CP325">
        <v>1.6</v>
      </c>
      <c r="CQ325">
        <v>4.3</v>
      </c>
      <c r="CR325">
        <v>5.37</v>
      </c>
      <c r="CS325">
        <v>1.64</v>
      </c>
      <c r="CT325">
        <v>4.5</v>
      </c>
      <c r="CU325">
        <v>5.9</v>
      </c>
      <c r="CV325">
        <v>1.57</v>
      </c>
      <c r="CW325">
        <v>2.38</v>
      </c>
      <c r="CX325">
        <v>1.62</v>
      </c>
      <c r="CY325">
        <v>2.4</v>
      </c>
      <c r="CZ325">
        <v>1.63</v>
      </c>
      <c r="DA325">
        <v>2.42</v>
      </c>
      <c r="DB325">
        <v>1.6</v>
      </c>
      <c r="DC325">
        <v>2.36</v>
      </c>
      <c r="DD325">
        <v>1.67</v>
      </c>
      <c r="DE325">
        <v>2.48</v>
      </c>
      <c r="DF325">
        <v>-1</v>
      </c>
      <c r="DG325">
        <v>2.09</v>
      </c>
      <c r="DH325">
        <v>1.84</v>
      </c>
      <c r="DI325">
        <v>2.08</v>
      </c>
      <c r="DJ325">
        <v>1.85</v>
      </c>
      <c r="DK325">
        <v>2.09</v>
      </c>
      <c r="DL325">
        <v>1.96</v>
      </c>
      <c r="DM325">
        <v>1.99</v>
      </c>
      <c r="DN325">
        <v>1.87</v>
      </c>
      <c r="DO325">
        <v>2.08</v>
      </c>
      <c r="DP325">
        <v>1.88</v>
      </c>
    </row>
    <row r="326" spans="1:120" x14ac:dyDescent="0.3">
      <c r="A326" t="s">
        <v>120</v>
      </c>
      <c r="B326" t="s">
        <v>225</v>
      </c>
      <c r="C326" s="1">
        <v>0.72916666666666663</v>
      </c>
      <c r="D326" t="s">
        <v>145</v>
      </c>
      <c r="E326" t="s">
        <v>138</v>
      </c>
      <c r="F326">
        <v>4</v>
      </c>
      <c r="G326">
        <v>1</v>
      </c>
      <c r="H326" t="s">
        <v>124</v>
      </c>
      <c r="I326">
        <v>1</v>
      </c>
      <c r="J326">
        <v>1</v>
      </c>
      <c r="K326" t="s">
        <v>125</v>
      </c>
      <c r="L326" t="s">
        <v>134</v>
      </c>
      <c r="M326">
        <v>23</v>
      </c>
      <c r="N326">
        <v>10</v>
      </c>
      <c r="O326">
        <v>9</v>
      </c>
      <c r="P326">
        <v>3</v>
      </c>
      <c r="Q326">
        <v>9</v>
      </c>
      <c r="R326">
        <v>12</v>
      </c>
      <c r="S326">
        <v>7</v>
      </c>
      <c r="T326">
        <v>7</v>
      </c>
      <c r="U326">
        <v>1</v>
      </c>
      <c r="V326">
        <v>3</v>
      </c>
      <c r="W326">
        <v>0</v>
      </c>
      <c r="X326">
        <v>0</v>
      </c>
      <c r="Y326">
        <v>2.2999999999999998</v>
      </c>
      <c r="Z326">
        <v>3.6</v>
      </c>
      <c r="AA326">
        <v>2.75</v>
      </c>
      <c r="AE326">
        <v>2.4</v>
      </c>
      <c r="AF326">
        <v>3.5</v>
      </c>
      <c r="AG326">
        <v>2.88</v>
      </c>
      <c r="AH326">
        <v>2.38</v>
      </c>
      <c r="AI326">
        <v>3.7</v>
      </c>
      <c r="AJ326">
        <v>2.92</v>
      </c>
      <c r="AN326">
        <v>2.42</v>
      </c>
      <c r="AO326">
        <v>3.69</v>
      </c>
      <c r="AP326">
        <v>2.93</v>
      </c>
      <c r="AQ326">
        <v>2.42</v>
      </c>
      <c r="AR326">
        <v>3.75</v>
      </c>
      <c r="AS326">
        <v>2.95</v>
      </c>
      <c r="AT326">
        <v>2.36</v>
      </c>
      <c r="AU326">
        <v>3.63</v>
      </c>
      <c r="AV326">
        <v>2.85</v>
      </c>
      <c r="AW326">
        <v>2.46</v>
      </c>
      <c r="AX326">
        <v>3.7</v>
      </c>
      <c r="AY326">
        <v>3</v>
      </c>
      <c r="AZ326">
        <v>1.62</v>
      </c>
      <c r="BA326">
        <v>2.2999999999999998</v>
      </c>
      <c r="BB326">
        <v>1.66</v>
      </c>
      <c r="BC326">
        <v>2.31</v>
      </c>
      <c r="BD326">
        <v>1.69</v>
      </c>
      <c r="BE326">
        <v>2.35</v>
      </c>
      <c r="BF326">
        <v>1.63</v>
      </c>
      <c r="BG326">
        <v>2.2799999999999998</v>
      </c>
      <c r="BH326">
        <v>1.7</v>
      </c>
      <c r="BI326">
        <v>2.38</v>
      </c>
      <c r="BJ326">
        <v>-0.25</v>
      </c>
      <c r="BK326">
        <v>2.0699999999999998</v>
      </c>
      <c r="BL326">
        <v>1.83</v>
      </c>
      <c r="BM326">
        <v>2.08</v>
      </c>
      <c r="BN326">
        <v>1.84</v>
      </c>
      <c r="BO326">
        <v>2.08</v>
      </c>
      <c r="BP326">
        <v>1.84</v>
      </c>
      <c r="BQ326">
        <v>2.0299999999999998</v>
      </c>
      <c r="BR326">
        <v>1.81</v>
      </c>
      <c r="BS326">
        <v>2.13</v>
      </c>
      <c r="BT326">
        <v>1.85</v>
      </c>
      <c r="BU326">
        <v>2.5499999999999998</v>
      </c>
      <c r="BV326">
        <v>3.7</v>
      </c>
      <c r="BW326">
        <v>2.6</v>
      </c>
      <c r="CA326">
        <v>2.4500000000000002</v>
      </c>
      <c r="CB326">
        <v>3.5</v>
      </c>
      <c r="CC326">
        <v>2.7</v>
      </c>
      <c r="CD326">
        <v>2.5499999999999998</v>
      </c>
      <c r="CE326">
        <v>3.65</v>
      </c>
      <c r="CF326">
        <v>2.71</v>
      </c>
      <c r="CJ326">
        <v>2.68</v>
      </c>
      <c r="CK326">
        <v>3.77</v>
      </c>
      <c r="CL326">
        <v>2.5499999999999998</v>
      </c>
      <c r="CM326">
        <v>2.68</v>
      </c>
      <c r="CN326">
        <v>3.77</v>
      </c>
      <c r="CO326">
        <v>2.8</v>
      </c>
      <c r="CP326">
        <v>2.54</v>
      </c>
      <c r="CQ326">
        <v>3.6</v>
      </c>
      <c r="CR326">
        <v>2.69</v>
      </c>
      <c r="CS326">
        <v>2.62</v>
      </c>
      <c r="CT326">
        <v>3.7</v>
      </c>
      <c r="CU326">
        <v>2.84</v>
      </c>
      <c r="CV326">
        <v>1.62</v>
      </c>
      <c r="CW326">
        <v>2.2999999999999998</v>
      </c>
      <c r="CX326">
        <v>1.65</v>
      </c>
      <c r="CY326">
        <v>2.35</v>
      </c>
      <c r="CZ326">
        <v>1.65</v>
      </c>
      <c r="DA326">
        <v>2.4500000000000002</v>
      </c>
      <c r="DB326">
        <v>1.61</v>
      </c>
      <c r="DC326">
        <v>2.33</v>
      </c>
      <c r="DD326">
        <v>1.7</v>
      </c>
      <c r="DE326">
        <v>2.4</v>
      </c>
      <c r="DF326">
        <v>0</v>
      </c>
      <c r="DG326">
        <v>1.93</v>
      </c>
      <c r="DH326">
        <v>2</v>
      </c>
      <c r="DI326">
        <v>1.93</v>
      </c>
      <c r="DJ326">
        <v>2</v>
      </c>
      <c r="DK326">
        <v>1.93</v>
      </c>
      <c r="DL326">
        <v>2.0699999999999998</v>
      </c>
      <c r="DM326">
        <v>1.89</v>
      </c>
      <c r="DN326">
        <v>2</v>
      </c>
      <c r="DO326">
        <v>1.91</v>
      </c>
      <c r="DP326">
        <v>2.08</v>
      </c>
    </row>
    <row r="327" spans="1:120" x14ac:dyDescent="0.3">
      <c r="A327" t="s">
        <v>120</v>
      </c>
      <c r="B327" t="s">
        <v>227</v>
      </c>
      <c r="C327" s="1">
        <v>0.58333333333333337</v>
      </c>
      <c r="D327" t="s">
        <v>123</v>
      </c>
      <c r="E327" t="s">
        <v>151</v>
      </c>
      <c r="F327">
        <v>1</v>
      </c>
      <c r="G327">
        <v>2</v>
      </c>
      <c r="H327" t="s">
        <v>130</v>
      </c>
      <c r="I327">
        <v>1</v>
      </c>
      <c r="J327">
        <v>0</v>
      </c>
      <c r="K327" t="s">
        <v>124</v>
      </c>
      <c r="L327" t="s">
        <v>153</v>
      </c>
      <c r="M327">
        <v>6</v>
      </c>
      <c r="N327">
        <v>13</v>
      </c>
      <c r="O327">
        <v>1</v>
      </c>
      <c r="P327">
        <v>8</v>
      </c>
      <c r="Q327">
        <v>13</v>
      </c>
      <c r="R327">
        <v>9</v>
      </c>
      <c r="S327">
        <v>6</v>
      </c>
      <c r="T327">
        <v>4</v>
      </c>
      <c r="U327">
        <v>1</v>
      </c>
      <c r="V327">
        <v>3</v>
      </c>
      <c r="W327">
        <v>0</v>
      </c>
      <c r="X327">
        <v>0</v>
      </c>
      <c r="Y327">
        <v>2.7</v>
      </c>
      <c r="Z327">
        <v>3.7</v>
      </c>
      <c r="AA327">
        <v>2.35</v>
      </c>
      <c r="AE327">
        <v>2.88</v>
      </c>
      <c r="AF327">
        <v>3.4</v>
      </c>
      <c r="AG327">
        <v>2.2999999999999998</v>
      </c>
      <c r="AH327">
        <v>2.9</v>
      </c>
      <c r="AI327">
        <v>3.55</v>
      </c>
      <c r="AJ327">
        <v>2.4500000000000002</v>
      </c>
      <c r="AN327">
        <v>2.83</v>
      </c>
      <c r="AO327">
        <v>3.59</v>
      </c>
      <c r="AP327">
        <v>2.54</v>
      </c>
      <c r="AQ327">
        <v>2.9</v>
      </c>
      <c r="AR327">
        <v>3.7</v>
      </c>
      <c r="AS327">
        <v>2.54</v>
      </c>
      <c r="AT327">
        <v>2.82</v>
      </c>
      <c r="AU327">
        <v>3.52</v>
      </c>
      <c r="AV327">
        <v>2.4300000000000002</v>
      </c>
      <c r="AW327">
        <v>2.98</v>
      </c>
      <c r="AX327">
        <v>3.65</v>
      </c>
      <c r="AY327">
        <v>2.52</v>
      </c>
      <c r="AZ327">
        <v>1.84</v>
      </c>
      <c r="BA327">
        <v>2.06</v>
      </c>
      <c r="BB327">
        <v>1.83</v>
      </c>
      <c r="BC327">
        <v>2.0499999999999998</v>
      </c>
      <c r="BD327">
        <v>1.86</v>
      </c>
      <c r="BE327">
        <v>2.06</v>
      </c>
      <c r="BF327">
        <v>1.81</v>
      </c>
      <c r="BG327">
        <v>2.0099999999999998</v>
      </c>
      <c r="BH327">
        <v>1.79</v>
      </c>
      <c r="BI327">
        <v>1.94</v>
      </c>
      <c r="BJ327">
        <v>0.25</v>
      </c>
      <c r="BK327">
        <v>1.81</v>
      </c>
      <c r="BL327">
        <v>2.09</v>
      </c>
      <c r="BM327">
        <v>1.79</v>
      </c>
      <c r="BN327">
        <v>2.12</v>
      </c>
      <c r="BO327">
        <v>1.81</v>
      </c>
      <c r="BP327">
        <v>2.12</v>
      </c>
      <c r="BQ327">
        <v>1.76</v>
      </c>
      <c r="BR327">
        <v>2.04</v>
      </c>
      <c r="BS327">
        <v>1.83</v>
      </c>
      <c r="BT327">
        <v>2.1800000000000002</v>
      </c>
      <c r="BU327">
        <v>3.1</v>
      </c>
      <c r="BV327">
        <v>3.6</v>
      </c>
      <c r="BW327">
        <v>2.25</v>
      </c>
      <c r="CA327">
        <v>2.9</v>
      </c>
      <c r="CB327">
        <v>3.5</v>
      </c>
      <c r="CC327">
        <v>2.2999999999999998</v>
      </c>
      <c r="CD327">
        <v>3.15</v>
      </c>
      <c r="CE327">
        <v>3.61</v>
      </c>
      <c r="CF327">
        <v>2.31</v>
      </c>
      <c r="CJ327">
        <v>3.28</v>
      </c>
      <c r="CK327">
        <v>3.65</v>
      </c>
      <c r="CL327">
        <v>2.2200000000000002</v>
      </c>
      <c r="CM327">
        <v>3.28</v>
      </c>
      <c r="CN327">
        <v>3.7</v>
      </c>
      <c r="CO327">
        <v>2.39</v>
      </c>
      <c r="CP327">
        <v>3.07</v>
      </c>
      <c r="CQ327">
        <v>3.57</v>
      </c>
      <c r="CR327">
        <v>2.2999999999999998</v>
      </c>
      <c r="CS327">
        <v>3.25</v>
      </c>
      <c r="CT327">
        <v>3.65</v>
      </c>
      <c r="CU327">
        <v>2.36</v>
      </c>
      <c r="CV327">
        <v>1.73</v>
      </c>
      <c r="CW327">
        <v>2.1</v>
      </c>
      <c r="CX327">
        <v>1.79</v>
      </c>
      <c r="CY327">
        <v>2.13</v>
      </c>
      <c r="CZ327">
        <v>1.82</v>
      </c>
      <c r="DA327">
        <v>2.1800000000000002</v>
      </c>
      <c r="DB327">
        <v>1.76</v>
      </c>
      <c r="DC327">
        <v>2.1</v>
      </c>
      <c r="DD327">
        <v>1.82</v>
      </c>
      <c r="DE327">
        <v>2.2000000000000002</v>
      </c>
      <c r="DF327">
        <v>0.25</v>
      </c>
      <c r="DG327">
        <v>1.93</v>
      </c>
      <c r="DH327">
        <v>2</v>
      </c>
      <c r="DI327">
        <v>1.92</v>
      </c>
      <c r="DJ327">
        <v>2.0099999999999998</v>
      </c>
      <c r="DK327">
        <v>1.93</v>
      </c>
      <c r="DL327">
        <v>2.02</v>
      </c>
      <c r="DM327">
        <v>1.88</v>
      </c>
      <c r="DN327">
        <v>1.94</v>
      </c>
      <c r="DO327">
        <v>1.94</v>
      </c>
      <c r="DP327">
        <v>2.0499999999999998</v>
      </c>
    </row>
    <row r="328" spans="1:120" x14ac:dyDescent="0.3">
      <c r="A328" t="s">
        <v>120</v>
      </c>
      <c r="B328" t="s">
        <v>227</v>
      </c>
      <c r="C328" s="1">
        <v>0.58333333333333337</v>
      </c>
      <c r="D328" t="s">
        <v>128</v>
      </c>
      <c r="E328" t="s">
        <v>132</v>
      </c>
      <c r="F328">
        <v>0</v>
      </c>
      <c r="G328">
        <v>4</v>
      </c>
      <c r="H328" t="s">
        <v>130</v>
      </c>
      <c r="I328">
        <v>0</v>
      </c>
      <c r="J328">
        <v>2</v>
      </c>
      <c r="K328" t="s">
        <v>130</v>
      </c>
      <c r="L328" t="s">
        <v>157</v>
      </c>
      <c r="M328">
        <v>4</v>
      </c>
      <c r="N328">
        <v>24</v>
      </c>
      <c r="O328">
        <v>0</v>
      </c>
      <c r="P328">
        <v>7</v>
      </c>
      <c r="Q328">
        <v>10</v>
      </c>
      <c r="R328">
        <v>7</v>
      </c>
      <c r="S328">
        <v>0</v>
      </c>
      <c r="T328">
        <v>12</v>
      </c>
      <c r="U328">
        <v>0</v>
      </c>
      <c r="V328">
        <v>0</v>
      </c>
      <c r="W328">
        <v>1</v>
      </c>
      <c r="X328">
        <v>0</v>
      </c>
      <c r="Y328">
        <v>8</v>
      </c>
      <c r="Z328">
        <v>4.5</v>
      </c>
      <c r="AA328">
        <v>1.4</v>
      </c>
      <c r="AE328">
        <v>8</v>
      </c>
      <c r="AF328">
        <v>4.75</v>
      </c>
      <c r="AG328">
        <v>1.36</v>
      </c>
      <c r="AH328">
        <v>7.87</v>
      </c>
      <c r="AI328">
        <v>4.95</v>
      </c>
      <c r="AJ328">
        <v>1.41</v>
      </c>
      <c r="AN328">
        <v>8.35</v>
      </c>
      <c r="AO328">
        <v>5</v>
      </c>
      <c r="AP328">
        <v>1.42</v>
      </c>
      <c r="AQ328">
        <v>8.35</v>
      </c>
      <c r="AR328">
        <v>5</v>
      </c>
      <c r="AS328">
        <v>1.42</v>
      </c>
      <c r="AT328">
        <v>7.83</v>
      </c>
      <c r="AU328">
        <v>4.8099999999999996</v>
      </c>
      <c r="AV328">
        <v>1.4</v>
      </c>
      <c r="AW328">
        <v>9.1999999999999993</v>
      </c>
      <c r="AX328">
        <v>5</v>
      </c>
      <c r="AY328">
        <v>1.44</v>
      </c>
      <c r="AZ328">
        <v>1.73</v>
      </c>
      <c r="BA328">
        <v>2.1</v>
      </c>
      <c r="BB328">
        <v>1.74</v>
      </c>
      <c r="BC328">
        <v>2.17</v>
      </c>
      <c r="BD328">
        <v>1.79</v>
      </c>
      <c r="BE328">
        <v>2.17</v>
      </c>
      <c r="BF328">
        <v>1.72</v>
      </c>
      <c r="BG328">
        <v>2.13</v>
      </c>
      <c r="BH328">
        <v>1.79</v>
      </c>
      <c r="BI328">
        <v>2.2200000000000002</v>
      </c>
      <c r="BJ328">
        <v>1.25</v>
      </c>
      <c r="BK328">
        <v>1.98</v>
      </c>
      <c r="BL328">
        <v>1.92</v>
      </c>
      <c r="BM328">
        <v>1.97</v>
      </c>
      <c r="BN328">
        <v>1.93</v>
      </c>
      <c r="BO328">
        <v>1.98</v>
      </c>
      <c r="BP328">
        <v>1.93</v>
      </c>
      <c r="BQ328">
        <v>1.93</v>
      </c>
      <c r="BR328">
        <v>1.9</v>
      </c>
      <c r="BS328">
        <v>1.89</v>
      </c>
      <c r="BT328">
        <v>1.85</v>
      </c>
      <c r="BU328">
        <v>9.5</v>
      </c>
      <c r="BV328">
        <v>5</v>
      </c>
      <c r="BW328">
        <v>1.36</v>
      </c>
      <c r="CA328">
        <v>9</v>
      </c>
      <c r="CB328">
        <v>4.75</v>
      </c>
      <c r="CC328">
        <v>1.33</v>
      </c>
      <c r="CD328">
        <v>8.93</v>
      </c>
      <c r="CE328">
        <v>5.22</v>
      </c>
      <c r="CF328">
        <v>1.37</v>
      </c>
      <c r="CJ328">
        <v>9.9700000000000006</v>
      </c>
      <c r="CK328">
        <v>5.04</v>
      </c>
      <c r="CL328">
        <v>1.37</v>
      </c>
      <c r="CM328">
        <v>9.9700000000000006</v>
      </c>
      <c r="CN328">
        <v>5.3</v>
      </c>
      <c r="CO328">
        <v>1.37</v>
      </c>
      <c r="CP328">
        <v>9.07</v>
      </c>
      <c r="CQ328">
        <v>5.12</v>
      </c>
      <c r="CR328">
        <v>1.35</v>
      </c>
      <c r="CS328">
        <v>10</v>
      </c>
      <c r="CT328">
        <v>5.3</v>
      </c>
      <c r="CU328">
        <v>1.4</v>
      </c>
      <c r="CV328">
        <v>1.67</v>
      </c>
      <c r="CW328">
        <v>2.2000000000000002</v>
      </c>
      <c r="CX328">
        <v>1.68</v>
      </c>
      <c r="CY328">
        <v>2.27</v>
      </c>
      <c r="CZ328">
        <v>1.68</v>
      </c>
      <c r="DA328">
        <v>2.35</v>
      </c>
      <c r="DB328">
        <v>1.64</v>
      </c>
      <c r="DC328">
        <v>2.2799999999999998</v>
      </c>
      <c r="DD328">
        <v>1.7</v>
      </c>
      <c r="DE328">
        <v>2.42</v>
      </c>
      <c r="DF328">
        <v>1.5</v>
      </c>
      <c r="DG328">
        <v>1.86</v>
      </c>
      <c r="DH328">
        <v>2.0699999999999998</v>
      </c>
      <c r="DI328">
        <v>1.86</v>
      </c>
      <c r="DJ328">
        <v>2.0699999999999998</v>
      </c>
      <c r="DK328">
        <v>1.9</v>
      </c>
      <c r="DL328">
        <v>2.0699999999999998</v>
      </c>
      <c r="DM328">
        <v>1.85</v>
      </c>
      <c r="DN328">
        <v>2</v>
      </c>
      <c r="DO328">
        <v>1.9</v>
      </c>
      <c r="DP328">
        <v>2.0699999999999998</v>
      </c>
    </row>
    <row r="329" spans="1:120" x14ac:dyDescent="0.3">
      <c r="A329" t="s">
        <v>120</v>
      </c>
      <c r="B329" t="s">
        <v>227</v>
      </c>
      <c r="C329" s="1">
        <v>0.58333333333333337</v>
      </c>
      <c r="D329" t="s">
        <v>122</v>
      </c>
      <c r="E329" t="s">
        <v>133</v>
      </c>
      <c r="F329">
        <v>0</v>
      </c>
      <c r="G329">
        <v>1</v>
      </c>
      <c r="H329" t="s">
        <v>130</v>
      </c>
      <c r="I329">
        <v>0</v>
      </c>
      <c r="J329">
        <v>0</v>
      </c>
      <c r="K329" t="s">
        <v>125</v>
      </c>
      <c r="L329" t="s">
        <v>126</v>
      </c>
      <c r="M329">
        <v>12</v>
      </c>
      <c r="N329">
        <v>4</v>
      </c>
      <c r="O329">
        <v>2</v>
      </c>
      <c r="P329">
        <v>2</v>
      </c>
      <c r="Q329">
        <v>11</v>
      </c>
      <c r="R329">
        <v>18</v>
      </c>
      <c r="S329">
        <v>9</v>
      </c>
      <c r="T329">
        <v>2</v>
      </c>
      <c r="U329">
        <v>2</v>
      </c>
      <c r="V329">
        <v>3</v>
      </c>
      <c r="W329">
        <v>0</v>
      </c>
      <c r="X329">
        <v>0</v>
      </c>
      <c r="Y329">
        <v>2</v>
      </c>
      <c r="Z329">
        <v>3.6</v>
      </c>
      <c r="AA329">
        <v>3.6</v>
      </c>
      <c r="AE329">
        <v>2</v>
      </c>
      <c r="AF329">
        <v>3.4</v>
      </c>
      <c r="AG329">
        <v>3.6</v>
      </c>
      <c r="AH329">
        <v>2.0099999999999998</v>
      </c>
      <c r="AI329">
        <v>3.63</v>
      </c>
      <c r="AJ329">
        <v>3.82</v>
      </c>
      <c r="AN329">
        <v>2.0299999999999998</v>
      </c>
      <c r="AO329">
        <v>3.67</v>
      </c>
      <c r="AP329">
        <v>3.85</v>
      </c>
      <c r="AQ329">
        <v>2.0299999999999998</v>
      </c>
      <c r="AR329">
        <v>3.67</v>
      </c>
      <c r="AS329">
        <v>3.85</v>
      </c>
      <c r="AT329">
        <v>2</v>
      </c>
      <c r="AU329">
        <v>3.58</v>
      </c>
      <c r="AV329">
        <v>3.72</v>
      </c>
      <c r="AW329">
        <v>2.1</v>
      </c>
      <c r="AX329">
        <v>3.65</v>
      </c>
      <c r="AY329">
        <v>3.9</v>
      </c>
      <c r="AZ329">
        <v>1.97</v>
      </c>
      <c r="BA329">
        <v>1.93</v>
      </c>
      <c r="BB329">
        <v>1.97</v>
      </c>
      <c r="BC329">
        <v>1.92</v>
      </c>
      <c r="BD329">
        <v>1.98</v>
      </c>
      <c r="BE329">
        <v>1.94</v>
      </c>
      <c r="BF329">
        <v>1.93</v>
      </c>
      <c r="BG329">
        <v>1.89</v>
      </c>
      <c r="BH329">
        <v>2.04</v>
      </c>
      <c r="BI329">
        <v>1.94</v>
      </c>
      <c r="BJ329">
        <v>-0.5</v>
      </c>
      <c r="BK329">
        <v>2.02</v>
      </c>
      <c r="BL329">
        <v>1.88</v>
      </c>
      <c r="BM329">
        <v>2.02</v>
      </c>
      <c r="BN329">
        <v>1.89</v>
      </c>
      <c r="BO329">
        <v>2.02</v>
      </c>
      <c r="BP329">
        <v>1.9</v>
      </c>
      <c r="BQ329">
        <v>1.99</v>
      </c>
      <c r="BR329">
        <v>1.85</v>
      </c>
      <c r="BS329">
        <v>2.1</v>
      </c>
      <c r="BT329">
        <v>1.88</v>
      </c>
      <c r="BU329">
        <v>2.5499999999999998</v>
      </c>
      <c r="BV329">
        <v>3.5</v>
      </c>
      <c r="BW329">
        <v>2.7</v>
      </c>
      <c r="CA329">
        <v>2.5499999999999998</v>
      </c>
      <c r="CB329">
        <v>3.4</v>
      </c>
      <c r="CC329">
        <v>2.7</v>
      </c>
      <c r="CD329">
        <v>2.6</v>
      </c>
      <c r="CE329">
        <v>3.5</v>
      </c>
      <c r="CF329">
        <v>2.8</v>
      </c>
      <c r="CJ329">
        <v>2.48</v>
      </c>
      <c r="CK329">
        <v>3.56</v>
      </c>
      <c r="CL329">
        <v>2.89</v>
      </c>
      <c r="CM329">
        <v>2.6</v>
      </c>
      <c r="CN329">
        <v>3.56</v>
      </c>
      <c r="CO329">
        <v>2.89</v>
      </c>
      <c r="CP329">
        <v>2.56</v>
      </c>
      <c r="CQ329">
        <v>3.44</v>
      </c>
      <c r="CR329">
        <v>2.76</v>
      </c>
      <c r="CS329">
        <v>2.68</v>
      </c>
      <c r="CT329">
        <v>3.6</v>
      </c>
      <c r="CU329">
        <v>2.86</v>
      </c>
      <c r="CV329">
        <v>1.95</v>
      </c>
      <c r="CW329">
        <v>1.95</v>
      </c>
      <c r="CX329">
        <v>1.96</v>
      </c>
      <c r="CY329">
        <v>1.94</v>
      </c>
      <c r="CZ329">
        <v>2</v>
      </c>
      <c r="DA329">
        <v>2.0099999999999998</v>
      </c>
      <c r="DB329">
        <v>1.91</v>
      </c>
      <c r="DC329">
        <v>1.93</v>
      </c>
      <c r="DD329">
        <v>2</v>
      </c>
      <c r="DE329">
        <v>1.99</v>
      </c>
      <c r="DF329">
        <v>0</v>
      </c>
      <c r="DG329">
        <v>1.89</v>
      </c>
      <c r="DH329">
        <v>2.04</v>
      </c>
      <c r="DI329">
        <v>1.88</v>
      </c>
      <c r="DJ329">
        <v>2.04</v>
      </c>
      <c r="DK329">
        <v>1.89</v>
      </c>
      <c r="DL329">
        <v>2.08</v>
      </c>
      <c r="DM329">
        <v>1.86</v>
      </c>
      <c r="DN329">
        <v>2.02</v>
      </c>
      <c r="DO329">
        <v>1.93</v>
      </c>
      <c r="DP329">
        <v>2.06</v>
      </c>
    </row>
    <row r="330" spans="1:120" x14ac:dyDescent="0.3">
      <c r="A330" t="s">
        <v>120</v>
      </c>
      <c r="B330" t="s">
        <v>227</v>
      </c>
      <c r="C330" s="1">
        <v>0.6875</v>
      </c>
      <c r="D330" t="s">
        <v>155</v>
      </c>
      <c r="E330" t="s">
        <v>129</v>
      </c>
      <c r="F330">
        <v>0</v>
      </c>
      <c r="G330">
        <v>1</v>
      </c>
      <c r="H330" t="s">
        <v>130</v>
      </c>
      <c r="I330">
        <v>0</v>
      </c>
      <c r="J330">
        <v>0</v>
      </c>
      <c r="K330" t="s">
        <v>125</v>
      </c>
      <c r="L330" t="s">
        <v>164</v>
      </c>
      <c r="M330">
        <v>5</v>
      </c>
      <c r="N330">
        <v>28</v>
      </c>
      <c r="O330">
        <v>0</v>
      </c>
      <c r="P330">
        <v>10</v>
      </c>
      <c r="Q330">
        <v>11</v>
      </c>
      <c r="R330">
        <v>7</v>
      </c>
      <c r="S330">
        <v>1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11</v>
      </c>
      <c r="Z330">
        <v>6.25</v>
      </c>
      <c r="AA330">
        <v>1.22</v>
      </c>
      <c r="AE330">
        <v>11</v>
      </c>
      <c r="AF330">
        <v>6.5</v>
      </c>
      <c r="AG330">
        <v>1.2</v>
      </c>
      <c r="AH330">
        <v>11.65</v>
      </c>
      <c r="AI330">
        <v>6.96</v>
      </c>
      <c r="AJ330">
        <v>1.23</v>
      </c>
      <c r="AN330">
        <v>11.9</v>
      </c>
      <c r="AO330">
        <v>6.62</v>
      </c>
      <c r="AP330">
        <v>1.26</v>
      </c>
      <c r="AQ330">
        <v>14</v>
      </c>
      <c r="AR330">
        <v>7</v>
      </c>
      <c r="AS330">
        <v>1.26</v>
      </c>
      <c r="AT330">
        <v>11.76</v>
      </c>
      <c r="AU330">
        <v>6.63</v>
      </c>
      <c r="AV330">
        <v>1.23</v>
      </c>
      <c r="AW330">
        <v>13.5</v>
      </c>
      <c r="AX330">
        <v>7.2</v>
      </c>
      <c r="AY330">
        <v>1.26</v>
      </c>
      <c r="AZ330">
        <v>1.44</v>
      </c>
      <c r="BA330">
        <v>2.75</v>
      </c>
      <c r="BB330">
        <v>1.44</v>
      </c>
      <c r="BC330">
        <v>2.81</v>
      </c>
      <c r="BD330">
        <v>1.45</v>
      </c>
      <c r="BE330">
        <v>2.85</v>
      </c>
      <c r="BF330">
        <v>1.44</v>
      </c>
      <c r="BG330">
        <v>2.74</v>
      </c>
      <c r="BH330">
        <v>1.49</v>
      </c>
      <c r="BI330">
        <v>2.92</v>
      </c>
      <c r="BJ330">
        <v>1.75</v>
      </c>
      <c r="BK330">
        <v>2.0499999999999998</v>
      </c>
      <c r="BL330">
        <v>1.85</v>
      </c>
      <c r="BM330">
        <v>2.06</v>
      </c>
      <c r="BN330">
        <v>1.83</v>
      </c>
      <c r="BO330">
        <v>2.06</v>
      </c>
      <c r="BP330">
        <v>1.85</v>
      </c>
      <c r="BQ330">
        <v>2.02</v>
      </c>
      <c r="BR330">
        <v>1.82</v>
      </c>
      <c r="BS330">
        <v>2.12</v>
      </c>
      <c r="BT330">
        <v>1.75</v>
      </c>
      <c r="BU330">
        <v>10</v>
      </c>
      <c r="BV330">
        <v>6.5</v>
      </c>
      <c r="BW330">
        <v>1.22</v>
      </c>
      <c r="CA330">
        <v>11</v>
      </c>
      <c r="CB330">
        <v>6.5</v>
      </c>
      <c r="CC330">
        <v>1.2</v>
      </c>
      <c r="CD330">
        <v>13.5</v>
      </c>
      <c r="CE330">
        <v>7.25</v>
      </c>
      <c r="CF330">
        <v>1.22</v>
      </c>
      <c r="CJ330">
        <v>11.6</v>
      </c>
      <c r="CK330">
        <v>7.26</v>
      </c>
      <c r="CL330">
        <v>1.24</v>
      </c>
      <c r="CM330">
        <v>13.5</v>
      </c>
      <c r="CN330">
        <v>7.4</v>
      </c>
      <c r="CO330">
        <v>1.26</v>
      </c>
      <c r="CP330">
        <v>11.84</v>
      </c>
      <c r="CQ330">
        <v>6.92</v>
      </c>
      <c r="CR330">
        <v>1.22</v>
      </c>
      <c r="CS330">
        <v>15</v>
      </c>
      <c r="CT330">
        <v>7.6</v>
      </c>
      <c r="CU330">
        <v>1.24</v>
      </c>
      <c r="CV330">
        <v>1.36</v>
      </c>
      <c r="CW330">
        <v>3.2</v>
      </c>
      <c r="CX330">
        <v>1.37</v>
      </c>
      <c r="CY330">
        <v>3.17</v>
      </c>
      <c r="CZ330">
        <v>1.39</v>
      </c>
      <c r="DA330">
        <v>3.37</v>
      </c>
      <c r="DB330">
        <v>1.36</v>
      </c>
      <c r="DC330">
        <v>3.15</v>
      </c>
      <c r="DD330">
        <v>1.42</v>
      </c>
      <c r="DE330">
        <v>3.3</v>
      </c>
      <c r="DF330">
        <v>2</v>
      </c>
      <c r="DG330">
        <v>1.78</v>
      </c>
      <c r="DH330">
        <v>2.0299999999999998</v>
      </c>
      <c r="DI330">
        <v>1.83</v>
      </c>
      <c r="DJ330">
        <v>2.08</v>
      </c>
      <c r="DK330">
        <v>1.88</v>
      </c>
      <c r="DL330">
        <v>2.12</v>
      </c>
      <c r="DM330">
        <v>1.83</v>
      </c>
      <c r="DN330">
        <v>2.0299999999999998</v>
      </c>
      <c r="DO330">
        <v>1.87</v>
      </c>
      <c r="DP330">
        <v>2.14</v>
      </c>
    </row>
    <row r="331" spans="1:120" x14ac:dyDescent="0.3">
      <c r="A331" t="s">
        <v>120</v>
      </c>
      <c r="B331" t="s">
        <v>228</v>
      </c>
      <c r="C331" s="1">
        <v>0.83333333333333337</v>
      </c>
      <c r="D331" t="s">
        <v>156</v>
      </c>
      <c r="E331" t="s">
        <v>141</v>
      </c>
      <c r="F331">
        <v>1</v>
      </c>
      <c r="G331">
        <v>2</v>
      </c>
      <c r="H331" t="s">
        <v>130</v>
      </c>
      <c r="I331">
        <v>0</v>
      </c>
      <c r="J331">
        <v>2</v>
      </c>
      <c r="K331" t="s">
        <v>130</v>
      </c>
      <c r="L331" t="s">
        <v>171</v>
      </c>
      <c r="M331">
        <v>22</v>
      </c>
      <c r="N331">
        <v>4</v>
      </c>
      <c r="O331">
        <v>6</v>
      </c>
      <c r="P331">
        <v>3</v>
      </c>
      <c r="Q331">
        <v>11</v>
      </c>
      <c r="R331">
        <v>12</v>
      </c>
      <c r="S331">
        <v>7</v>
      </c>
      <c r="T331">
        <v>1</v>
      </c>
      <c r="U331">
        <v>1</v>
      </c>
      <c r="V331">
        <v>4</v>
      </c>
      <c r="W331">
        <v>0</v>
      </c>
      <c r="X331">
        <v>0</v>
      </c>
      <c r="Y331">
        <v>2.4500000000000002</v>
      </c>
      <c r="Z331">
        <v>3.6</v>
      </c>
      <c r="AA331">
        <v>2.63</v>
      </c>
      <c r="AE331">
        <v>2.5</v>
      </c>
      <c r="AF331">
        <v>3.6</v>
      </c>
      <c r="AG331">
        <v>2.63</v>
      </c>
      <c r="AH331">
        <v>2.52</v>
      </c>
      <c r="AI331">
        <v>3.78</v>
      </c>
      <c r="AJ331">
        <v>2.69</v>
      </c>
      <c r="AN331">
        <v>2.5499999999999998</v>
      </c>
      <c r="AO331">
        <v>3.75</v>
      </c>
      <c r="AP331">
        <v>2.73</v>
      </c>
      <c r="AQ331">
        <v>2.5499999999999998</v>
      </c>
      <c r="AR331">
        <v>3.85</v>
      </c>
      <c r="AS331">
        <v>2.78</v>
      </c>
      <c r="AT331">
        <v>2.4700000000000002</v>
      </c>
      <c r="AU331">
        <v>3.71</v>
      </c>
      <c r="AV331">
        <v>2.66</v>
      </c>
      <c r="AW331">
        <v>2.6</v>
      </c>
      <c r="AX331">
        <v>3.8</v>
      </c>
      <c r="AY331">
        <v>2.78</v>
      </c>
      <c r="AZ331">
        <v>1.57</v>
      </c>
      <c r="BA331">
        <v>2.38</v>
      </c>
      <c r="BB331">
        <v>1.61</v>
      </c>
      <c r="BC331">
        <v>2.41</v>
      </c>
      <c r="BD331">
        <v>1.63</v>
      </c>
      <c r="BE331">
        <v>2.4300000000000002</v>
      </c>
      <c r="BF331">
        <v>1.58</v>
      </c>
      <c r="BG331">
        <v>2.38</v>
      </c>
      <c r="BH331">
        <v>1.57</v>
      </c>
      <c r="BI331">
        <v>2.2799999999999998</v>
      </c>
      <c r="BJ331">
        <v>0</v>
      </c>
      <c r="BK331">
        <v>1.87</v>
      </c>
      <c r="BL331">
        <v>2.0299999999999998</v>
      </c>
      <c r="BM331">
        <v>1.89</v>
      </c>
      <c r="BN331">
        <v>2.02</v>
      </c>
      <c r="BO331">
        <v>1.89</v>
      </c>
      <c r="BP331">
        <v>2.0299999999999998</v>
      </c>
      <c r="BQ331">
        <v>1.86</v>
      </c>
      <c r="BR331">
        <v>2</v>
      </c>
      <c r="BS331">
        <v>1.91</v>
      </c>
      <c r="BT331">
        <v>2.06</v>
      </c>
      <c r="BU331">
        <v>2.2999999999999998</v>
      </c>
      <c r="BV331">
        <v>3.5</v>
      </c>
      <c r="BW331">
        <v>3</v>
      </c>
      <c r="CA331">
        <v>2.2999999999999998</v>
      </c>
      <c r="CB331">
        <v>3.4</v>
      </c>
      <c r="CC331">
        <v>2.9</v>
      </c>
      <c r="CD331">
        <v>2.4</v>
      </c>
      <c r="CE331">
        <v>3.55</v>
      </c>
      <c r="CF331">
        <v>3.06</v>
      </c>
      <c r="CJ331">
        <v>2.42</v>
      </c>
      <c r="CK331">
        <v>3.6</v>
      </c>
      <c r="CL331">
        <v>2.95</v>
      </c>
      <c r="CM331">
        <v>2.46</v>
      </c>
      <c r="CN331">
        <v>3.6</v>
      </c>
      <c r="CO331">
        <v>3.06</v>
      </c>
      <c r="CP331">
        <v>2.4</v>
      </c>
      <c r="CQ331">
        <v>3.49</v>
      </c>
      <c r="CR331">
        <v>2.96</v>
      </c>
      <c r="CS331">
        <v>2.44</v>
      </c>
      <c r="CT331">
        <v>3.6</v>
      </c>
      <c r="CU331">
        <v>3.15</v>
      </c>
      <c r="CV331">
        <v>1.67</v>
      </c>
      <c r="CW331">
        <v>2.2000000000000002</v>
      </c>
      <c r="CX331">
        <v>1.69</v>
      </c>
      <c r="CY331">
        <v>2.2599999999999998</v>
      </c>
      <c r="CZ331">
        <v>1.7</v>
      </c>
      <c r="DA331">
        <v>2.31</v>
      </c>
      <c r="DB331">
        <v>1.67</v>
      </c>
      <c r="DC331">
        <v>2.2200000000000002</v>
      </c>
      <c r="DD331">
        <v>1.76</v>
      </c>
      <c r="DE331">
        <v>2.2999999999999998</v>
      </c>
      <c r="DF331">
        <v>-0.25</v>
      </c>
      <c r="DG331">
        <v>2.0099999999999998</v>
      </c>
      <c r="DH331">
        <v>1.8</v>
      </c>
      <c r="DI331">
        <v>2.08</v>
      </c>
      <c r="DJ331">
        <v>1.85</v>
      </c>
      <c r="DK331">
        <v>2.09</v>
      </c>
      <c r="DL331">
        <v>1.86</v>
      </c>
      <c r="DM331">
        <v>2.0499999999999998</v>
      </c>
      <c r="DN331">
        <v>1.81</v>
      </c>
      <c r="DO331">
        <v>2.1</v>
      </c>
      <c r="DP331">
        <v>1.89</v>
      </c>
    </row>
    <row r="332" spans="1:120" x14ac:dyDescent="0.3">
      <c r="A332" t="s">
        <v>120</v>
      </c>
      <c r="B332" t="s">
        <v>229</v>
      </c>
      <c r="C332" s="1">
        <v>0.83333333333333337</v>
      </c>
      <c r="D332" t="s">
        <v>152</v>
      </c>
      <c r="E332" t="s">
        <v>145</v>
      </c>
      <c r="F332">
        <v>2</v>
      </c>
      <c r="G332">
        <v>1</v>
      </c>
      <c r="H332" t="s">
        <v>124</v>
      </c>
      <c r="I332">
        <v>1</v>
      </c>
      <c r="J332">
        <v>1</v>
      </c>
      <c r="K332" t="s">
        <v>125</v>
      </c>
      <c r="L332" t="s">
        <v>140</v>
      </c>
      <c r="M332">
        <v>14</v>
      </c>
      <c r="N332">
        <v>7</v>
      </c>
      <c r="O332">
        <v>6</v>
      </c>
      <c r="P332">
        <v>3</v>
      </c>
      <c r="Q332">
        <v>9</v>
      </c>
      <c r="R332">
        <v>10</v>
      </c>
      <c r="S332">
        <v>10</v>
      </c>
      <c r="T332">
        <v>2</v>
      </c>
      <c r="U332">
        <v>3</v>
      </c>
      <c r="V332">
        <v>3</v>
      </c>
      <c r="W332">
        <v>0</v>
      </c>
      <c r="X332">
        <v>0</v>
      </c>
      <c r="Y332">
        <v>1.8</v>
      </c>
      <c r="Z332">
        <v>4.0999999999999996</v>
      </c>
      <c r="AA332">
        <v>3.9</v>
      </c>
      <c r="AE332">
        <v>1.83</v>
      </c>
      <c r="AF332">
        <v>4</v>
      </c>
      <c r="AG332">
        <v>4</v>
      </c>
      <c r="AH332">
        <v>1.87</v>
      </c>
      <c r="AI332">
        <v>4.09</v>
      </c>
      <c r="AJ332">
        <v>4</v>
      </c>
      <c r="AN332">
        <v>1.85</v>
      </c>
      <c r="AO332">
        <v>4.2300000000000004</v>
      </c>
      <c r="AP332">
        <v>4.01</v>
      </c>
      <c r="AQ332">
        <v>1.88</v>
      </c>
      <c r="AR332">
        <v>4.2300000000000004</v>
      </c>
      <c r="AS332">
        <v>4.0999999999999996</v>
      </c>
      <c r="AT332">
        <v>1.85</v>
      </c>
      <c r="AU332">
        <v>4.0599999999999996</v>
      </c>
      <c r="AV332">
        <v>3.93</v>
      </c>
      <c r="AW332">
        <v>1.9</v>
      </c>
      <c r="AX332">
        <v>4.2</v>
      </c>
      <c r="AY332">
        <v>4.0999999999999996</v>
      </c>
      <c r="AZ332">
        <v>1.53</v>
      </c>
      <c r="BA332">
        <v>2.5</v>
      </c>
      <c r="BB332">
        <v>1.55</v>
      </c>
      <c r="BC332">
        <v>2.6</v>
      </c>
      <c r="BD332">
        <v>1.55</v>
      </c>
      <c r="BE332">
        <v>2.63</v>
      </c>
      <c r="BF332">
        <v>1.51</v>
      </c>
      <c r="BG332">
        <v>2.56</v>
      </c>
      <c r="BH332">
        <v>1.56</v>
      </c>
      <c r="BI332">
        <v>2.74</v>
      </c>
      <c r="BJ332">
        <v>-0.5</v>
      </c>
      <c r="BK332">
        <v>1.85</v>
      </c>
      <c r="BL332">
        <v>2.0499999999999998</v>
      </c>
      <c r="BM332">
        <v>1.88</v>
      </c>
      <c r="BN332">
        <v>2.0499999999999998</v>
      </c>
      <c r="BO332">
        <v>1.88</v>
      </c>
      <c r="BP332">
        <v>2.0499999999999998</v>
      </c>
      <c r="BQ332">
        <v>1.84</v>
      </c>
      <c r="BR332">
        <v>2.0099999999999998</v>
      </c>
      <c r="BS332">
        <v>1.89</v>
      </c>
      <c r="BT332">
        <v>2.11</v>
      </c>
      <c r="BU332">
        <v>1.85</v>
      </c>
      <c r="BV332">
        <v>3.9</v>
      </c>
      <c r="BW332">
        <v>3.75</v>
      </c>
      <c r="CA332">
        <v>1.91</v>
      </c>
      <c r="CB332">
        <v>3.9</v>
      </c>
      <c r="CC332">
        <v>3.9</v>
      </c>
      <c r="CD332">
        <v>1.91</v>
      </c>
      <c r="CE332">
        <v>4.0599999999999996</v>
      </c>
      <c r="CF332">
        <v>3.96</v>
      </c>
      <c r="CJ332">
        <v>1.91</v>
      </c>
      <c r="CK332">
        <v>4.0199999999999996</v>
      </c>
      <c r="CL332">
        <v>3.87</v>
      </c>
      <c r="CM332">
        <v>1.98</v>
      </c>
      <c r="CN332">
        <v>4.0599999999999996</v>
      </c>
      <c r="CO332">
        <v>3.96</v>
      </c>
      <c r="CP332">
        <v>1.91</v>
      </c>
      <c r="CQ332">
        <v>3.92</v>
      </c>
      <c r="CR332">
        <v>3.84</v>
      </c>
      <c r="CS332">
        <v>1.93</v>
      </c>
      <c r="CT332">
        <v>4.2</v>
      </c>
      <c r="CU332">
        <v>4</v>
      </c>
      <c r="CV332">
        <v>1.62</v>
      </c>
      <c r="CW332">
        <v>2.2999999999999998</v>
      </c>
      <c r="CX332">
        <v>1.63</v>
      </c>
      <c r="CY332">
        <v>2.39</v>
      </c>
      <c r="CZ332">
        <v>1.64</v>
      </c>
      <c r="DA332">
        <v>2.5</v>
      </c>
      <c r="DB332">
        <v>1.59</v>
      </c>
      <c r="DC332">
        <v>2.39</v>
      </c>
      <c r="DD332">
        <v>1.64</v>
      </c>
      <c r="DE332">
        <v>2.54</v>
      </c>
      <c r="DF332">
        <v>-0.5</v>
      </c>
      <c r="DG332">
        <v>1.89</v>
      </c>
      <c r="DH332">
        <v>2.0099999999999998</v>
      </c>
      <c r="DI332">
        <v>1.91</v>
      </c>
      <c r="DJ332">
        <v>2.02</v>
      </c>
      <c r="DK332">
        <v>1.95</v>
      </c>
      <c r="DL332">
        <v>2.02</v>
      </c>
      <c r="DM332">
        <v>1.9</v>
      </c>
      <c r="DN332">
        <v>1.95</v>
      </c>
      <c r="DO332">
        <v>1.92</v>
      </c>
      <c r="DP332">
        <v>2.0499999999999998</v>
      </c>
    </row>
    <row r="333" spans="1:120" x14ac:dyDescent="0.3">
      <c r="A333" t="s">
        <v>120</v>
      </c>
      <c r="B333" t="s">
        <v>230</v>
      </c>
      <c r="C333" s="1">
        <v>0.83333333333333337</v>
      </c>
      <c r="D333" t="s">
        <v>132</v>
      </c>
      <c r="E333" t="s">
        <v>149</v>
      </c>
      <c r="F333">
        <v>2</v>
      </c>
      <c r="G333">
        <v>2</v>
      </c>
      <c r="H333" t="s">
        <v>125</v>
      </c>
      <c r="I333">
        <v>2</v>
      </c>
      <c r="J333">
        <v>1</v>
      </c>
      <c r="K333" t="s">
        <v>124</v>
      </c>
      <c r="L333" t="s">
        <v>160</v>
      </c>
      <c r="M333">
        <v>12</v>
      </c>
      <c r="N333">
        <v>15</v>
      </c>
      <c r="O333">
        <v>6</v>
      </c>
      <c r="P333">
        <v>4</v>
      </c>
      <c r="Q333">
        <v>4</v>
      </c>
      <c r="R333">
        <v>6</v>
      </c>
      <c r="S333">
        <v>3</v>
      </c>
      <c r="T333">
        <v>6</v>
      </c>
      <c r="U333">
        <v>1</v>
      </c>
      <c r="V333">
        <v>1</v>
      </c>
      <c r="W333">
        <v>0</v>
      </c>
      <c r="X333">
        <v>0</v>
      </c>
      <c r="Y333">
        <v>1.4</v>
      </c>
      <c r="Z333">
        <v>4.75</v>
      </c>
      <c r="AA333">
        <v>7.5</v>
      </c>
      <c r="AE333">
        <v>1.4</v>
      </c>
      <c r="AF333">
        <v>4.5</v>
      </c>
      <c r="AG333">
        <v>8</v>
      </c>
      <c r="AH333">
        <v>1.42</v>
      </c>
      <c r="AI333">
        <v>4.74</v>
      </c>
      <c r="AJ333">
        <v>8.2200000000000006</v>
      </c>
      <c r="AN333">
        <v>1.45</v>
      </c>
      <c r="AO333">
        <v>4.74</v>
      </c>
      <c r="AP333">
        <v>8.0500000000000007</v>
      </c>
      <c r="AQ333">
        <v>1.45</v>
      </c>
      <c r="AR333">
        <v>4.8</v>
      </c>
      <c r="AS333">
        <v>9</v>
      </c>
      <c r="AT333">
        <v>1.41</v>
      </c>
      <c r="AU333">
        <v>4.66</v>
      </c>
      <c r="AV333">
        <v>8.1300000000000008</v>
      </c>
      <c r="AW333">
        <v>1.41</v>
      </c>
      <c r="AX333">
        <v>5.0999999999999996</v>
      </c>
      <c r="AY333">
        <v>9.8000000000000007</v>
      </c>
      <c r="AZ333">
        <v>1.91</v>
      </c>
      <c r="BA333">
        <v>1.99</v>
      </c>
      <c r="BB333">
        <v>1.89</v>
      </c>
      <c r="BC333">
        <v>1.99</v>
      </c>
      <c r="BD333">
        <v>1.92</v>
      </c>
      <c r="BE333">
        <v>1.99</v>
      </c>
      <c r="BF333">
        <v>1.87</v>
      </c>
      <c r="BG333">
        <v>1.95</v>
      </c>
      <c r="BH333">
        <v>1.9</v>
      </c>
      <c r="BI333">
        <v>2.04</v>
      </c>
      <c r="BJ333">
        <v>-1.25</v>
      </c>
      <c r="BK333">
        <v>1.95</v>
      </c>
      <c r="BL333">
        <v>1.95</v>
      </c>
      <c r="BM333">
        <v>1.95</v>
      </c>
      <c r="BN333">
        <v>1.95</v>
      </c>
      <c r="BO333">
        <v>1.95</v>
      </c>
      <c r="BP333">
        <v>1.95</v>
      </c>
      <c r="BQ333">
        <v>1.92</v>
      </c>
      <c r="BR333">
        <v>1.91</v>
      </c>
      <c r="BS333">
        <v>1.97</v>
      </c>
      <c r="BT333">
        <v>1.99</v>
      </c>
      <c r="BU333">
        <v>1.4</v>
      </c>
      <c r="BV333">
        <v>4.5</v>
      </c>
      <c r="BW333">
        <v>8</v>
      </c>
      <c r="CA333">
        <v>1.36</v>
      </c>
      <c r="CB333">
        <v>4.75</v>
      </c>
      <c r="CC333">
        <v>9.5</v>
      </c>
      <c r="CD333">
        <v>1.4</v>
      </c>
      <c r="CE333">
        <v>4.8499999999999996</v>
      </c>
      <c r="CF333">
        <v>9.1</v>
      </c>
      <c r="CJ333">
        <v>1.43</v>
      </c>
      <c r="CK333">
        <v>4.6399999999999997</v>
      </c>
      <c r="CL333">
        <v>8.69</v>
      </c>
      <c r="CM333">
        <v>1.43</v>
      </c>
      <c r="CN333">
        <v>5</v>
      </c>
      <c r="CO333">
        <v>9.5</v>
      </c>
      <c r="CP333">
        <v>1.4</v>
      </c>
      <c r="CQ333">
        <v>4.7699999999999996</v>
      </c>
      <c r="CR333">
        <v>8.6</v>
      </c>
      <c r="CS333">
        <v>1.41</v>
      </c>
      <c r="CT333">
        <v>5.2</v>
      </c>
      <c r="CU333">
        <v>9.6</v>
      </c>
      <c r="CV333">
        <v>1.73</v>
      </c>
      <c r="CW333">
        <v>2.1</v>
      </c>
      <c r="CX333">
        <v>1.77</v>
      </c>
      <c r="CY333">
        <v>2.15</v>
      </c>
      <c r="CZ333">
        <v>1.77</v>
      </c>
      <c r="DA333">
        <v>2.23</v>
      </c>
      <c r="DB333">
        <v>1.74</v>
      </c>
      <c r="DC333">
        <v>2.13</v>
      </c>
      <c r="DD333">
        <v>1.8</v>
      </c>
      <c r="DE333">
        <v>2.2200000000000002</v>
      </c>
      <c r="DF333">
        <v>-1.25</v>
      </c>
      <c r="DG333">
        <v>1.92</v>
      </c>
      <c r="DH333">
        <v>1.98</v>
      </c>
      <c r="DI333">
        <v>1.92</v>
      </c>
      <c r="DJ333">
        <v>2</v>
      </c>
      <c r="DK333">
        <v>1.93</v>
      </c>
      <c r="DL333">
        <v>2.04</v>
      </c>
      <c r="DM333">
        <v>1.87</v>
      </c>
      <c r="DN333">
        <v>1.99</v>
      </c>
      <c r="DO333">
        <v>1.95</v>
      </c>
      <c r="DP333">
        <v>2.04</v>
      </c>
    </row>
    <row r="334" spans="1:120" x14ac:dyDescent="0.3">
      <c r="A334" t="s">
        <v>120</v>
      </c>
      <c r="B334" t="s">
        <v>231</v>
      </c>
      <c r="C334" s="1">
        <v>0.52083333333333337</v>
      </c>
      <c r="D334" t="s">
        <v>151</v>
      </c>
      <c r="E334" t="s">
        <v>135</v>
      </c>
      <c r="F334">
        <v>1</v>
      </c>
      <c r="G334">
        <v>0</v>
      </c>
      <c r="H334" t="s">
        <v>124</v>
      </c>
      <c r="I334">
        <v>1</v>
      </c>
      <c r="J334">
        <v>0</v>
      </c>
      <c r="K334" t="s">
        <v>124</v>
      </c>
      <c r="L334" t="s">
        <v>157</v>
      </c>
      <c r="M334">
        <v>10</v>
      </c>
      <c r="N334">
        <v>6</v>
      </c>
      <c r="O334">
        <v>7</v>
      </c>
      <c r="P334">
        <v>3</v>
      </c>
      <c r="Q334">
        <v>11</v>
      </c>
      <c r="R334">
        <v>11</v>
      </c>
      <c r="S334">
        <v>10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1.55</v>
      </c>
      <c r="Z334">
        <v>4</v>
      </c>
      <c r="AA334">
        <v>6</v>
      </c>
      <c r="AE334">
        <v>1.57</v>
      </c>
      <c r="AF334">
        <v>4</v>
      </c>
      <c r="AG334">
        <v>6</v>
      </c>
      <c r="AH334">
        <v>1.58</v>
      </c>
      <c r="AI334">
        <v>4.17</v>
      </c>
      <c r="AJ334">
        <v>6.05</v>
      </c>
      <c r="AN334">
        <v>1.61</v>
      </c>
      <c r="AO334">
        <v>4.18</v>
      </c>
      <c r="AP334">
        <v>6.06</v>
      </c>
      <c r="AQ334">
        <v>1.62</v>
      </c>
      <c r="AR334">
        <v>4.18</v>
      </c>
      <c r="AS334">
        <v>6.1</v>
      </c>
      <c r="AT334">
        <v>1.58</v>
      </c>
      <c r="AU334">
        <v>4.08</v>
      </c>
      <c r="AV334">
        <v>5.91</v>
      </c>
      <c r="AW334">
        <v>1.62</v>
      </c>
      <c r="AX334">
        <v>4.2</v>
      </c>
      <c r="AY334">
        <v>6.6</v>
      </c>
      <c r="AZ334">
        <v>1.88</v>
      </c>
      <c r="BA334">
        <v>2.02</v>
      </c>
      <c r="BB334">
        <v>1.88</v>
      </c>
      <c r="BC334">
        <v>2</v>
      </c>
      <c r="BD334">
        <v>1.89</v>
      </c>
      <c r="BE334">
        <v>2.02</v>
      </c>
      <c r="BF334">
        <v>1.85</v>
      </c>
      <c r="BG334">
        <v>1.97</v>
      </c>
      <c r="BH334">
        <v>1.91</v>
      </c>
      <c r="BI334">
        <v>2.08</v>
      </c>
      <c r="BJ334">
        <v>-1</v>
      </c>
      <c r="BK334">
        <v>2.0099999999999998</v>
      </c>
      <c r="BL334">
        <v>1.89</v>
      </c>
      <c r="BM334">
        <v>2.02</v>
      </c>
      <c r="BN334">
        <v>1.88</v>
      </c>
      <c r="BO334">
        <v>2.02</v>
      </c>
      <c r="BP334">
        <v>1.9</v>
      </c>
      <c r="BQ334">
        <v>1.99</v>
      </c>
      <c r="BR334">
        <v>1.85</v>
      </c>
      <c r="BS334">
        <v>2.06</v>
      </c>
      <c r="BT334">
        <v>1.91</v>
      </c>
      <c r="BU334">
        <v>1.42</v>
      </c>
      <c r="BV334">
        <v>4.75</v>
      </c>
      <c r="BW334">
        <v>7</v>
      </c>
      <c r="CA334">
        <v>1.4</v>
      </c>
      <c r="CB334">
        <v>4.75</v>
      </c>
      <c r="CC334">
        <v>7.5</v>
      </c>
      <c r="CD334">
        <v>1.44</v>
      </c>
      <c r="CE334">
        <v>4.95</v>
      </c>
      <c r="CF334">
        <v>7.5</v>
      </c>
      <c r="CJ334">
        <v>1.44</v>
      </c>
      <c r="CK334">
        <v>4.87</v>
      </c>
      <c r="CL334">
        <v>7.7</v>
      </c>
      <c r="CM334">
        <v>1.47</v>
      </c>
      <c r="CN334">
        <v>4.95</v>
      </c>
      <c r="CO334">
        <v>7.7</v>
      </c>
      <c r="CP334">
        <v>1.44</v>
      </c>
      <c r="CQ334">
        <v>4.79</v>
      </c>
      <c r="CR334">
        <v>7.31</v>
      </c>
      <c r="CS334">
        <v>1.46</v>
      </c>
      <c r="CT334">
        <v>5.0999999999999996</v>
      </c>
      <c r="CU334">
        <v>8.1999999999999993</v>
      </c>
      <c r="CV334">
        <v>1.62</v>
      </c>
      <c r="CW334">
        <v>2.2999999999999998</v>
      </c>
      <c r="CX334">
        <v>1.66</v>
      </c>
      <c r="CY334">
        <v>2.34</v>
      </c>
      <c r="CZ334">
        <v>1.67</v>
      </c>
      <c r="DA334">
        <v>2.4</v>
      </c>
      <c r="DB334">
        <v>1.64</v>
      </c>
      <c r="DC334">
        <v>2.2799999999999998</v>
      </c>
      <c r="DD334">
        <v>1.7</v>
      </c>
      <c r="DE334">
        <v>2.4</v>
      </c>
      <c r="DF334">
        <v>-1.25</v>
      </c>
      <c r="DG334">
        <v>1.98</v>
      </c>
      <c r="DH334">
        <v>1.92</v>
      </c>
      <c r="DI334">
        <v>2</v>
      </c>
      <c r="DJ334">
        <v>1.93</v>
      </c>
      <c r="DK334">
        <v>2</v>
      </c>
      <c r="DL334">
        <v>1.97</v>
      </c>
      <c r="DM334">
        <v>1.96</v>
      </c>
      <c r="DN334">
        <v>1.9</v>
      </c>
      <c r="DO334">
        <v>2</v>
      </c>
      <c r="DP334">
        <v>1.96</v>
      </c>
    </row>
    <row r="335" spans="1:120" x14ac:dyDescent="0.3">
      <c r="A335" t="s">
        <v>120</v>
      </c>
      <c r="B335" t="s">
        <v>231</v>
      </c>
      <c r="C335" s="1">
        <v>0.625</v>
      </c>
      <c r="D335" t="s">
        <v>136</v>
      </c>
      <c r="E335" t="s">
        <v>144</v>
      </c>
      <c r="F335">
        <v>3</v>
      </c>
      <c r="G335">
        <v>2</v>
      </c>
      <c r="H335" t="s">
        <v>124</v>
      </c>
      <c r="I335">
        <v>1</v>
      </c>
      <c r="J335">
        <v>0</v>
      </c>
      <c r="K335" t="s">
        <v>124</v>
      </c>
      <c r="L335" t="s">
        <v>163</v>
      </c>
      <c r="M335">
        <v>16</v>
      </c>
      <c r="N335">
        <v>12</v>
      </c>
      <c r="O335">
        <v>9</v>
      </c>
      <c r="P335">
        <v>4</v>
      </c>
      <c r="Q335">
        <v>7</v>
      </c>
      <c r="R335">
        <v>9</v>
      </c>
      <c r="S335">
        <v>8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1.67</v>
      </c>
      <c r="Z335">
        <v>4.2</v>
      </c>
      <c r="AA335">
        <v>4.75</v>
      </c>
      <c r="AE335">
        <v>1.67</v>
      </c>
      <c r="AF335">
        <v>4.0999999999999996</v>
      </c>
      <c r="AG335">
        <v>5</v>
      </c>
      <c r="AH335">
        <v>1.7</v>
      </c>
      <c r="AI335">
        <v>4.2</v>
      </c>
      <c r="AJ335">
        <v>4.75</v>
      </c>
      <c r="AN335">
        <v>1.7</v>
      </c>
      <c r="AO335">
        <v>4.28</v>
      </c>
      <c r="AP335">
        <v>4.8899999999999997</v>
      </c>
      <c r="AQ335">
        <v>1.7</v>
      </c>
      <c r="AR335">
        <v>4.28</v>
      </c>
      <c r="AS335">
        <v>5</v>
      </c>
      <c r="AT335">
        <v>1.67</v>
      </c>
      <c r="AU335">
        <v>4.1399999999999997</v>
      </c>
      <c r="AV335">
        <v>4.76</v>
      </c>
      <c r="AW335">
        <v>1.76</v>
      </c>
      <c r="AX335">
        <v>4.2</v>
      </c>
      <c r="AY335">
        <v>5.0999999999999996</v>
      </c>
      <c r="AZ335">
        <v>1.67</v>
      </c>
      <c r="BA335">
        <v>2.2000000000000002</v>
      </c>
      <c r="BB335">
        <v>1.7</v>
      </c>
      <c r="BC335">
        <v>2.23</v>
      </c>
      <c r="BD335">
        <v>1.73</v>
      </c>
      <c r="BE335">
        <v>2.27</v>
      </c>
      <c r="BF335">
        <v>1.67</v>
      </c>
      <c r="BG335">
        <v>2.21</v>
      </c>
      <c r="BH335">
        <v>1.73</v>
      </c>
      <c r="BI335">
        <v>2.34</v>
      </c>
      <c r="BJ335">
        <v>-0.75</v>
      </c>
      <c r="BK335">
        <v>1.88</v>
      </c>
      <c r="BL335">
        <v>2.02</v>
      </c>
      <c r="BM335">
        <v>1.89</v>
      </c>
      <c r="BN335">
        <v>2.0099999999999998</v>
      </c>
      <c r="BO335">
        <v>1.9</v>
      </c>
      <c r="BP335">
        <v>2.02</v>
      </c>
      <c r="BQ335">
        <v>1.85</v>
      </c>
      <c r="BR335">
        <v>1.98</v>
      </c>
      <c r="BS335">
        <v>1.96</v>
      </c>
      <c r="BT335">
        <v>2.02</v>
      </c>
      <c r="BU335">
        <v>1.75</v>
      </c>
      <c r="BV335">
        <v>4</v>
      </c>
      <c r="BW335">
        <v>4.2</v>
      </c>
      <c r="CA335">
        <v>1.73</v>
      </c>
      <c r="CB335">
        <v>4</v>
      </c>
      <c r="CC335">
        <v>4.5999999999999996</v>
      </c>
      <c r="CD335">
        <v>1.79</v>
      </c>
      <c r="CE335">
        <v>4</v>
      </c>
      <c r="CF335">
        <v>4.46</v>
      </c>
      <c r="CJ335">
        <v>1.8</v>
      </c>
      <c r="CK335">
        <v>4.1100000000000003</v>
      </c>
      <c r="CL335">
        <v>4.32</v>
      </c>
      <c r="CM335">
        <v>1.84</v>
      </c>
      <c r="CN335">
        <v>4.1100000000000003</v>
      </c>
      <c r="CO335">
        <v>4.66</v>
      </c>
      <c r="CP335">
        <v>1.78</v>
      </c>
      <c r="CQ335">
        <v>3.96</v>
      </c>
      <c r="CR335">
        <v>4.3600000000000003</v>
      </c>
      <c r="CS335">
        <v>1.85</v>
      </c>
      <c r="CT335">
        <v>4.0999999999999996</v>
      </c>
      <c r="CU335">
        <v>4.5999999999999996</v>
      </c>
      <c r="CV335">
        <v>1.73</v>
      </c>
      <c r="CW335">
        <v>2.1</v>
      </c>
      <c r="CX335">
        <v>1.76</v>
      </c>
      <c r="CY335">
        <v>2.15</v>
      </c>
      <c r="CZ335">
        <v>1.82</v>
      </c>
      <c r="DA335">
        <v>2.2999999999999998</v>
      </c>
      <c r="DB335">
        <v>1.72</v>
      </c>
      <c r="DC335">
        <v>2.14</v>
      </c>
      <c r="DD335">
        <v>1.78</v>
      </c>
      <c r="DE335">
        <v>2.2599999999999998</v>
      </c>
      <c r="DF335">
        <v>-0.75</v>
      </c>
      <c r="DG335">
        <v>2.02</v>
      </c>
      <c r="DH335">
        <v>1.88</v>
      </c>
      <c r="DI335">
        <v>2.02</v>
      </c>
      <c r="DJ335">
        <v>1.9</v>
      </c>
      <c r="DK335">
        <v>2.06</v>
      </c>
      <c r="DL335">
        <v>1.9</v>
      </c>
      <c r="DM335">
        <v>2</v>
      </c>
      <c r="DN335">
        <v>1.87</v>
      </c>
      <c r="DO335">
        <v>2.0699999999999998</v>
      </c>
      <c r="DP335">
        <v>1.92</v>
      </c>
    </row>
    <row r="336" spans="1:120" x14ac:dyDescent="0.3">
      <c r="A336" t="s">
        <v>120</v>
      </c>
      <c r="B336" t="s">
        <v>231</v>
      </c>
      <c r="C336" s="1">
        <v>0.625</v>
      </c>
      <c r="D336" t="s">
        <v>138</v>
      </c>
      <c r="E336" t="s">
        <v>128</v>
      </c>
      <c r="F336">
        <v>3</v>
      </c>
      <c r="G336">
        <v>0</v>
      </c>
      <c r="H336" t="s">
        <v>124</v>
      </c>
      <c r="I336">
        <v>1</v>
      </c>
      <c r="J336">
        <v>0</v>
      </c>
      <c r="K336" t="s">
        <v>124</v>
      </c>
      <c r="L336" t="s">
        <v>160</v>
      </c>
      <c r="M336">
        <v>25</v>
      </c>
      <c r="N336">
        <v>4</v>
      </c>
      <c r="O336">
        <v>5</v>
      </c>
      <c r="P336">
        <v>0</v>
      </c>
      <c r="Q336">
        <v>9</v>
      </c>
      <c r="R336">
        <v>9</v>
      </c>
      <c r="S336">
        <v>11</v>
      </c>
      <c r="T336">
        <v>2</v>
      </c>
      <c r="U336">
        <v>1</v>
      </c>
      <c r="V336">
        <v>2</v>
      </c>
      <c r="W336">
        <v>0</v>
      </c>
      <c r="X336">
        <v>1</v>
      </c>
      <c r="Y336">
        <v>1.18</v>
      </c>
      <c r="Z336">
        <v>7.5</v>
      </c>
      <c r="AA336">
        <v>13</v>
      </c>
      <c r="AE336">
        <v>1.17</v>
      </c>
      <c r="AF336">
        <v>8</v>
      </c>
      <c r="AG336">
        <v>17</v>
      </c>
      <c r="AH336">
        <v>1.18</v>
      </c>
      <c r="AI336">
        <v>8.02</v>
      </c>
      <c r="AJ336">
        <v>14.29</v>
      </c>
      <c r="AN336">
        <v>1.19</v>
      </c>
      <c r="AO336">
        <v>8</v>
      </c>
      <c r="AP336">
        <v>16.5</v>
      </c>
      <c r="AQ336">
        <v>1.19</v>
      </c>
      <c r="AR336">
        <v>8.1999999999999993</v>
      </c>
      <c r="AS336">
        <v>17</v>
      </c>
      <c r="AT336">
        <v>1.18</v>
      </c>
      <c r="AU336">
        <v>7.72</v>
      </c>
      <c r="AV336">
        <v>14.89</v>
      </c>
      <c r="AW336">
        <v>1.21</v>
      </c>
      <c r="AX336">
        <v>8.4</v>
      </c>
      <c r="AY336">
        <v>18</v>
      </c>
      <c r="AZ336">
        <v>1.36</v>
      </c>
      <c r="BA336">
        <v>3.2</v>
      </c>
      <c r="BB336">
        <v>1.35</v>
      </c>
      <c r="BC336">
        <v>3.28</v>
      </c>
      <c r="BD336">
        <v>1.36</v>
      </c>
      <c r="BE336">
        <v>3.3</v>
      </c>
      <c r="BF336">
        <v>1.34</v>
      </c>
      <c r="BG336">
        <v>3.18</v>
      </c>
      <c r="BH336">
        <v>1.38</v>
      </c>
      <c r="BI336">
        <v>3.55</v>
      </c>
      <c r="BJ336">
        <v>-2</v>
      </c>
      <c r="BK336">
        <v>1.85</v>
      </c>
      <c r="BL336">
        <v>2.0499999999999998</v>
      </c>
      <c r="BM336">
        <v>1.81</v>
      </c>
      <c r="BN336">
        <v>2.06</v>
      </c>
      <c r="BO336">
        <v>1.85</v>
      </c>
      <c r="BP336">
        <v>2.06</v>
      </c>
      <c r="BQ336">
        <v>1.81</v>
      </c>
      <c r="BR336">
        <v>2.0299999999999998</v>
      </c>
      <c r="BS336">
        <v>1.83</v>
      </c>
      <c r="BT336">
        <v>2.12</v>
      </c>
      <c r="BU336">
        <v>1.2</v>
      </c>
      <c r="BV336">
        <v>7</v>
      </c>
      <c r="BW336">
        <v>13</v>
      </c>
      <c r="CA336">
        <v>1.1399999999999999</v>
      </c>
      <c r="CB336">
        <v>9</v>
      </c>
      <c r="CC336">
        <v>18</v>
      </c>
      <c r="CD336">
        <v>1.17</v>
      </c>
      <c r="CE336">
        <v>8.5</v>
      </c>
      <c r="CF336">
        <v>17.5</v>
      </c>
      <c r="CJ336">
        <v>1.18</v>
      </c>
      <c r="CK336">
        <v>8.06</v>
      </c>
      <c r="CL336">
        <v>16.100000000000001</v>
      </c>
      <c r="CM336">
        <v>1.2</v>
      </c>
      <c r="CN336">
        <v>9.4</v>
      </c>
      <c r="CO336">
        <v>18</v>
      </c>
      <c r="CP336">
        <v>1.17</v>
      </c>
      <c r="CQ336">
        <v>8.08</v>
      </c>
      <c r="CR336">
        <v>15.61</v>
      </c>
      <c r="CS336">
        <v>1.19</v>
      </c>
      <c r="CT336">
        <v>8.8000000000000007</v>
      </c>
      <c r="CU336">
        <v>20</v>
      </c>
      <c r="CV336">
        <v>1.33</v>
      </c>
      <c r="CW336">
        <v>3.4</v>
      </c>
      <c r="CX336">
        <v>1.34</v>
      </c>
      <c r="CY336">
        <v>3.3</v>
      </c>
      <c r="CZ336">
        <v>1.36</v>
      </c>
      <c r="DA336">
        <v>3.58</v>
      </c>
      <c r="DB336">
        <v>1.33</v>
      </c>
      <c r="DC336">
        <v>3.32</v>
      </c>
      <c r="DD336">
        <v>1.38</v>
      </c>
      <c r="DE336">
        <v>3.55</v>
      </c>
      <c r="DF336">
        <v>-2</v>
      </c>
      <c r="DG336">
        <v>1.89</v>
      </c>
      <c r="DH336">
        <v>2.0099999999999998</v>
      </c>
      <c r="DI336">
        <v>1.88</v>
      </c>
      <c r="DJ336">
        <v>2.0299999999999998</v>
      </c>
      <c r="DK336">
        <v>1.89</v>
      </c>
      <c r="DL336">
        <v>2.15</v>
      </c>
      <c r="DM336">
        <v>1.81</v>
      </c>
      <c r="DN336">
        <v>2.06</v>
      </c>
      <c r="DO336">
        <v>1.81</v>
      </c>
      <c r="DP336">
        <v>2.1800000000000002</v>
      </c>
    </row>
    <row r="337" spans="1:120" x14ac:dyDescent="0.3">
      <c r="A337" t="s">
        <v>120</v>
      </c>
      <c r="B337" t="s">
        <v>231</v>
      </c>
      <c r="C337" s="1">
        <v>0.625</v>
      </c>
      <c r="D337" t="s">
        <v>139</v>
      </c>
      <c r="E337" t="s">
        <v>123</v>
      </c>
      <c r="F337">
        <v>1</v>
      </c>
      <c r="G337">
        <v>2</v>
      </c>
      <c r="H337" t="s">
        <v>130</v>
      </c>
      <c r="I337">
        <v>1</v>
      </c>
      <c r="J337">
        <v>0</v>
      </c>
      <c r="K337" t="s">
        <v>124</v>
      </c>
      <c r="L337" t="s">
        <v>146</v>
      </c>
      <c r="M337">
        <v>7</v>
      </c>
      <c r="N337">
        <v>26</v>
      </c>
      <c r="O337">
        <v>3</v>
      </c>
      <c r="P337">
        <v>5</v>
      </c>
      <c r="Q337">
        <v>10</v>
      </c>
      <c r="R337">
        <v>12</v>
      </c>
      <c r="S337">
        <v>0</v>
      </c>
      <c r="T337">
        <v>13</v>
      </c>
      <c r="U337">
        <v>1</v>
      </c>
      <c r="V337">
        <v>1</v>
      </c>
      <c r="W337">
        <v>0</v>
      </c>
      <c r="X337">
        <v>0</v>
      </c>
      <c r="Y337">
        <v>5.25</v>
      </c>
      <c r="Z337">
        <v>4</v>
      </c>
      <c r="AA337">
        <v>1.6</v>
      </c>
      <c r="AE337">
        <v>5</v>
      </c>
      <c r="AF337">
        <v>4</v>
      </c>
      <c r="AG337">
        <v>1.67</v>
      </c>
      <c r="AH337">
        <v>5.28</v>
      </c>
      <c r="AI337">
        <v>4.2</v>
      </c>
      <c r="AJ337">
        <v>1.64</v>
      </c>
      <c r="AN337">
        <v>5.44</v>
      </c>
      <c r="AO337">
        <v>4.18</v>
      </c>
      <c r="AP337">
        <v>1.66</v>
      </c>
      <c r="AQ337">
        <v>5.44</v>
      </c>
      <c r="AR337">
        <v>4.3</v>
      </c>
      <c r="AS337">
        <v>1.67</v>
      </c>
      <c r="AT337">
        <v>5.17</v>
      </c>
      <c r="AU337">
        <v>4.1100000000000003</v>
      </c>
      <c r="AV337">
        <v>1.64</v>
      </c>
      <c r="AW337">
        <v>5.8</v>
      </c>
      <c r="AX337">
        <v>4.3</v>
      </c>
      <c r="AY337">
        <v>1.67</v>
      </c>
      <c r="AZ337">
        <v>1.73</v>
      </c>
      <c r="BA337">
        <v>2.1</v>
      </c>
      <c r="BB337">
        <v>1.73</v>
      </c>
      <c r="BC337">
        <v>2.17</v>
      </c>
      <c r="BD337">
        <v>1.76</v>
      </c>
      <c r="BE337">
        <v>2.19</v>
      </c>
      <c r="BF337">
        <v>1.71</v>
      </c>
      <c r="BG337">
        <v>2.13</v>
      </c>
      <c r="BH337">
        <v>1.75</v>
      </c>
      <c r="BI337">
        <v>2.2599999999999998</v>
      </c>
      <c r="BJ337">
        <v>1</v>
      </c>
      <c r="BK337">
        <v>1.81</v>
      </c>
      <c r="BL337">
        <v>2.09</v>
      </c>
      <c r="BM337">
        <v>1.82</v>
      </c>
      <c r="BN337">
        <v>2.1</v>
      </c>
      <c r="BO337">
        <v>1.82</v>
      </c>
      <c r="BP337">
        <v>2.13</v>
      </c>
      <c r="BQ337">
        <v>1.78</v>
      </c>
      <c r="BR337">
        <v>2.0699999999999998</v>
      </c>
      <c r="BS337">
        <v>1.88</v>
      </c>
      <c r="BT337">
        <v>2.11</v>
      </c>
      <c r="BU337">
        <v>5</v>
      </c>
      <c r="BV337">
        <v>4</v>
      </c>
      <c r="BW337">
        <v>1.65</v>
      </c>
      <c r="CA337">
        <v>5</v>
      </c>
      <c r="CB337">
        <v>4</v>
      </c>
      <c r="CC337">
        <v>1.62</v>
      </c>
      <c r="CD337">
        <v>5.08</v>
      </c>
      <c r="CE337">
        <v>4.1100000000000003</v>
      </c>
      <c r="CF337">
        <v>1.68</v>
      </c>
      <c r="CJ337">
        <v>5.4</v>
      </c>
      <c r="CK337">
        <v>4.1100000000000003</v>
      </c>
      <c r="CL337">
        <v>1.66</v>
      </c>
      <c r="CM337">
        <v>5.53</v>
      </c>
      <c r="CN337">
        <v>4.2</v>
      </c>
      <c r="CO337">
        <v>1.7</v>
      </c>
      <c r="CP337">
        <v>5.15</v>
      </c>
      <c r="CQ337">
        <v>4.08</v>
      </c>
      <c r="CR337">
        <v>1.65</v>
      </c>
      <c r="CS337">
        <v>5.7</v>
      </c>
      <c r="CT337">
        <v>4.3</v>
      </c>
      <c r="CU337">
        <v>1.68</v>
      </c>
      <c r="CV337">
        <v>1.67</v>
      </c>
      <c r="CW337">
        <v>2.2000000000000002</v>
      </c>
      <c r="CX337">
        <v>1.7</v>
      </c>
      <c r="CY337">
        <v>2.25</v>
      </c>
      <c r="CZ337">
        <v>1.7</v>
      </c>
      <c r="DA337">
        <v>2.33</v>
      </c>
      <c r="DB337">
        <v>1.68</v>
      </c>
      <c r="DC337">
        <v>2.21</v>
      </c>
      <c r="DD337">
        <v>1.76</v>
      </c>
      <c r="DE337">
        <v>2.2799999999999998</v>
      </c>
      <c r="DF337">
        <v>0.75</v>
      </c>
      <c r="DG337">
        <v>2.0499999999999998</v>
      </c>
      <c r="DH337">
        <v>1.85</v>
      </c>
      <c r="DI337">
        <v>2.0499999999999998</v>
      </c>
      <c r="DJ337">
        <v>1.88</v>
      </c>
      <c r="DK337">
        <v>2.09</v>
      </c>
      <c r="DL337">
        <v>1.88</v>
      </c>
      <c r="DM337">
        <v>2.04</v>
      </c>
      <c r="DN337">
        <v>1.83</v>
      </c>
      <c r="DO337">
        <v>2.15</v>
      </c>
      <c r="DP337">
        <v>1.85</v>
      </c>
    </row>
    <row r="338" spans="1:120" x14ac:dyDescent="0.3">
      <c r="A338" t="s">
        <v>120</v>
      </c>
      <c r="B338" t="s">
        <v>231</v>
      </c>
      <c r="C338" s="1">
        <v>0.625</v>
      </c>
      <c r="D338" t="s">
        <v>133</v>
      </c>
      <c r="E338" t="s">
        <v>155</v>
      </c>
      <c r="F338">
        <v>3</v>
      </c>
      <c r="G338">
        <v>0</v>
      </c>
      <c r="H338" t="s">
        <v>124</v>
      </c>
      <c r="I338">
        <v>1</v>
      </c>
      <c r="J338">
        <v>0</v>
      </c>
      <c r="K338" t="s">
        <v>124</v>
      </c>
      <c r="L338" t="s">
        <v>150</v>
      </c>
      <c r="M338">
        <v>20</v>
      </c>
      <c r="N338">
        <v>8</v>
      </c>
      <c r="O338">
        <v>6</v>
      </c>
      <c r="P338">
        <v>2</v>
      </c>
      <c r="Q338">
        <v>7</v>
      </c>
      <c r="R338">
        <v>17</v>
      </c>
      <c r="S338">
        <v>4</v>
      </c>
      <c r="T338">
        <v>2</v>
      </c>
      <c r="U338">
        <v>1</v>
      </c>
      <c r="V338">
        <v>4</v>
      </c>
      <c r="W338">
        <v>0</v>
      </c>
      <c r="X338">
        <v>0</v>
      </c>
      <c r="Y338">
        <v>1.5</v>
      </c>
      <c r="Z338">
        <v>4.2</v>
      </c>
      <c r="AA338">
        <v>6.25</v>
      </c>
      <c r="AE338">
        <v>1.5</v>
      </c>
      <c r="AF338">
        <v>4.33</v>
      </c>
      <c r="AG338">
        <v>6.5</v>
      </c>
      <c r="AH338">
        <v>1.52</v>
      </c>
      <c r="AI338">
        <v>4.45</v>
      </c>
      <c r="AJ338">
        <v>6.49</v>
      </c>
      <c r="AN338">
        <v>1.54</v>
      </c>
      <c r="AO338">
        <v>4.54</v>
      </c>
      <c r="AP338">
        <v>6.42</v>
      </c>
      <c r="AQ338">
        <v>1.54</v>
      </c>
      <c r="AR338">
        <v>4.55</v>
      </c>
      <c r="AS338">
        <v>6.5</v>
      </c>
      <c r="AT338">
        <v>1.51</v>
      </c>
      <c r="AU338">
        <v>4.38</v>
      </c>
      <c r="AV338">
        <v>6.24</v>
      </c>
      <c r="AW338">
        <v>1.59</v>
      </c>
      <c r="AX338">
        <v>4.4000000000000004</v>
      </c>
      <c r="AY338">
        <v>6.8</v>
      </c>
      <c r="AZ338">
        <v>1.73</v>
      </c>
      <c r="BA338">
        <v>2.1</v>
      </c>
      <c r="BB338">
        <v>1.76</v>
      </c>
      <c r="BC338">
        <v>2.12</v>
      </c>
      <c r="BD338">
        <v>1.8</v>
      </c>
      <c r="BE338">
        <v>2.13</v>
      </c>
      <c r="BF338">
        <v>1.75</v>
      </c>
      <c r="BG338">
        <v>2.09</v>
      </c>
      <c r="BH338">
        <v>1.81</v>
      </c>
      <c r="BI338">
        <v>2.1800000000000002</v>
      </c>
      <c r="BJ338">
        <v>-1</v>
      </c>
      <c r="BK338">
        <v>1.87</v>
      </c>
      <c r="BL338">
        <v>2.0299999999999998</v>
      </c>
      <c r="BM338">
        <v>1.86</v>
      </c>
      <c r="BN338">
        <v>2.0499999999999998</v>
      </c>
      <c r="BO338">
        <v>1.9</v>
      </c>
      <c r="BP338">
        <v>2.0499999999999998</v>
      </c>
      <c r="BQ338">
        <v>1.85</v>
      </c>
      <c r="BR338">
        <v>1.99</v>
      </c>
      <c r="BS338">
        <v>1.93</v>
      </c>
      <c r="BT338">
        <v>2.0499999999999998</v>
      </c>
      <c r="BU338">
        <v>1.53</v>
      </c>
      <c r="BV338">
        <v>4.2</v>
      </c>
      <c r="BW338">
        <v>6</v>
      </c>
      <c r="CA338">
        <v>1.5</v>
      </c>
      <c r="CB338">
        <v>4.4000000000000004</v>
      </c>
      <c r="CC338">
        <v>6.5</v>
      </c>
      <c r="CD338">
        <v>1.55</v>
      </c>
      <c r="CE338">
        <v>4.46</v>
      </c>
      <c r="CF338">
        <v>6.03</v>
      </c>
      <c r="CJ338">
        <v>1.56</v>
      </c>
      <c r="CK338">
        <v>4.3099999999999996</v>
      </c>
      <c r="CL338">
        <v>6.41</v>
      </c>
      <c r="CM338">
        <v>1.56</v>
      </c>
      <c r="CN338">
        <v>4.8499999999999996</v>
      </c>
      <c r="CO338">
        <v>6.5</v>
      </c>
      <c r="CP338">
        <v>1.53</v>
      </c>
      <c r="CQ338">
        <v>4.3899999999999997</v>
      </c>
      <c r="CR338">
        <v>6.11</v>
      </c>
      <c r="CS338">
        <v>1.57</v>
      </c>
      <c r="CT338">
        <v>4.5999999999999996</v>
      </c>
      <c r="CU338">
        <v>6.8</v>
      </c>
      <c r="CV338">
        <v>1.73</v>
      </c>
      <c r="CW338">
        <v>2.1</v>
      </c>
      <c r="CX338">
        <v>1.76</v>
      </c>
      <c r="CY338">
        <v>2.14</v>
      </c>
      <c r="CZ338">
        <v>1.82</v>
      </c>
      <c r="DA338">
        <v>2.21</v>
      </c>
      <c r="DB338">
        <v>1.73</v>
      </c>
      <c r="DC338">
        <v>2.13</v>
      </c>
      <c r="DD338">
        <v>1.8</v>
      </c>
      <c r="DE338">
        <v>2.2400000000000002</v>
      </c>
      <c r="DF338">
        <v>-1</v>
      </c>
      <c r="DG338">
        <v>1.93</v>
      </c>
      <c r="DH338">
        <v>1.97</v>
      </c>
      <c r="DI338">
        <v>1.93</v>
      </c>
      <c r="DJ338">
        <v>1.99</v>
      </c>
      <c r="DK338">
        <v>1.94</v>
      </c>
      <c r="DL338">
        <v>2.0499999999999998</v>
      </c>
      <c r="DM338">
        <v>1.89</v>
      </c>
      <c r="DN338">
        <v>1.98</v>
      </c>
      <c r="DO338">
        <v>1.94</v>
      </c>
      <c r="DP338">
        <v>2.0499999999999998</v>
      </c>
    </row>
    <row r="339" spans="1:120" x14ac:dyDescent="0.3">
      <c r="A339" t="s">
        <v>120</v>
      </c>
      <c r="B339" t="s">
        <v>232</v>
      </c>
      <c r="C339" s="1">
        <v>0.58333333333333337</v>
      </c>
      <c r="D339" t="s">
        <v>142</v>
      </c>
      <c r="E339" t="s">
        <v>122</v>
      </c>
      <c r="F339">
        <v>1</v>
      </c>
      <c r="G339">
        <v>1</v>
      </c>
      <c r="H339" t="s">
        <v>125</v>
      </c>
      <c r="I339">
        <v>1</v>
      </c>
      <c r="J339">
        <v>0</v>
      </c>
      <c r="K339" t="s">
        <v>124</v>
      </c>
      <c r="L339" t="s">
        <v>171</v>
      </c>
      <c r="M339">
        <v>8</v>
      </c>
      <c r="N339">
        <v>25</v>
      </c>
      <c r="O339">
        <v>1</v>
      </c>
      <c r="P339">
        <v>6</v>
      </c>
      <c r="Q339">
        <v>11</v>
      </c>
      <c r="R339">
        <v>12</v>
      </c>
      <c r="S339">
        <v>5</v>
      </c>
      <c r="T339">
        <v>10</v>
      </c>
      <c r="U339">
        <v>4</v>
      </c>
      <c r="V339">
        <v>2</v>
      </c>
      <c r="W339">
        <v>1</v>
      </c>
      <c r="X339">
        <v>0</v>
      </c>
      <c r="Y339">
        <v>1.67</v>
      </c>
      <c r="Z339">
        <v>4</v>
      </c>
      <c r="AA339">
        <v>4.5</v>
      </c>
      <c r="AE339">
        <v>1.7</v>
      </c>
      <c r="AF339">
        <v>4.0999999999999996</v>
      </c>
      <c r="AG339">
        <v>4.75</v>
      </c>
      <c r="AH339">
        <v>1.68</v>
      </c>
      <c r="AI339">
        <v>4.21</v>
      </c>
      <c r="AJ339">
        <v>4.8600000000000003</v>
      </c>
      <c r="AN339">
        <v>1.71</v>
      </c>
      <c r="AO339">
        <v>4.2300000000000004</v>
      </c>
      <c r="AP339">
        <v>4.8899999999999997</v>
      </c>
      <c r="AQ339">
        <v>1.71</v>
      </c>
      <c r="AR339">
        <v>4.25</v>
      </c>
      <c r="AS339">
        <v>4.95</v>
      </c>
      <c r="AT339">
        <v>1.67</v>
      </c>
      <c r="AU339">
        <v>4.13</v>
      </c>
      <c r="AV339">
        <v>4.7699999999999996</v>
      </c>
      <c r="AW339">
        <v>1.72</v>
      </c>
      <c r="AX339">
        <v>4.3</v>
      </c>
      <c r="AY339">
        <v>5</v>
      </c>
      <c r="AZ339">
        <v>1.67</v>
      </c>
      <c r="BA339">
        <v>2.2000000000000002</v>
      </c>
      <c r="BB339">
        <v>1.71</v>
      </c>
      <c r="BC339">
        <v>2.2000000000000002</v>
      </c>
      <c r="BD339">
        <v>1.74</v>
      </c>
      <c r="BE339">
        <v>2.25</v>
      </c>
      <c r="BF339">
        <v>1.68</v>
      </c>
      <c r="BG339">
        <v>2.2000000000000002</v>
      </c>
      <c r="BH339">
        <v>1.74</v>
      </c>
      <c r="BI339">
        <v>2.2999999999999998</v>
      </c>
      <c r="BJ339">
        <v>-0.75</v>
      </c>
      <c r="BK339">
        <v>1.88</v>
      </c>
      <c r="BL339">
        <v>2.02</v>
      </c>
      <c r="BM339">
        <v>1.88</v>
      </c>
      <c r="BN339">
        <v>2.0299999999999998</v>
      </c>
      <c r="BO339">
        <v>1.88</v>
      </c>
      <c r="BP339">
        <v>2.0299999999999998</v>
      </c>
      <c r="BQ339">
        <v>1.85</v>
      </c>
      <c r="BR339">
        <v>1.98</v>
      </c>
      <c r="BS339">
        <v>1.92</v>
      </c>
      <c r="BT339">
        <v>2.06</v>
      </c>
      <c r="BU339">
        <v>1.91</v>
      </c>
      <c r="BV339">
        <v>3.8</v>
      </c>
      <c r="BW339">
        <v>3.7</v>
      </c>
      <c r="CA339">
        <v>1.87</v>
      </c>
      <c r="CB339">
        <v>3.7</v>
      </c>
      <c r="CC339">
        <v>3.9</v>
      </c>
      <c r="CD339">
        <v>1.98</v>
      </c>
      <c r="CE339">
        <v>3.93</v>
      </c>
      <c r="CF339">
        <v>3.72</v>
      </c>
      <c r="CJ339">
        <v>2.02</v>
      </c>
      <c r="CK339">
        <v>3.9</v>
      </c>
      <c r="CL339">
        <v>3.58</v>
      </c>
      <c r="CM339">
        <v>2.02</v>
      </c>
      <c r="CN339">
        <v>4.0999999999999996</v>
      </c>
      <c r="CO339">
        <v>4</v>
      </c>
      <c r="CP339">
        <v>1.95</v>
      </c>
      <c r="CQ339">
        <v>3.83</v>
      </c>
      <c r="CR339">
        <v>3.69</v>
      </c>
      <c r="CS339">
        <v>1.99</v>
      </c>
      <c r="CT339">
        <v>4</v>
      </c>
      <c r="CU339">
        <v>3.9</v>
      </c>
      <c r="CV339">
        <v>1.73</v>
      </c>
      <c r="CW339">
        <v>2.1</v>
      </c>
      <c r="CX339">
        <v>1.74</v>
      </c>
      <c r="CY339">
        <v>2.19</v>
      </c>
      <c r="CZ339">
        <v>1.82</v>
      </c>
      <c r="DA339">
        <v>2.2799999999999998</v>
      </c>
      <c r="DB339">
        <v>1.71</v>
      </c>
      <c r="DC339">
        <v>2.17</v>
      </c>
      <c r="DD339">
        <v>1.73</v>
      </c>
      <c r="DE339">
        <v>2.34</v>
      </c>
      <c r="DF339">
        <v>-0.5</v>
      </c>
      <c r="DG339">
        <v>1.98</v>
      </c>
      <c r="DH339">
        <v>1.92</v>
      </c>
      <c r="DI339">
        <v>1.99</v>
      </c>
      <c r="DJ339">
        <v>1.93</v>
      </c>
      <c r="DK339">
        <v>2</v>
      </c>
      <c r="DL339">
        <v>2</v>
      </c>
      <c r="DM339">
        <v>1.94</v>
      </c>
      <c r="DN339">
        <v>1.91</v>
      </c>
      <c r="DO339">
        <v>1.98</v>
      </c>
      <c r="DP339">
        <v>2.02</v>
      </c>
    </row>
    <row r="340" spans="1:120" x14ac:dyDescent="0.3">
      <c r="A340" t="s">
        <v>120</v>
      </c>
      <c r="B340" t="s">
        <v>232</v>
      </c>
      <c r="C340" s="1">
        <v>0.6875</v>
      </c>
      <c r="D340" t="s">
        <v>129</v>
      </c>
      <c r="E340" t="s">
        <v>156</v>
      </c>
      <c r="F340">
        <v>5</v>
      </c>
      <c r="G340">
        <v>1</v>
      </c>
      <c r="H340" t="s">
        <v>124</v>
      </c>
      <c r="I340">
        <v>3</v>
      </c>
      <c r="J340">
        <v>1</v>
      </c>
      <c r="K340" t="s">
        <v>124</v>
      </c>
      <c r="L340" t="s">
        <v>185</v>
      </c>
      <c r="M340">
        <v>25</v>
      </c>
      <c r="N340">
        <v>8</v>
      </c>
      <c r="O340">
        <v>8</v>
      </c>
      <c r="P340">
        <v>3</v>
      </c>
      <c r="Q340">
        <v>16</v>
      </c>
      <c r="R340">
        <v>9</v>
      </c>
      <c r="S340">
        <v>8</v>
      </c>
      <c r="T340">
        <v>2</v>
      </c>
      <c r="U340">
        <v>2</v>
      </c>
      <c r="V340">
        <v>1</v>
      </c>
      <c r="W340">
        <v>0</v>
      </c>
      <c r="X340">
        <v>0</v>
      </c>
      <c r="Y340">
        <v>1.25</v>
      </c>
      <c r="Z340">
        <v>6</v>
      </c>
      <c r="AA340">
        <v>11</v>
      </c>
      <c r="AE340">
        <v>1.22</v>
      </c>
      <c r="AF340">
        <v>6.5</v>
      </c>
      <c r="AG340">
        <v>11</v>
      </c>
      <c r="AH340">
        <v>1.27</v>
      </c>
      <c r="AI340">
        <v>6.89</v>
      </c>
      <c r="AJ340">
        <v>9.07</v>
      </c>
      <c r="AN340">
        <v>1.27</v>
      </c>
      <c r="AO340">
        <v>6.78</v>
      </c>
      <c r="AP340">
        <v>10.7</v>
      </c>
      <c r="AQ340">
        <v>1.27</v>
      </c>
      <c r="AR340">
        <v>6.89</v>
      </c>
      <c r="AS340">
        <v>11</v>
      </c>
      <c r="AT340">
        <v>1.25</v>
      </c>
      <c r="AU340">
        <v>6.57</v>
      </c>
      <c r="AV340">
        <v>9.98</v>
      </c>
      <c r="AW340">
        <v>1.27</v>
      </c>
      <c r="AX340">
        <v>7.2</v>
      </c>
      <c r="AY340">
        <v>11.5</v>
      </c>
      <c r="AZ340">
        <v>1.33</v>
      </c>
      <c r="BA340">
        <v>3.4</v>
      </c>
      <c r="BB340">
        <v>1.32</v>
      </c>
      <c r="BC340">
        <v>3.43</v>
      </c>
      <c r="BD340">
        <v>1.33</v>
      </c>
      <c r="BE340">
        <v>3.55</v>
      </c>
      <c r="BF340">
        <v>1.31</v>
      </c>
      <c r="BG340">
        <v>3.38</v>
      </c>
      <c r="BH340">
        <v>1.36</v>
      </c>
      <c r="BI340">
        <v>3.65</v>
      </c>
      <c r="BJ340">
        <v>-1.75</v>
      </c>
      <c r="BK340">
        <v>1.87</v>
      </c>
      <c r="BL340">
        <v>2.0299999999999998</v>
      </c>
      <c r="BM340">
        <v>1.87</v>
      </c>
      <c r="BN340">
        <v>2.02</v>
      </c>
      <c r="BO340">
        <v>1.87</v>
      </c>
      <c r="BP340">
        <v>2.04</v>
      </c>
      <c r="BQ340">
        <v>1.83</v>
      </c>
      <c r="BR340">
        <v>2</v>
      </c>
      <c r="BS340">
        <v>1.87</v>
      </c>
      <c r="BT340">
        <v>2.08</v>
      </c>
      <c r="BU340">
        <v>1.2</v>
      </c>
      <c r="BV340">
        <v>7</v>
      </c>
      <c r="BW340">
        <v>13</v>
      </c>
      <c r="CA340">
        <v>1.18</v>
      </c>
      <c r="CB340">
        <v>7</v>
      </c>
      <c r="CC340">
        <v>11</v>
      </c>
      <c r="CD340">
        <v>1.2</v>
      </c>
      <c r="CE340">
        <v>7.95</v>
      </c>
      <c r="CF340">
        <v>13.75</v>
      </c>
      <c r="CJ340">
        <v>1.23</v>
      </c>
      <c r="CK340">
        <v>7.1</v>
      </c>
      <c r="CL340">
        <v>13.4</v>
      </c>
      <c r="CM340">
        <v>1.26</v>
      </c>
      <c r="CN340">
        <v>8</v>
      </c>
      <c r="CO340">
        <v>15</v>
      </c>
      <c r="CP340">
        <v>1.2</v>
      </c>
      <c r="CQ340">
        <v>7.4</v>
      </c>
      <c r="CR340">
        <v>12.79</v>
      </c>
      <c r="CS340">
        <v>1.24</v>
      </c>
      <c r="CT340">
        <v>8</v>
      </c>
      <c r="CU340">
        <v>14</v>
      </c>
      <c r="CV340">
        <v>1.3</v>
      </c>
      <c r="CW340">
        <v>3.5</v>
      </c>
      <c r="CX340">
        <v>1.32</v>
      </c>
      <c r="CY340">
        <v>3.48</v>
      </c>
      <c r="CZ340">
        <v>1.32</v>
      </c>
      <c r="DA340">
        <v>4.0999999999999996</v>
      </c>
      <c r="DB340">
        <v>1.3</v>
      </c>
      <c r="DC340">
        <v>3.55</v>
      </c>
      <c r="DD340">
        <v>1.33</v>
      </c>
      <c r="DE340">
        <v>3.95</v>
      </c>
      <c r="DF340">
        <v>-2</v>
      </c>
      <c r="DG340">
        <v>1.86</v>
      </c>
      <c r="DH340">
        <v>2.04</v>
      </c>
      <c r="DI340">
        <v>1.87</v>
      </c>
      <c r="DJ340">
        <v>2.04</v>
      </c>
      <c r="DK340">
        <v>2</v>
      </c>
      <c r="DL340">
        <v>2.04</v>
      </c>
      <c r="DM340">
        <v>1.87</v>
      </c>
      <c r="DN340">
        <v>1.99</v>
      </c>
      <c r="DO340">
        <v>1.92</v>
      </c>
      <c r="DP340">
        <v>2.06</v>
      </c>
    </row>
    <row r="341" spans="1:120" x14ac:dyDescent="0.3">
      <c r="A341" t="s">
        <v>120</v>
      </c>
      <c r="B341" s="2">
        <v>45662</v>
      </c>
      <c r="C341" s="1">
        <v>0.8125</v>
      </c>
      <c r="D341" t="s">
        <v>141</v>
      </c>
      <c r="E341" t="s">
        <v>148</v>
      </c>
      <c r="F341">
        <v>0</v>
      </c>
      <c r="G341">
        <v>2</v>
      </c>
      <c r="H341" t="s">
        <v>130</v>
      </c>
      <c r="I341">
        <v>0</v>
      </c>
      <c r="J341">
        <v>1</v>
      </c>
      <c r="K341" t="s">
        <v>130</v>
      </c>
      <c r="L341" t="s">
        <v>163</v>
      </c>
      <c r="M341">
        <v>14</v>
      </c>
      <c r="N341">
        <v>11</v>
      </c>
      <c r="O341">
        <v>5</v>
      </c>
      <c r="P341">
        <v>3</v>
      </c>
      <c r="Q341">
        <v>10</v>
      </c>
      <c r="R341">
        <v>12</v>
      </c>
      <c r="S341">
        <v>4</v>
      </c>
      <c r="T341">
        <v>5</v>
      </c>
      <c r="U341">
        <v>3</v>
      </c>
      <c r="V341">
        <v>5</v>
      </c>
      <c r="W341">
        <v>0</v>
      </c>
      <c r="X341">
        <v>0</v>
      </c>
      <c r="Y341">
        <v>2.15</v>
      </c>
      <c r="Z341">
        <v>3.5</v>
      </c>
      <c r="AA341">
        <v>3.25</v>
      </c>
      <c r="AE341">
        <v>2.15</v>
      </c>
      <c r="AF341">
        <v>3.5</v>
      </c>
      <c r="AG341">
        <v>3.3</v>
      </c>
      <c r="AH341">
        <v>2.2000000000000002</v>
      </c>
      <c r="AI341">
        <v>3.58</v>
      </c>
      <c r="AJ341">
        <v>3.34</v>
      </c>
      <c r="AN341">
        <v>2.21</v>
      </c>
      <c r="AO341">
        <v>3.72</v>
      </c>
      <c r="AP341">
        <v>3.28</v>
      </c>
      <c r="AQ341">
        <v>2.2200000000000002</v>
      </c>
      <c r="AR341">
        <v>3.72</v>
      </c>
      <c r="AS341">
        <v>3.34</v>
      </c>
      <c r="AT341">
        <v>2.17</v>
      </c>
      <c r="AU341">
        <v>3.55</v>
      </c>
      <c r="AV341">
        <v>3.27</v>
      </c>
      <c r="AW341">
        <v>2.2599999999999998</v>
      </c>
      <c r="AX341">
        <v>3.7</v>
      </c>
      <c r="AY341">
        <v>3.45</v>
      </c>
      <c r="AZ341">
        <v>1.8</v>
      </c>
      <c r="BA341">
        <v>2</v>
      </c>
      <c r="BB341">
        <v>1.8</v>
      </c>
      <c r="BC341">
        <v>2.09</v>
      </c>
      <c r="BD341">
        <v>1.84</v>
      </c>
      <c r="BE341">
        <v>2.09</v>
      </c>
      <c r="BF341">
        <v>1.79</v>
      </c>
      <c r="BG341">
        <v>2.04</v>
      </c>
      <c r="BH341">
        <v>1.86</v>
      </c>
      <c r="BI341">
        <v>2.1</v>
      </c>
      <c r="BJ341">
        <v>-0.25</v>
      </c>
      <c r="BK341">
        <v>1.9</v>
      </c>
      <c r="BL341">
        <v>2</v>
      </c>
      <c r="BM341">
        <v>1.91</v>
      </c>
      <c r="BN341">
        <v>1.99</v>
      </c>
      <c r="BO341">
        <v>1.91</v>
      </c>
      <c r="BP341">
        <v>2.0099999999999998</v>
      </c>
      <c r="BQ341">
        <v>1.87</v>
      </c>
      <c r="BR341">
        <v>1.96</v>
      </c>
      <c r="BS341">
        <v>1.95</v>
      </c>
      <c r="BT341">
        <v>2.0299999999999998</v>
      </c>
      <c r="BU341">
        <v>2.2999999999999998</v>
      </c>
      <c r="BV341">
        <v>3.5</v>
      </c>
      <c r="BW341">
        <v>3</v>
      </c>
      <c r="CA341">
        <v>2.2999999999999998</v>
      </c>
      <c r="CB341">
        <v>3.5</v>
      </c>
      <c r="CC341">
        <v>3.1</v>
      </c>
      <c r="CD341">
        <v>2.35</v>
      </c>
      <c r="CE341">
        <v>3.61</v>
      </c>
      <c r="CF341">
        <v>3.22</v>
      </c>
      <c r="CJ341">
        <v>2.25</v>
      </c>
      <c r="CK341">
        <v>3.58</v>
      </c>
      <c r="CL341">
        <v>3.26</v>
      </c>
      <c r="CM341">
        <v>2.38</v>
      </c>
      <c r="CN341">
        <v>3.65</v>
      </c>
      <c r="CO341">
        <v>3.26</v>
      </c>
      <c r="CP341">
        <v>2.31</v>
      </c>
      <c r="CQ341">
        <v>3.54</v>
      </c>
      <c r="CR341">
        <v>3.07</v>
      </c>
      <c r="CS341">
        <v>2.4</v>
      </c>
      <c r="CT341">
        <v>3.7</v>
      </c>
      <c r="CU341">
        <v>3.15</v>
      </c>
      <c r="CV341">
        <v>1.73</v>
      </c>
      <c r="CW341">
        <v>2.1</v>
      </c>
      <c r="CX341">
        <v>1.74</v>
      </c>
      <c r="CY341">
        <v>2.2000000000000002</v>
      </c>
      <c r="CZ341">
        <v>1.82</v>
      </c>
      <c r="DA341">
        <v>2.2400000000000002</v>
      </c>
      <c r="DB341">
        <v>1.73</v>
      </c>
      <c r="DC341">
        <v>2.14</v>
      </c>
      <c r="DD341">
        <v>1.74</v>
      </c>
      <c r="DE341">
        <v>2.3199999999999998</v>
      </c>
      <c r="DF341">
        <v>-0.25</v>
      </c>
      <c r="DG341">
        <v>2.0299999999999998</v>
      </c>
      <c r="DH341">
        <v>1.87</v>
      </c>
      <c r="DI341">
        <v>1.97</v>
      </c>
      <c r="DJ341">
        <v>1.95</v>
      </c>
      <c r="DK341">
        <v>2.06</v>
      </c>
      <c r="DL341">
        <v>1.95</v>
      </c>
      <c r="DM341">
        <v>1.98</v>
      </c>
      <c r="DN341">
        <v>1.88</v>
      </c>
      <c r="DO341">
        <v>2.0699999999999998</v>
      </c>
      <c r="DP341">
        <v>1.92</v>
      </c>
    </row>
    <row r="342" spans="1:120" x14ac:dyDescent="0.3">
      <c r="A342" t="s">
        <v>120</v>
      </c>
      <c r="B342" s="2">
        <v>45693</v>
      </c>
      <c r="C342" s="1">
        <v>0.83333333333333337</v>
      </c>
      <c r="D342" t="s">
        <v>152</v>
      </c>
      <c r="E342" t="s">
        <v>133</v>
      </c>
      <c r="F342">
        <v>1</v>
      </c>
      <c r="G342">
        <v>0</v>
      </c>
      <c r="H342" t="s">
        <v>124</v>
      </c>
      <c r="I342">
        <v>1</v>
      </c>
      <c r="J342">
        <v>0</v>
      </c>
      <c r="K342" t="s">
        <v>124</v>
      </c>
      <c r="L342" t="s">
        <v>171</v>
      </c>
      <c r="M342">
        <v>9</v>
      </c>
      <c r="N342">
        <v>6</v>
      </c>
      <c r="O342">
        <v>2</v>
      </c>
      <c r="P342">
        <v>1</v>
      </c>
      <c r="Q342">
        <v>7</v>
      </c>
      <c r="R342">
        <v>11</v>
      </c>
      <c r="S342">
        <v>4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1.4</v>
      </c>
      <c r="Z342">
        <v>4.75</v>
      </c>
      <c r="AA342">
        <v>7.5</v>
      </c>
      <c r="AE342">
        <v>1.36</v>
      </c>
      <c r="AF342">
        <v>5</v>
      </c>
      <c r="AG342">
        <v>8</v>
      </c>
      <c r="AH342">
        <v>1.41</v>
      </c>
      <c r="AI342">
        <v>5.27</v>
      </c>
      <c r="AJ342">
        <v>7.55</v>
      </c>
      <c r="AN342">
        <v>1.43</v>
      </c>
      <c r="AO342">
        <v>5.19</v>
      </c>
      <c r="AP342">
        <v>7.5</v>
      </c>
      <c r="AQ342">
        <v>1.43</v>
      </c>
      <c r="AR342">
        <v>5.3</v>
      </c>
      <c r="AS342">
        <v>8</v>
      </c>
      <c r="AT342">
        <v>1.4</v>
      </c>
      <c r="AU342">
        <v>5.14</v>
      </c>
      <c r="AV342">
        <v>7.49</v>
      </c>
      <c r="AW342">
        <v>1.43</v>
      </c>
      <c r="AX342">
        <v>5.3</v>
      </c>
      <c r="AY342">
        <v>8.6</v>
      </c>
      <c r="AZ342">
        <v>1.53</v>
      </c>
      <c r="BA342">
        <v>2.5</v>
      </c>
      <c r="BB342">
        <v>1.56</v>
      </c>
      <c r="BC342">
        <v>2.56</v>
      </c>
      <c r="BD342">
        <v>1.56</v>
      </c>
      <c r="BE342">
        <v>2.57</v>
      </c>
      <c r="BF342">
        <v>1.52</v>
      </c>
      <c r="BG342">
        <v>2.5099999999999998</v>
      </c>
      <c r="BH342">
        <v>1.58</v>
      </c>
      <c r="BI342">
        <v>2.68</v>
      </c>
      <c r="BJ342">
        <v>-1.25</v>
      </c>
      <c r="BK342">
        <v>1.86</v>
      </c>
      <c r="BL342">
        <v>2.04</v>
      </c>
      <c r="BM342">
        <v>1.88</v>
      </c>
      <c r="BN342">
        <v>2.0499999999999998</v>
      </c>
      <c r="BO342">
        <v>1.88</v>
      </c>
      <c r="BP342">
        <v>2.0699999999999998</v>
      </c>
      <c r="BQ342">
        <v>1.84</v>
      </c>
      <c r="BR342">
        <v>2</v>
      </c>
      <c r="BS342">
        <v>1.91</v>
      </c>
      <c r="BT342">
        <v>2.0699999999999998</v>
      </c>
      <c r="BU342">
        <v>1.33</v>
      </c>
      <c r="BV342">
        <v>5.25</v>
      </c>
      <c r="BW342">
        <v>9</v>
      </c>
      <c r="CA342">
        <v>1.3</v>
      </c>
      <c r="CB342">
        <v>5</v>
      </c>
      <c r="CC342">
        <v>9</v>
      </c>
      <c r="CD342">
        <v>1.33</v>
      </c>
      <c r="CE342">
        <v>5.6</v>
      </c>
      <c r="CF342">
        <v>9.75</v>
      </c>
      <c r="CJ342">
        <v>1.36</v>
      </c>
      <c r="CK342">
        <v>5.36</v>
      </c>
      <c r="CL342">
        <v>9.18</v>
      </c>
      <c r="CM342">
        <v>1.36</v>
      </c>
      <c r="CN342">
        <v>5.7</v>
      </c>
      <c r="CO342">
        <v>9.8000000000000007</v>
      </c>
      <c r="CP342">
        <v>1.34</v>
      </c>
      <c r="CQ342">
        <v>5.42</v>
      </c>
      <c r="CR342">
        <v>9.09</v>
      </c>
      <c r="CS342">
        <v>1.37</v>
      </c>
      <c r="CT342">
        <v>5.7</v>
      </c>
      <c r="CU342">
        <v>10</v>
      </c>
      <c r="CV342">
        <v>1.57</v>
      </c>
      <c r="CW342">
        <v>2.38</v>
      </c>
      <c r="CX342">
        <v>1.58</v>
      </c>
      <c r="CY342">
        <v>2.4900000000000002</v>
      </c>
      <c r="CZ342">
        <v>1.58</v>
      </c>
      <c r="DA342">
        <v>2.58</v>
      </c>
      <c r="DB342">
        <v>1.55</v>
      </c>
      <c r="DC342">
        <v>2.4700000000000002</v>
      </c>
      <c r="DD342">
        <v>1.61</v>
      </c>
      <c r="DE342">
        <v>2.62</v>
      </c>
      <c r="DF342">
        <v>-1.5</v>
      </c>
      <c r="DG342">
        <v>1.95</v>
      </c>
      <c r="DH342">
        <v>1.95</v>
      </c>
      <c r="DI342">
        <v>1.96</v>
      </c>
      <c r="DJ342">
        <v>1.96</v>
      </c>
      <c r="DK342">
        <v>2</v>
      </c>
      <c r="DL342">
        <v>1.96</v>
      </c>
      <c r="DM342">
        <v>1.94</v>
      </c>
      <c r="DN342">
        <v>1.91</v>
      </c>
      <c r="DO342">
        <v>2.0099999999999998</v>
      </c>
      <c r="DP342">
        <v>1.98</v>
      </c>
    </row>
    <row r="343" spans="1:120" x14ac:dyDescent="0.3">
      <c r="A343" t="s">
        <v>120</v>
      </c>
      <c r="B343" s="2">
        <v>45721</v>
      </c>
      <c r="C343" s="1">
        <v>0.52083333333333337</v>
      </c>
      <c r="D343" t="s">
        <v>145</v>
      </c>
      <c r="E343" t="s">
        <v>123</v>
      </c>
      <c r="F343">
        <v>1</v>
      </c>
      <c r="G343">
        <v>0</v>
      </c>
      <c r="H343" t="s">
        <v>124</v>
      </c>
      <c r="I343">
        <v>1</v>
      </c>
      <c r="J343">
        <v>0</v>
      </c>
      <c r="K343" t="s">
        <v>124</v>
      </c>
      <c r="L343" t="s">
        <v>126</v>
      </c>
      <c r="M343">
        <v>10</v>
      </c>
      <c r="N343">
        <v>11</v>
      </c>
      <c r="O343">
        <v>3</v>
      </c>
      <c r="P343">
        <v>3</v>
      </c>
      <c r="Q343">
        <v>6</v>
      </c>
      <c r="R343">
        <v>17</v>
      </c>
      <c r="S343">
        <v>5</v>
      </c>
      <c r="T343">
        <v>3</v>
      </c>
      <c r="U343">
        <v>0</v>
      </c>
      <c r="V343">
        <v>5</v>
      </c>
      <c r="W343">
        <v>0</v>
      </c>
      <c r="X343">
        <v>0</v>
      </c>
      <c r="Y343">
        <v>1.77</v>
      </c>
      <c r="Z343">
        <v>3.75</v>
      </c>
      <c r="AA343">
        <v>4.5</v>
      </c>
      <c r="AE343">
        <v>1.75</v>
      </c>
      <c r="AF343">
        <v>3.9</v>
      </c>
      <c r="AG343">
        <v>4.5999999999999996</v>
      </c>
      <c r="AH343">
        <v>1.82</v>
      </c>
      <c r="AI343">
        <v>3.96</v>
      </c>
      <c r="AJ343">
        <v>4.2699999999999996</v>
      </c>
      <c r="AN343">
        <v>1.85</v>
      </c>
      <c r="AO343">
        <v>3.91</v>
      </c>
      <c r="AP343">
        <v>4.38</v>
      </c>
      <c r="AQ343">
        <v>1.85</v>
      </c>
      <c r="AR343">
        <v>4</v>
      </c>
      <c r="AS343">
        <v>4.5999999999999996</v>
      </c>
      <c r="AT343">
        <v>1.79</v>
      </c>
      <c r="AU343">
        <v>3.88</v>
      </c>
      <c r="AV343">
        <v>4.32</v>
      </c>
      <c r="AW343">
        <v>1.84</v>
      </c>
      <c r="AX343">
        <v>4</v>
      </c>
      <c r="AY343">
        <v>4.7</v>
      </c>
      <c r="AZ343">
        <v>1.68</v>
      </c>
      <c r="BA343">
        <v>2.0499999999999998</v>
      </c>
      <c r="BB343">
        <v>1.73</v>
      </c>
      <c r="BC343">
        <v>2.19</v>
      </c>
      <c r="BD343">
        <v>1.77</v>
      </c>
      <c r="BE343">
        <v>2.19</v>
      </c>
      <c r="BF343">
        <v>1.72</v>
      </c>
      <c r="BG343">
        <v>2.12</v>
      </c>
      <c r="BH343">
        <v>1.78</v>
      </c>
      <c r="BI343">
        <v>2.2400000000000002</v>
      </c>
      <c r="BJ343">
        <v>-0.75</v>
      </c>
      <c r="BK343">
        <v>2.0499999999999998</v>
      </c>
      <c r="BL343">
        <v>1.85</v>
      </c>
      <c r="BM343">
        <v>2.0699999999999998</v>
      </c>
      <c r="BN343">
        <v>1.85</v>
      </c>
      <c r="BO343">
        <v>2.0699999999999998</v>
      </c>
      <c r="BP343">
        <v>1.88</v>
      </c>
      <c r="BQ343">
        <v>2.02</v>
      </c>
      <c r="BR343">
        <v>1.82</v>
      </c>
      <c r="BS343">
        <v>2.0699999999999998</v>
      </c>
      <c r="BT343">
        <v>1.91</v>
      </c>
      <c r="BU343">
        <v>1.85</v>
      </c>
      <c r="BV343">
        <v>3.75</v>
      </c>
      <c r="BW343">
        <v>4</v>
      </c>
      <c r="CA343">
        <v>1.85</v>
      </c>
      <c r="CB343">
        <v>3.6</v>
      </c>
      <c r="CC343">
        <v>4.4000000000000004</v>
      </c>
      <c r="CD343">
        <v>1.88</v>
      </c>
      <c r="CE343">
        <v>3.78</v>
      </c>
      <c r="CF343">
        <v>4.28</v>
      </c>
      <c r="CJ343">
        <v>1.86</v>
      </c>
      <c r="CK343">
        <v>3.85</v>
      </c>
      <c r="CL343">
        <v>4.32</v>
      </c>
      <c r="CM343">
        <v>1.9</v>
      </c>
      <c r="CN343">
        <v>3.85</v>
      </c>
      <c r="CO343">
        <v>4.4000000000000004</v>
      </c>
      <c r="CP343">
        <v>1.86</v>
      </c>
      <c r="CQ343">
        <v>3.75</v>
      </c>
      <c r="CR343">
        <v>4.18</v>
      </c>
      <c r="CS343">
        <v>1.91</v>
      </c>
      <c r="CT343">
        <v>3.85</v>
      </c>
      <c r="CU343">
        <v>4.5</v>
      </c>
      <c r="CV343">
        <v>1.73</v>
      </c>
      <c r="CW343">
        <v>2.1</v>
      </c>
      <c r="CX343">
        <v>1.75</v>
      </c>
      <c r="CY343">
        <v>2.17</v>
      </c>
      <c r="CZ343">
        <v>1.75</v>
      </c>
      <c r="DA343">
        <v>2.25</v>
      </c>
      <c r="DB343">
        <v>1.71</v>
      </c>
      <c r="DC343">
        <v>2.17</v>
      </c>
      <c r="DD343">
        <v>1.78</v>
      </c>
      <c r="DE343">
        <v>2.2599999999999998</v>
      </c>
      <c r="DF343">
        <v>-0.5</v>
      </c>
      <c r="DG343">
        <v>1.88</v>
      </c>
      <c r="DH343">
        <v>2.02</v>
      </c>
      <c r="DI343">
        <v>1.88</v>
      </c>
      <c r="DJ343">
        <v>2.04</v>
      </c>
      <c r="DK343">
        <v>1.9</v>
      </c>
      <c r="DL343">
        <v>2.04</v>
      </c>
      <c r="DM343">
        <v>1.86</v>
      </c>
      <c r="DN343">
        <v>1.99</v>
      </c>
      <c r="DO343">
        <v>1.91</v>
      </c>
      <c r="DP343">
        <v>2.08</v>
      </c>
    </row>
    <row r="344" spans="1:120" x14ac:dyDescent="0.3">
      <c r="A344" t="s">
        <v>120</v>
      </c>
      <c r="B344" s="2">
        <v>45721</v>
      </c>
      <c r="C344" s="1">
        <v>0.625</v>
      </c>
      <c r="D344" t="s">
        <v>135</v>
      </c>
      <c r="E344" t="s">
        <v>128</v>
      </c>
      <c r="F344">
        <v>2</v>
      </c>
      <c r="G344">
        <v>2</v>
      </c>
      <c r="H344" t="s">
        <v>125</v>
      </c>
      <c r="I344">
        <v>2</v>
      </c>
      <c r="J344">
        <v>1</v>
      </c>
      <c r="K344" t="s">
        <v>124</v>
      </c>
      <c r="L344" t="s">
        <v>167</v>
      </c>
      <c r="M344">
        <v>8</v>
      </c>
      <c r="N344">
        <v>12</v>
      </c>
      <c r="O344">
        <v>3</v>
      </c>
      <c r="P344">
        <v>5</v>
      </c>
      <c r="Q344">
        <v>12</v>
      </c>
      <c r="R344">
        <v>15</v>
      </c>
      <c r="S344">
        <v>3</v>
      </c>
      <c r="T344">
        <v>3</v>
      </c>
      <c r="U344">
        <v>4</v>
      </c>
      <c r="V344">
        <v>4</v>
      </c>
      <c r="W344">
        <v>0</v>
      </c>
      <c r="X344">
        <v>0</v>
      </c>
      <c r="Y344">
        <v>1.45</v>
      </c>
      <c r="Z344">
        <v>4.33</v>
      </c>
      <c r="AA344">
        <v>6.5</v>
      </c>
      <c r="AE344">
        <v>1.47</v>
      </c>
      <c r="AF344">
        <v>4.33</v>
      </c>
      <c r="AG344">
        <v>7.5</v>
      </c>
      <c r="AH344">
        <v>1.47</v>
      </c>
      <c r="AI344">
        <v>4.53</v>
      </c>
      <c r="AJ344">
        <v>7.28</v>
      </c>
      <c r="AN344">
        <v>1.49</v>
      </c>
      <c r="AO344">
        <v>4.49</v>
      </c>
      <c r="AP344">
        <v>7.6</v>
      </c>
      <c r="AQ344">
        <v>1.49</v>
      </c>
      <c r="AR344">
        <v>4.55</v>
      </c>
      <c r="AS344">
        <v>7.6</v>
      </c>
      <c r="AT344">
        <v>1.47</v>
      </c>
      <c r="AU344">
        <v>4.4000000000000004</v>
      </c>
      <c r="AV344">
        <v>7.07</v>
      </c>
      <c r="AW344">
        <v>1.52</v>
      </c>
      <c r="AX344">
        <v>4.5</v>
      </c>
      <c r="AY344">
        <v>8</v>
      </c>
      <c r="AZ344">
        <v>1.95</v>
      </c>
      <c r="BA344">
        <v>1.95</v>
      </c>
      <c r="BB344">
        <v>1.92</v>
      </c>
      <c r="BC344">
        <v>1.97</v>
      </c>
      <c r="BD344">
        <v>1.97</v>
      </c>
      <c r="BE344">
        <v>1.99</v>
      </c>
      <c r="BF344">
        <v>1.89</v>
      </c>
      <c r="BG344">
        <v>1.93</v>
      </c>
      <c r="BH344">
        <v>1.98</v>
      </c>
      <c r="BI344">
        <v>1.98</v>
      </c>
      <c r="BJ344">
        <v>-1</v>
      </c>
      <c r="BK344">
        <v>1.82</v>
      </c>
      <c r="BL344">
        <v>2.08</v>
      </c>
      <c r="BM344">
        <v>1.77</v>
      </c>
      <c r="BN344">
        <v>2.13</v>
      </c>
      <c r="BO344">
        <v>1.83</v>
      </c>
      <c r="BP344">
        <v>2.13</v>
      </c>
      <c r="BQ344">
        <v>1.78</v>
      </c>
      <c r="BR344">
        <v>2.0699999999999998</v>
      </c>
      <c r="BS344">
        <v>1.84</v>
      </c>
      <c r="BT344">
        <v>2.13</v>
      </c>
      <c r="BU344">
        <v>1.55</v>
      </c>
      <c r="BV344">
        <v>4.33</v>
      </c>
      <c r="BW344">
        <v>5.75</v>
      </c>
      <c r="CA344">
        <v>1.53</v>
      </c>
      <c r="CB344">
        <v>4.0999999999999996</v>
      </c>
      <c r="CC344">
        <v>6</v>
      </c>
      <c r="CD344">
        <v>1.57</v>
      </c>
      <c r="CE344">
        <v>4.3</v>
      </c>
      <c r="CF344">
        <v>6.09</v>
      </c>
      <c r="CJ344">
        <v>1.59</v>
      </c>
      <c r="CK344">
        <v>4.45</v>
      </c>
      <c r="CL344">
        <v>5.64</v>
      </c>
      <c r="CM344">
        <v>1.59</v>
      </c>
      <c r="CN344">
        <v>4.45</v>
      </c>
      <c r="CO344">
        <v>6.13</v>
      </c>
      <c r="CP344">
        <v>1.56</v>
      </c>
      <c r="CQ344">
        <v>4.28</v>
      </c>
      <c r="CR344">
        <v>5.91</v>
      </c>
      <c r="CS344">
        <v>1.59</v>
      </c>
      <c r="CT344">
        <v>4.4000000000000004</v>
      </c>
      <c r="CU344">
        <v>6.6</v>
      </c>
      <c r="CV344">
        <v>1.73</v>
      </c>
      <c r="CW344">
        <v>2.1</v>
      </c>
      <c r="CX344">
        <v>1.78</v>
      </c>
      <c r="CY344">
        <v>2.13</v>
      </c>
      <c r="CZ344">
        <v>1.82</v>
      </c>
      <c r="DA344">
        <v>2.2000000000000002</v>
      </c>
      <c r="DB344">
        <v>1.76</v>
      </c>
      <c r="DC344">
        <v>2.09</v>
      </c>
      <c r="DD344">
        <v>1.84</v>
      </c>
      <c r="DE344">
        <v>2.1800000000000002</v>
      </c>
      <c r="DF344">
        <v>-1</v>
      </c>
      <c r="DG344">
        <v>1.95</v>
      </c>
      <c r="DH344">
        <v>1.95</v>
      </c>
      <c r="DI344">
        <v>1.96</v>
      </c>
      <c r="DJ344">
        <v>1.96</v>
      </c>
      <c r="DK344">
        <v>1.98</v>
      </c>
      <c r="DL344">
        <v>1.98</v>
      </c>
      <c r="DM344">
        <v>1.94</v>
      </c>
      <c r="DN344">
        <v>1.92</v>
      </c>
      <c r="DO344">
        <v>2.0099999999999998</v>
      </c>
      <c r="DP344">
        <v>1.96</v>
      </c>
    </row>
    <row r="345" spans="1:120" x14ac:dyDescent="0.3">
      <c r="A345" t="s">
        <v>120</v>
      </c>
      <c r="B345" s="2">
        <v>45721</v>
      </c>
      <c r="C345" s="1">
        <v>0.625</v>
      </c>
      <c r="D345" t="s">
        <v>155</v>
      </c>
      <c r="E345" t="s">
        <v>139</v>
      </c>
      <c r="F345">
        <v>2</v>
      </c>
      <c r="G345">
        <v>0</v>
      </c>
      <c r="H345" t="s">
        <v>124</v>
      </c>
      <c r="I345">
        <v>2</v>
      </c>
      <c r="J345">
        <v>0</v>
      </c>
      <c r="K345" t="s">
        <v>124</v>
      </c>
      <c r="L345" t="s">
        <v>233</v>
      </c>
      <c r="M345">
        <v>14</v>
      </c>
      <c r="N345">
        <v>8</v>
      </c>
      <c r="O345">
        <v>4</v>
      </c>
      <c r="P345">
        <v>2</v>
      </c>
      <c r="Q345">
        <v>12</v>
      </c>
      <c r="R345">
        <v>13</v>
      </c>
      <c r="S345">
        <v>7</v>
      </c>
      <c r="T345">
        <v>7</v>
      </c>
      <c r="U345">
        <v>1</v>
      </c>
      <c r="V345">
        <v>3</v>
      </c>
      <c r="W345">
        <v>0</v>
      </c>
      <c r="X345">
        <v>0</v>
      </c>
      <c r="Y345">
        <v>2.2999999999999998</v>
      </c>
      <c r="Z345">
        <v>3.6</v>
      </c>
      <c r="AA345">
        <v>2.88</v>
      </c>
      <c r="AE345">
        <v>2.2999999999999998</v>
      </c>
      <c r="AF345">
        <v>3.5</v>
      </c>
      <c r="AG345">
        <v>3.1</v>
      </c>
      <c r="AH345">
        <v>2.37</v>
      </c>
      <c r="AI345">
        <v>3.7</v>
      </c>
      <c r="AJ345">
        <v>2.93</v>
      </c>
      <c r="AN345">
        <v>2.33</v>
      </c>
      <c r="AO345">
        <v>3.75</v>
      </c>
      <c r="AP345">
        <v>3.03</v>
      </c>
      <c r="AQ345">
        <v>2.4</v>
      </c>
      <c r="AR345">
        <v>3.75</v>
      </c>
      <c r="AS345">
        <v>3.1</v>
      </c>
      <c r="AT345">
        <v>2.33</v>
      </c>
      <c r="AU345">
        <v>3.62</v>
      </c>
      <c r="AV345">
        <v>2.93</v>
      </c>
      <c r="AW345">
        <v>2.44</v>
      </c>
      <c r="AX345">
        <v>3.75</v>
      </c>
      <c r="AY345">
        <v>3.05</v>
      </c>
      <c r="AZ345">
        <v>1.68</v>
      </c>
      <c r="BA345">
        <v>2.0499999999999998</v>
      </c>
      <c r="BB345">
        <v>1.75</v>
      </c>
      <c r="BC345">
        <v>2.14</v>
      </c>
      <c r="BD345">
        <v>1.79</v>
      </c>
      <c r="BE345">
        <v>2.15</v>
      </c>
      <c r="BF345">
        <v>1.74</v>
      </c>
      <c r="BG345">
        <v>2.09</v>
      </c>
      <c r="BH345">
        <v>1.81</v>
      </c>
      <c r="BI345">
        <v>2.2000000000000002</v>
      </c>
      <c r="BJ345">
        <v>-0.25</v>
      </c>
      <c r="BK345">
        <v>2.0499999999999998</v>
      </c>
      <c r="BL345">
        <v>1.85</v>
      </c>
      <c r="BM345">
        <v>2.0699999999999998</v>
      </c>
      <c r="BN345">
        <v>1.85</v>
      </c>
      <c r="BO345">
        <v>2.0699999999999998</v>
      </c>
      <c r="BP345">
        <v>1.86</v>
      </c>
      <c r="BQ345">
        <v>2.0099999999999998</v>
      </c>
      <c r="BR345">
        <v>1.82</v>
      </c>
      <c r="BS345">
        <v>2.11</v>
      </c>
      <c r="BT345">
        <v>1.88</v>
      </c>
      <c r="BU345">
        <v>2.35</v>
      </c>
      <c r="BV345">
        <v>3.6</v>
      </c>
      <c r="BW345">
        <v>2.88</v>
      </c>
      <c r="CA345">
        <v>2.4</v>
      </c>
      <c r="CB345">
        <v>3.4</v>
      </c>
      <c r="CC345">
        <v>2.8</v>
      </c>
      <c r="CD345">
        <v>2.4500000000000002</v>
      </c>
      <c r="CE345">
        <v>3.61</v>
      </c>
      <c r="CF345">
        <v>2.91</v>
      </c>
      <c r="CJ345">
        <v>2.37</v>
      </c>
      <c r="CK345">
        <v>3.61</v>
      </c>
      <c r="CL345">
        <v>3.01</v>
      </c>
      <c r="CM345">
        <v>2.5499999999999998</v>
      </c>
      <c r="CN345">
        <v>3.65</v>
      </c>
      <c r="CO345">
        <v>3.01</v>
      </c>
      <c r="CP345">
        <v>2.42</v>
      </c>
      <c r="CQ345">
        <v>3.55</v>
      </c>
      <c r="CR345">
        <v>2.87</v>
      </c>
      <c r="CS345">
        <v>2.52</v>
      </c>
      <c r="CT345">
        <v>3.65</v>
      </c>
      <c r="CU345">
        <v>3</v>
      </c>
      <c r="CV345">
        <v>1.73</v>
      </c>
      <c r="CW345">
        <v>2.1</v>
      </c>
      <c r="CX345">
        <v>1.79</v>
      </c>
      <c r="CY345">
        <v>2.11</v>
      </c>
      <c r="CZ345">
        <v>1.9</v>
      </c>
      <c r="DA345">
        <v>2.14</v>
      </c>
      <c r="DB345">
        <v>1.77</v>
      </c>
      <c r="DC345">
        <v>2.08</v>
      </c>
      <c r="DD345">
        <v>1.84</v>
      </c>
      <c r="DE345">
        <v>2.16</v>
      </c>
      <c r="DF345">
        <v>-0.25</v>
      </c>
      <c r="DG345">
        <v>2.09</v>
      </c>
      <c r="DH345">
        <v>1.81</v>
      </c>
      <c r="DI345">
        <v>2.14</v>
      </c>
      <c r="DJ345">
        <v>1.81</v>
      </c>
      <c r="DK345">
        <v>2.14</v>
      </c>
      <c r="DL345">
        <v>1.86</v>
      </c>
      <c r="DM345">
        <v>2.08</v>
      </c>
      <c r="DN345">
        <v>1.8</v>
      </c>
      <c r="DO345">
        <v>2.1800000000000002</v>
      </c>
      <c r="DP345">
        <v>1.83</v>
      </c>
    </row>
    <row r="346" spans="1:120" x14ac:dyDescent="0.3">
      <c r="A346" t="s">
        <v>120</v>
      </c>
      <c r="B346" s="2">
        <v>45721</v>
      </c>
      <c r="C346" s="1">
        <v>0.72916666666666663</v>
      </c>
      <c r="D346" t="s">
        <v>132</v>
      </c>
      <c r="E346" t="s">
        <v>142</v>
      </c>
      <c r="F346">
        <v>1</v>
      </c>
      <c r="G346">
        <v>2</v>
      </c>
      <c r="H346" t="s">
        <v>130</v>
      </c>
      <c r="I346">
        <v>1</v>
      </c>
      <c r="J346">
        <v>0</v>
      </c>
      <c r="K346" t="s">
        <v>124</v>
      </c>
      <c r="L346" t="s">
        <v>134</v>
      </c>
      <c r="M346">
        <v>13</v>
      </c>
      <c r="N346">
        <v>9</v>
      </c>
      <c r="O346">
        <v>4</v>
      </c>
      <c r="P346">
        <v>2</v>
      </c>
      <c r="Q346">
        <v>7</v>
      </c>
      <c r="R346">
        <v>16</v>
      </c>
      <c r="S346">
        <v>2</v>
      </c>
      <c r="T346">
        <v>3</v>
      </c>
      <c r="U346">
        <v>0</v>
      </c>
      <c r="V346">
        <v>2</v>
      </c>
      <c r="W346">
        <v>0</v>
      </c>
      <c r="X346">
        <v>0</v>
      </c>
      <c r="Y346">
        <v>2.0499999999999998</v>
      </c>
      <c r="Z346">
        <v>3.7</v>
      </c>
      <c r="AA346">
        <v>3.4</v>
      </c>
      <c r="AE346">
        <v>2.0499999999999998</v>
      </c>
      <c r="AF346">
        <v>3.6</v>
      </c>
      <c r="AG346">
        <v>3.5</v>
      </c>
      <c r="AH346">
        <v>2.0699999999999998</v>
      </c>
      <c r="AI346">
        <v>3.63</v>
      </c>
      <c r="AJ346">
        <v>3.62</v>
      </c>
      <c r="AN346">
        <v>2.11</v>
      </c>
      <c r="AO346">
        <v>3.65</v>
      </c>
      <c r="AP346">
        <v>3.61</v>
      </c>
      <c r="AQ346">
        <v>2.14</v>
      </c>
      <c r="AR346">
        <v>3.7</v>
      </c>
      <c r="AS346">
        <v>3.62</v>
      </c>
      <c r="AT346">
        <v>2.08</v>
      </c>
      <c r="AU346">
        <v>3.6</v>
      </c>
      <c r="AV346">
        <v>3.47</v>
      </c>
      <c r="AW346">
        <v>2.16</v>
      </c>
      <c r="AX346">
        <v>3.7</v>
      </c>
      <c r="AY346">
        <v>3.65</v>
      </c>
      <c r="AZ346">
        <v>1.87</v>
      </c>
      <c r="BA346">
        <v>2.0299999999999998</v>
      </c>
      <c r="BB346">
        <v>1.86</v>
      </c>
      <c r="BC346">
        <v>2.0299999999999998</v>
      </c>
      <c r="BD346">
        <v>1.87</v>
      </c>
      <c r="BE346">
        <v>2.06</v>
      </c>
      <c r="BF346">
        <v>1.84</v>
      </c>
      <c r="BG346">
        <v>1.99</v>
      </c>
      <c r="BH346">
        <v>1.89</v>
      </c>
      <c r="BI346">
        <v>2.1</v>
      </c>
      <c r="BJ346">
        <v>-0.25</v>
      </c>
      <c r="BK346">
        <v>1.82</v>
      </c>
      <c r="BL346">
        <v>2.08</v>
      </c>
      <c r="BM346">
        <v>1.79</v>
      </c>
      <c r="BN346">
        <v>2.11</v>
      </c>
      <c r="BO346">
        <v>1.87</v>
      </c>
      <c r="BP346">
        <v>2.11</v>
      </c>
      <c r="BQ346">
        <v>1.79</v>
      </c>
      <c r="BR346">
        <v>2.0499999999999998</v>
      </c>
      <c r="BS346">
        <v>1.87</v>
      </c>
      <c r="BT346">
        <v>2.12</v>
      </c>
      <c r="BU346">
        <v>1.67</v>
      </c>
      <c r="BV346">
        <v>4</v>
      </c>
      <c r="BW346">
        <v>4.75</v>
      </c>
      <c r="CA346">
        <v>1.65</v>
      </c>
      <c r="CB346">
        <v>3.9</v>
      </c>
      <c r="CC346">
        <v>5</v>
      </c>
      <c r="CD346">
        <v>1.68</v>
      </c>
      <c r="CE346">
        <v>4.05</v>
      </c>
      <c r="CF346">
        <v>5.25</v>
      </c>
      <c r="CJ346">
        <v>1.66</v>
      </c>
      <c r="CK346">
        <v>4.18</v>
      </c>
      <c r="CL346">
        <v>5.36</v>
      </c>
      <c r="CM346">
        <v>1.75</v>
      </c>
      <c r="CN346">
        <v>4.18</v>
      </c>
      <c r="CO346">
        <v>5.36</v>
      </c>
      <c r="CP346">
        <v>1.68</v>
      </c>
      <c r="CQ346">
        <v>4.04</v>
      </c>
      <c r="CR346">
        <v>4.93</v>
      </c>
      <c r="CS346">
        <v>1.74</v>
      </c>
      <c r="CT346">
        <v>4.0999999999999996</v>
      </c>
      <c r="CU346">
        <v>5.2</v>
      </c>
      <c r="CV346">
        <v>1.67</v>
      </c>
      <c r="CW346">
        <v>2.2000000000000002</v>
      </c>
      <c r="CX346">
        <v>1.68</v>
      </c>
      <c r="CY346">
        <v>2.29</v>
      </c>
      <c r="CZ346">
        <v>1.71</v>
      </c>
      <c r="DA346">
        <v>2.29</v>
      </c>
      <c r="DB346">
        <v>1.68</v>
      </c>
      <c r="DC346">
        <v>2.21</v>
      </c>
      <c r="DD346">
        <v>1.75</v>
      </c>
      <c r="DE346">
        <v>2.3199999999999998</v>
      </c>
      <c r="DF346">
        <v>-0.75</v>
      </c>
      <c r="DG346">
        <v>1.87</v>
      </c>
      <c r="DH346">
        <v>2.0299999999999998</v>
      </c>
      <c r="DI346">
        <v>1.88</v>
      </c>
      <c r="DJ346">
        <v>2.0499999999999998</v>
      </c>
      <c r="DK346">
        <v>1.89</v>
      </c>
      <c r="DL346">
        <v>2.11</v>
      </c>
      <c r="DM346">
        <v>1.86</v>
      </c>
      <c r="DN346">
        <v>2.0099999999999998</v>
      </c>
      <c r="DO346">
        <v>1.93</v>
      </c>
      <c r="DP346">
        <v>2.04</v>
      </c>
    </row>
    <row r="347" spans="1:120" x14ac:dyDescent="0.3">
      <c r="A347" t="s">
        <v>120</v>
      </c>
      <c r="B347" s="2">
        <v>45752</v>
      </c>
      <c r="C347" s="1">
        <v>0.58333333333333337</v>
      </c>
      <c r="D347" t="s">
        <v>148</v>
      </c>
      <c r="E347" t="s">
        <v>122</v>
      </c>
      <c r="F347">
        <v>4</v>
      </c>
      <c r="G347">
        <v>3</v>
      </c>
      <c r="H347" t="s">
        <v>124</v>
      </c>
      <c r="I347">
        <v>2</v>
      </c>
      <c r="J347">
        <v>1</v>
      </c>
      <c r="K347" t="s">
        <v>124</v>
      </c>
      <c r="L347" t="s">
        <v>153</v>
      </c>
      <c r="M347">
        <v>12</v>
      </c>
      <c r="N347">
        <v>14</v>
      </c>
      <c r="O347">
        <v>6</v>
      </c>
      <c r="P347">
        <v>5</v>
      </c>
      <c r="Q347">
        <v>8</v>
      </c>
      <c r="R347">
        <v>10</v>
      </c>
      <c r="S347">
        <v>7</v>
      </c>
      <c r="T347">
        <v>4</v>
      </c>
      <c r="U347">
        <v>0</v>
      </c>
      <c r="V347">
        <v>2</v>
      </c>
      <c r="W347">
        <v>0</v>
      </c>
      <c r="X347">
        <v>0</v>
      </c>
      <c r="Y347">
        <v>1.65</v>
      </c>
      <c r="Z347">
        <v>4.0999999999999996</v>
      </c>
      <c r="AA347">
        <v>4.75</v>
      </c>
      <c r="AE347">
        <v>1.7</v>
      </c>
      <c r="AF347">
        <v>4.0999999999999996</v>
      </c>
      <c r="AG347">
        <v>4.5999999999999996</v>
      </c>
      <c r="AH347">
        <v>1.7</v>
      </c>
      <c r="AI347">
        <v>4.2300000000000004</v>
      </c>
      <c r="AJ347">
        <v>4.7</v>
      </c>
      <c r="AN347">
        <v>1.71</v>
      </c>
      <c r="AO347">
        <v>4.18</v>
      </c>
      <c r="AP347">
        <v>4.9400000000000004</v>
      </c>
      <c r="AQ347">
        <v>1.71</v>
      </c>
      <c r="AR347">
        <v>4.25</v>
      </c>
      <c r="AS347">
        <v>4.95</v>
      </c>
      <c r="AT347">
        <v>1.67</v>
      </c>
      <c r="AU347">
        <v>4.1399999999999997</v>
      </c>
      <c r="AV347">
        <v>4.74</v>
      </c>
      <c r="AW347">
        <v>1.76</v>
      </c>
      <c r="AX347">
        <v>4.3</v>
      </c>
      <c r="AY347">
        <v>4.9000000000000004</v>
      </c>
      <c r="AZ347">
        <v>1.67</v>
      </c>
      <c r="BA347">
        <v>2.2000000000000002</v>
      </c>
      <c r="BB347">
        <v>1.7</v>
      </c>
      <c r="BC347">
        <v>2.2200000000000002</v>
      </c>
      <c r="BD347">
        <v>1.73</v>
      </c>
      <c r="BE347">
        <v>2.29</v>
      </c>
      <c r="BF347">
        <v>1.67</v>
      </c>
      <c r="BG347">
        <v>2.21</v>
      </c>
      <c r="BH347">
        <v>1.7</v>
      </c>
      <c r="BI347">
        <v>2.38</v>
      </c>
      <c r="BJ347">
        <v>-0.75</v>
      </c>
      <c r="BK347">
        <v>1.88</v>
      </c>
      <c r="BL347">
        <v>2.02</v>
      </c>
      <c r="BM347">
        <v>1.9</v>
      </c>
      <c r="BN347">
        <v>2.0099999999999998</v>
      </c>
      <c r="BO347">
        <v>1.9</v>
      </c>
      <c r="BP347">
        <v>2.02</v>
      </c>
      <c r="BQ347">
        <v>1.85</v>
      </c>
      <c r="BR347">
        <v>1.99</v>
      </c>
      <c r="BS347">
        <v>1.94</v>
      </c>
      <c r="BT347">
        <v>1.98</v>
      </c>
      <c r="BU347">
        <v>1.62</v>
      </c>
      <c r="BV347">
        <v>4.33</v>
      </c>
      <c r="BW347">
        <v>4.75</v>
      </c>
      <c r="CA347">
        <v>1.62</v>
      </c>
      <c r="CB347">
        <v>4.2</v>
      </c>
      <c r="CC347">
        <v>4.75</v>
      </c>
      <c r="CD347">
        <v>1.65</v>
      </c>
      <c r="CE347">
        <v>4.34</v>
      </c>
      <c r="CF347">
        <v>4.96</v>
      </c>
      <c r="CJ347">
        <v>1.7</v>
      </c>
      <c r="CK347">
        <v>4.46</v>
      </c>
      <c r="CL347">
        <v>4.6100000000000003</v>
      </c>
      <c r="CM347">
        <v>1.72</v>
      </c>
      <c r="CN347">
        <v>4.55</v>
      </c>
      <c r="CO347">
        <v>5.2</v>
      </c>
      <c r="CP347">
        <v>1.65</v>
      </c>
      <c r="CQ347">
        <v>4.3600000000000003</v>
      </c>
      <c r="CR347">
        <v>4.79</v>
      </c>
      <c r="CS347">
        <v>1.68</v>
      </c>
      <c r="CT347">
        <v>4.5</v>
      </c>
      <c r="CU347">
        <v>5.3</v>
      </c>
      <c r="CV347">
        <v>1.53</v>
      </c>
      <c r="CW347">
        <v>2.5</v>
      </c>
      <c r="CX347">
        <v>1.56</v>
      </c>
      <c r="CY347">
        <v>2.56</v>
      </c>
      <c r="CZ347">
        <v>1.58</v>
      </c>
      <c r="DA347">
        <v>2.62</v>
      </c>
      <c r="DB347">
        <v>1.53</v>
      </c>
      <c r="DC347">
        <v>2.5299999999999998</v>
      </c>
      <c r="DD347">
        <v>1.56</v>
      </c>
      <c r="DE347">
        <v>2.76</v>
      </c>
      <c r="DF347">
        <v>-1</v>
      </c>
      <c r="DG347">
        <v>2.0699999999999998</v>
      </c>
      <c r="DH347">
        <v>1.83</v>
      </c>
      <c r="DI347">
        <v>2.15</v>
      </c>
      <c r="DJ347">
        <v>1.78</v>
      </c>
      <c r="DK347">
        <v>2.15</v>
      </c>
      <c r="DL347">
        <v>1.85</v>
      </c>
      <c r="DM347">
        <v>2.0699999999999998</v>
      </c>
      <c r="DN347">
        <v>1.8</v>
      </c>
      <c r="DO347">
        <v>2.11</v>
      </c>
      <c r="DP347">
        <v>1.88</v>
      </c>
    </row>
    <row r="348" spans="1:120" x14ac:dyDescent="0.3">
      <c r="A348" t="s">
        <v>120</v>
      </c>
      <c r="B348" s="2">
        <v>45752</v>
      </c>
      <c r="C348" s="1">
        <v>0.58333333333333337</v>
      </c>
      <c r="D348" t="s">
        <v>136</v>
      </c>
      <c r="E348" t="s">
        <v>138</v>
      </c>
      <c r="F348">
        <v>1</v>
      </c>
      <c r="G348">
        <v>1</v>
      </c>
      <c r="H348" t="s">
        <v>125</v>
      </c>
      <c r="I348">
        <v>1</v>
      </c>
      <c r="J348">
        <v>0</v>
      </c>
      <c r="K348" t="s">
        <v>124</v>
      </c>
      <c r="L348" t="s">
        <v>140</v>
      </c>
      <c r="M348">
        <v>5</v>
      </c>
      <c r="N348">
        <v>13</v>
      </c>
      <c r="O348">
        <v>2</v>
      </c>
      <c r="P348">
        <v>5</v>
      </c>
      <c r="Q348">
        <v>15</v>
      </c>
      <c r="R348">
        <v>10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  <c r="Y348">
        <v>2.88</v>
      </c>
      <c r="Z348">
        <v>3.7</v>
      </c>
      <c r="AA348">
        <v>2.2999999999999998</v>
      </c>
      <c r="AE348">
        <v>2.88</v>
      </c>
      <c r="AF348">
        <v>3.75</v>
      </c>
      <c r="AG348">
        <v>2.2999999999999998</v>
      </c>
      <c r="AH348">
        <v>2.92</v>
      </c>
      <c r="AI348">
        <v>3.82</v>
      </c>
      <c r="AJ348">
        <v>2.33</v>
      </c>
      <c r="AN348">
        <v>2.93</v>
      </c>
      <c r="AO348">
        <v>3.91</v>
      </c>
      <c r="AP348">
        <v>2.33</v>
      </c>
      <c r="AQ348">
        <v>2.93</v>
      </c>
      <c r="AR348">
        <v>3.91</v>
      </c>
      <c r="AS348">
        <v>2.38</v>
      </c>
      <c r="AT348">
        <v>2.86</v>
      </c>
      <c r="AU348">
        <v>3.77</v>
      </c>
      <c r="AV348">
        <v>2.31</v>
      </c>
      <c r="AW348">
        <v>2.94</v>
      </c>
      <c r="AX348">
        <v>3.9</v>
      </c>
      <c r="AY348">
        <v>2.42</v>
      </c>
      <c r="AZ348">
        <v>1.53</v>
      </c>
      <c r="BA348">
        <v>2.5</v>
      </c>
      <c r="BB348">
        <v>1.56</v>
      </c>
      <c r="BC348">
        <v>2.52</v>
      </c>
      <c r="BD348">
        <v>1.61</v>
      </c>
      <c r="BE348">
        <v>2.52</v>
      </c>
      <c r="BF348">
        <v>1.55</v>
      </c>
      <c r="BG348">
        <v>2.4700000000000002</v>
      </c>
      <c r="BH348">
        <v>1.59</v>
      </c>
      <c r="BI348">
        <v>2.62</v>
      </c>
      <c r="BJ348">
        <v>0.25</v>
      </c>
      <c r="BK348">
        <v>1.83</v>
      </c>
      <c r="BL348">
        <v>2.0299999999999998</v>
      </c>
      <c r="BM348">
        <v>1.87</v>
      </c>
      <c r="BN348">
        <v>2.0499999999999998</v>
      </c>
      <c r="BO348">
        <v>1.87</v>
      </c>
      <c r="BP348">
        <v>2.0499999999999998</v>
      </c>
      <c r="BQ348">
        <v>1.83</v>
      </c>
      <c r="BR348">
        <v>1.97</v>
      </c>
      <c r="BS348">
        <v>1.87</v>
      </c>
      <c r="BT348">
        <v>2.12</v>
      </c>
      <c r="BU348">
        <v>3.1</v>
      </c>
      <c r="BV348">
        <v>3.7</v>
      </c>
      <c r="BW348">
        <v>2.15</v>
      </c>
      <c r="CA348">
        <v>3</v>
      </c>
      <c r="CB348">
        <v>3.6</v>
      </c>
      <c r="CC348">
        <v>2.2000000000000002</v>
      </c>
      <c r="CD348">
        <v>3.13</v>
      </c>
      <c r="CE348">
        <v>3.75</v>
      </c>
      <c r="CF348">
        <v>2.2599999999999998</v>
      </c>
      <c r="CJ348">
        <v>3.35</v>
      </c>
      <c r="CK348">
        <v>3.8</v>
      </c>
      <c r="CL348">
        <v>2.13</v>
      </c>
      <c r="CM348">
        <v>3.35</v>
      </c>
      <c r="CN348">
        <v>3.8</v>
      </c>
      <c r="CO348">
        <v>2.38</v>
      </c>
      <c r="CP348">
        <v>3.12</v>
      </c>
      <c r="CQ348">
        <v>3.71</v>
      </c>
      <c r="CR348">
        <v>2.21</v>
      </c>
      <c r="CS348">
        <v>3.3</v>
      </c>
      <c r="CT348">
        <v>3.9</v>
      </c>
      <c r="CU348">
        <v>2.2400000000000002</v>
      </c>
      <c r="CV348">
        <v>1.57</v>
      </c>
      <c r="CW348">
        <v>2.38</v>
      </c>
      <c r="CX348">
        <v>1.61</v>
      </c>
      <c r="CY348">
        <v>2.44</v>
      </c>
      <c r="CZ348">
        <v>1.61</v>
      </c>
      <c r="DA348">
        <v>2.5499999999999998</v>
      </c>
      <c r="DB348">
        <v>1.57</v>
      </c>
      <c r="DC348">
        <v>2.44</v>
      </c>
      <c r="DD348">
        <v>1.6</v>
      </c>
      <c r="DE348">
        <v>2.62</v>
      </c>
      <c r="DF348">
        <v>0.25</v>
      </c>
      <c r="DG348">
        <v>1.93</v>
      </c>
      <c r="DH348">
        <v>1.93</v>
      </c>
      <c r="DI348">
        <v>1.94</v>
      </c>
      <c r="DJ348">
        <v>1.98</v>
      </c>
      <c r="DK348">
        <v>2.0299999999999998</v>
      </c>
      <c r="DL348">
        <v>1.99</v>
      </c>
      <c r="DM348">
        <v>1.94</v>
      </c>
      <c r="DN348">
        <v>1.89</v>
      </c>
      <c r="DO348">
        <v>2.02</v>
      </c>
      <c r="DP348">
        <v>1.97</v>
      </c>
    </row>
    <row r="349" spans="1:120" x14ac:dyDescent="0.3">
      <c r="A349" t="s">
        <v>120</v>
      </c>
      <c r="B349" s="2">
        <v>45752</v>
      </c>
      <c r="C349" s="1">
        <v>0.58333333333333337</v>
      </c>
      <c r="D349" t="s">
        <v>144</v>
      </c>
      <c r="E349" t="s">
        <v>156</v>
      </c>
      <c r="F349">
        <v>1</v>
      </c>
      <c r="G349">
        <v>1</v>
      </c>
      <c r="H349" t="s">
        <v>125</v>
      </c>
      <c r="I349">
        <v>1</v>
      </c>
      <c r="J349">
        <v>1</v>
      </c>
      <c r="K349" t="s">
        <v>125</v>
      </c>
      <c r="L349" t="s">
        <v>143</v>
      </c>
      <c r="M349">
        <v>11</v>
      </c>
      <c r="N349">
        <v>7</v>
      </c>
      <c r="O349">
        <v>2</v>
      </c>
      <c r="P349">
        <v>2</v>
      </c>
      <c r="Q349">
        <v>18</v>
      </c>
      <c r="R349">
        <v>15</v>
      </c>
      <c r="S349">
        <v>1</v>
      </c>
      <c r="T349">
        <v>3</v>
      </c>
      <c r="U349">
        <v>2</v>
      </c>
      <c r="V349">
        <v>2</v>
      </c>
      <c r="W349">
        <v>0</v>
      </c>
      <c r="X349">
        <v>0</v>
      </c>
      <c r="Y349">
        <v>2.1</v>
      </c>
      <c r="Z349">
        <v>3.7</v>
      </c>
      <c r="AA349">
        <v>3.25</v>
      </c>
      <c r="AE349">
        <v>2.1</v>
      </c>
      <c r="AF349">
        <v>3.75</v>
      </c>
      <c r="AG349">
        <v>3.25</v>
      </c>
      <c r="AH349">
        <v>2.08</v>
      </c>
      <c r="AI349">
        <v>3.73</v>
      </c>
      <c r="AJ349">
        <v>3.5</v>
      </c>
      <c r="AN349">
        <v>2.12</v>
      </c>
      <c r="AO349">
        <v>3.85</v>
      </c>
      <c r="AP349">
        <v>3.4</v>
      </c>
      <c r="AQ349">
        <v>2.15</v>
      </c>
      <c r="AR349">
        <v>3.85</v>
      </c>
      <c r="AS349">
        <v>3.5</v>
      </c>
      <c r="AT349">
        <v>2.1</v>
      </c>
      <c r="AU349">
        <v>3.73</v>
      </c>
      <c r="AV349">
        <v>3.31</v>
      </c>
      <c r="AW349">
        <v>2.14</v>
      </c>
      <c r="AX349">
        <v>3.85</v>
      </c>
      <c r="AY349">
        <v>3.5</v>
      </c>
      <c r="AZ349">
        <v>1.57</v>
      </c>
      <c r="BA349">
        <v>2.38</v>
      </c>
      <c r="BB349">
        <v>1.62</v>
      </c>
      <c r="BC349">
        <v>2.4</v>
      </c>
      <c r="BD349">
        <v>1.62</v>
      </c>
      <c r="BE349">
        <v>2.5</v>
      </c>
      <c r="BF349">
        <v>1.56</v>
      </c>
      <c r="BG349">
        <v>2.4</v>
      </c>
      <c r="BH349">
        <v>1.62</v>
      </c>
      <c r="BI349">
        <v>2.52</v>
      </c>
      <c r="BJ349">
        <v>-0.25</v>
      </c>
      <c r="BK349">
        <v>1.75</v>
      </c>
      <c r="BL349">
        <v>2.0499999999999998</v>
      </c>
      <c r="BM349">
        <v>1.81</v>
      </c>
      <c r="BN349">
        <v>2.09</v>
      </c>
      <c r="BO349">
        <v>1.83</v>
      </c>
      <c r="BP349">
        <v>2.09</v>
      </c>
      <c r="BQ349">
        <v>1.8</v>
      </c>
      <c r="BR349">
        <v>2.02</v>
      </c>
      <c r="BS349">
        <v>1.86</v>
      </c>
      <c r="BT349">
        <v>2.12</v>
      </c>
      <c r="BU349">
        <v>1.83</v>
      </c>
      <c r="BV349">
        <v>3.9</v>
      </c>
      <c r="BW349">
        <v>4</v>
      </c>
      <c r="CA349">
        <v>1.85</v>
      </c>
      <c r="CB349">
        <v>3.75</v>
      </c>
      <c r="CC349">
        <v>3.9</v>
      </c>
      <c r="CD349">
        <v>1.85</v>
      </c>
      <c r="CE349">
        <v>3.95</v>
      </c>
      <c r="CF349">
        <v>4.22</v>
      </c>
      <c r="CJ349">
        <v>1.9</v>
      </c>
      <c r="CK349">
        <v>3.98</v>
      </c>
      <c r="CL349">
        <v>3.92</v>
      </c>
      <c r="CM349">
        <v>1.91</v>
      </c>
      <c r="CN349">
        <v>4</v>
      </c>
      <c r="CO349">
        <v>4.22</v>
      </c>
      <c r="CP349">
        <v>1.86</v>
      </c>
      <c r="CQ349">
        <v>3.93</v>
      </c>
      <c r="CR349">
        <v>3.97</v>
      </c>
      <c r="CS349">
        <v>1.91</v>
      </c>
      <c r="CT349">
        <v>4.0999999999999996</v>
      </c>
      <c r="CU349">
        <v>4.2</v>
      </c>
      <c r="CV349">
        <v>1.57</v>
      </c>
      <c r="CW349">
        <v>2.38</v>
      </c>
      <c r="CX349">
        <v>1.61</v>
      </c>
      <c r="CY349">
        <v>2.44</v>
      </c>
      <c r="CZ349">
        <v>1.61</v>
      </c>
      <c r="DA349">
        <v>2.5</v>
      </c>
      <c r="DB349">
        <v>1.58</v>
      </c>
      <c r="DC349">
        <v>2.4</v>
      </c>
      <c r="DD349">
        <v>1.64</v>
      </c>
      <c r="DE349">
        <v>2.54</v>
      </c>
      <c r="DF349">
        <v>-0.5</v>
      </c>
      <c r="DG349">
        <v>1.84</v>
      </c>
      <c r="DH349">
        <v>2.06</v>
      </c>
      <c r="DI349">
        <v>1.86</v>
      </c>
      <c r="DJ349">
        <v>2.0699999999999998</v>
      </c>
      <c r="DK349">
        <v>1.89</v>
      </c>
      <c r="DL349">
        <v>2.0699999999999998</v>
      </c>
      <c r="DM349">
        <v>1.85</v>
      </c>
      <c r="DN349">
        <v>1.99</v>
      </c>
      <c r="DO349">
        <v>1.91</v>
      </c>
      <c r="DP349">
        <v>2.08</v>
      </c>
    </row>
    <row r="350" spans="1:120" x14ac:dyDescent="0.3">
      <c r="A350" t="s">
        <v>120</v>
      </c>
      <c r="B350" s="2">
        <v>45752</v>
      </c>
      <c r="C350" s="1">
        <v>0.6875</v>
      </c>
      <c r="D350" t="s">
        <v>151</v>
      </c>
      <c r="E350" t="s">
        <v>129</v>
      </c>
      <c r="F350">
        <v>3</v>
      </c>
      <c r="G350">
        <v>1</v>
      </c>
      <c r="H350" t="s">
        <v>124</v>
      </c>
      <c r="I350">
        <v>1</v>
      </c>
      <c r="J350">
        <v>0</v>
      </c>
      <c r="K350" t="s">
        <v>124</v>
      </c>
      <c r="L350" t="s">
        <v>137</v>
      </c>
      <c r="M350">
        <v>17</v>
      </c>
      <c r="N350">
        <v>11</v>
      </c>
      <c r="O350">
        <v>7</v>
      </c>
      <c r="P350">
        <v>2</v>
      </c>
      <c r="Q350">
        <v>10</v>
      </c>
      <c r="R350">
        <v>11</v>
      </c>
      <c r="S350">
        <v>3</v>
      </c>
      <c r="T350">
        <v>6</v>
      </c>
      <c r="U350">
        <v>2</v>
      </c>
      <c r="V350">
        <v>2</v>
      </c>
      <c r="W350">
        <v>0</v>
      </c>
      <c r="X350">
        <v>0</v>
      </c>
      <c r="Y350">
        <v>2.15</v>
      </c>
      <c r="Z350">
        <v>3.7</v>
      </c>
      <c r="AA350">
        <v>3.1</v>
      </c>
      <c r="AE350">
        <v>2.15</v>
      </c>
      <c r="AF350">
        <v>3.75</v>
      </c>
      <c r="AG350">
        <v>3.2</v>
      </c>
      <c r="AH350">
        <v>2.19</v>
      </c>
      <c r="AI350">
        <v>3.78</v>
      </c>
      <c r="AJ350">
        <v>3.21</v>
      </c>
      <c r="AN350">
        <v>2.21</v>
      </c>
      <c r="AO350">
        <v>3.77</v>
      </c>
      <c r="AP350">
        <v>3.24</v>
      </c>
      <c r="AQ350">
        <v>2.21</v>
      </c>
      <c r="AR350">
        <v>3.8</v>
      </c>
      <c r="AS350">
        <v>3.24</v>
      </c>
      <c r="AT350">
        <v>2.1800000000000002</v>
      </c>
      <c r="AU350">
        <v>3.71</v>
      </c>
      <c r="AV350">
        <v>3.14</v>
      </c>
      <c r="AW350">
        <v>2.2400000000000002</v>
      </c>
      <c r="AX350">
        <v>3.9</v>
      </c>
      <c r="AY350">
        <v>3.3</v>
      </c>
      <c r="AZ350">
        <v>1.53</v>
      </c>
      <c r="BA350">
        <v>2.5</v>
      </c>
      <c r="BB350">
        <v>1.56</v>
      </c>
      <c r="BC350">
        <v>2.5099999999999998</v>
      </c>
      <c r="BD350">
        <v>1.56</v>
      </c>
      <c r="BE350">
        <v>2.5299999999999998</v>
      </c>
      <c r="BF350">
        <v>1.54</v>
      </c>
      <c r="BG350">
        <v>2.4500000000000002</v>
      </c>
      <c r="BH350">
        <v>1.6</v>
      </c>
      <c r="BI350">
        <v>2.58</v>
      </c>
      <c r="BJ350">
        <v>-0.25</v>
      </c>
      <c r="BK350">
        <v>1.88</v>
      </c>
      <c r="BL350">
        <v>2.02</v>
      </c>
      <c r="BM350">
        <v>1.92</v>
      </c>
      <c r="BN350">
        <v>1.99</v>
      </c>
      <c r="BO350">
        <v>1.92</v>
      </c>
      <c r="BP350">
        <v>2.04</v>
      </c>
      <c r="BQ350">
        <v>1.88</v>
      </c>
      <c r="BR350">
        <v>1.96</v>
      </c>
      <c r="BS350">
        <v>1.95</v>
      </c>
      <c r="BT350">
        <v>2.02</v>
      </c>
      <c r="BU350">
        <v>2.2999999999999998</v>
      </c>
      <c r="BV350">
        <v>3.6</v>
      </c>
      <c r="BW350">
        <v>2.8</v>
      </c>
      <c r="CA350">
        <v>2.25</v>
      </c>
      <c r="CB350">
        <v>3.6</v>
      </c>
      <c r="CC350">
        <v>2.8</v>
      </c>
      <c r="CD350">
        <v>2.34</v>
      </c>
      <c r="CE350">
        <v>3.84</v>
      </c>
      <c r="CF350">
        <v>2.95</v>
      </c>
      <c r="CJ350">
        <v>2.4900000000000002</v>
      </c>
      <c r="CK350">
        <v>3.73</v>
      </c>
      <c r="CL350">
        <v>2.77</v>
      </c>
      <c r="CM350">
        <v>2.4900000000000002</v>
      </c>
      <c r="CN350">
        <v>3.85</v>
      </c>
      <c r="CO350">
        <v>2.98</v>
      </c>
      <c r="CP350">
        <v>2.35</v>
      </c>
      <c r="CQ350">
        <v>3.71</v>
      </c>
      <c r="CR350">
        <v>2.86</v>
      </c>
      <c r="CS350">
        <v>2.4</v>
      </c>
      <c r="CT350">
        <v>3.9</v>
      </c>
      <c r="CU350">
        <v>3</v>
      </c>
      <c r="CV350">
        <v>1.5</v>
      </c>
      <c r="CW350">
        <v>2.63</v>
      </c>
      <c r="CX350">
        <v>1.5</v>
      </c>
      <c r="CY350">
        <v>2.71</v>
      </c>
      <c r="CZ350">
        <v>1.53</v>
      </c>
      <c r="DA350">
        <v>2.71</v>
      </c>
      <c r="DB350">
        <v>1.5</v>
      </c>
      <c r="DC350">
        <v>2.61</v>
      </c>
      <c r="DD350">
        <v>1.53</v>
      </c>
      <c r="DE350">
        <v>2.84</v>
      </c>
      <c r="DF350">
        <v>-0.25</v>
      </c>
      <c r="DG350">
        <v>2.0299999999999998</v>
      </c>
      <c r="DH350">
        <v>1.87</v>
      </c>
      <c r="DI350">
        <v>2.0499999999999998</v>
      </c>
      <c r="DJ350">
        <v>1.88</v>
      </c>
      <c r="DK350">
        <v>2.11</v>
      </c>
      <c r="DL350">
        <v>1.88</v>
      </c>
      <c r="DM350">
        <v>2.0299999999999998</v>
      </c>
      <c r="DN350">
        <v>1.84</v>
      </c>
      <c r="DO350">
        <v>2.09</v>
      </c>
      <c r="DP350">
        <v>1.91</v>
      </c>
    </row>
    <row r="351" spans="1:120" x14ac:dyDescent="0.3">
      <c r="A351" t="s">
        <v>120</v>
      </c>
      <c r="B351" s="2">
        <v>45782</v>
      </c>
      <c r="C351" s="1">
        <v>0.83333333333333337</v>
      </c>
      <c r="D351" t="s">
        <v>149</v>
      </c>
      <c r="E351" t="s">
        <v>141</v>
      </c>
      <c r="F351">
        <v>1</v>
      </c>
      <c r="G351">
        <v>1</v>
      </c>
      <c r="H351" t="s">
        <v>125</v>
      </c>
      <c r="I351">
        <v>0</v>
      </c>
      <c r="J351">
        <v>0</v>
      </c>
      <c r="K351" t="s">
        <v>125</v>
      </c>
      <c r="L351" t="s">
        <v>176</v>
      </c>
      <c r="M351">
        <v>20</v>
      </c>
      <c r="N351">
        <v>12</v>
      </c>
      <c r="O351">
        <v>3</v>
      </c>
      <c r="P351">
        <v>4</v>
      </c>
      <c r="Q351">
        <v>9</v>
      </c>
      <c r="R351">
        <v>15</v>
      </c>
      <c r="S351">
        <v>7</v>
      </c>
      <c r="T351">
        <v>4</v>
      </c>
      <c r="U351">
        <v>3</v>
      </c>
      <c r="V351">
        <v>8</v>
      </c>
      <c r="W351">
        <v>0</v>
      </c>
      <c r="X351">
        <v>0</v>
      </c>
      <c r="Y351">
        <v>2.25</v>
      </c>
      <c r="Z351">
        <v>3.4</v>
      </c>
      <c r="AA351">
        <v>3.2</v>
      </c>
      <c r="AE351">
        <v>2.25</v>
      </c>
      <c r="AF351">
        <v>3.25</v>
      </c>
      <c r="AG351">
        <v>3.2</v>
      </c>
      <c r="AH351">
        <v>2.31</v>
      </c>
      <c r="AI351">
        <v>3.44</v>
      </c>
      <c r="AJ351">
        <v>3.23</v>
      </c>
      <c r="AN351">
        <v>2.33</v>
      </c>
      <c r="AO351">
        <v>3.47</v>
      </c>
      <c r="AP351">
        <v>3.24</v>
      </c>
      <c r="AQ351">
        <v>2.35</v>
      </c>
      <c r="AR351">
        <v>3.47</v>
      </c>
      <c r="AS351">
        <v>3.24</v>
      </c>
      <c r="AT351">
        <v>2.29</v>
      </c>
      <c r="AU351">
        <v>3.38</v>
      </c>
      <c r="AV351">
        <v>3.15</v>
      </c>
      <c r="AW351">
        <v>2.38</v>
      </c>
      <c r="AX351">
        <v>3.45</v>
      </c>
      <c r="AY351">
        <v>3.35</v>
      </c>
      <c r="AZ351">
        <v>2.0099999999999998</v>
      </c>
      <c r="BA351">
        <v>1.89</v>
      </c>
      <c r="BB351">
        <v>2.0099999999999998</v>
      </c>
      <c r="BC351">
        <v>1.88</v>
      </c>
      <c r="BD351">
        <v>2.0099999999999998</v>
      </c>
      <c r="BE351">
        <v>1.9</v>
      </c>
      <c r="BF351">
        <v>1.96</v>
      </c>
      <c r="BG351">
        <v>1.86</v>
      </c>
      <c r="BH351">
        <v>1.93</v>
      </c>
      <c r="BI351">
        <v>1.79</v>
      </c>
      <c r="BJ351">
        <v>-0.25</v>
      </c>
      <c r="BK351">
        <v>1.93</v>
      </c>
      <c r="BL351">
        <v>1.85</v>
      </c>
      <c r="BM351">
        <v>1.99</v>
      </c>
      <c r="BN351">
        <v>1.91</v>
      </c>
      <c r="BO351">
        <v>1.99</v>
      </c>
      <c r="BP351">
        <v>1.91</v>
      </c>
      <c r="BQ351">
        <v>1.95</v>
      </c>
      <c r="BR351">
        <v>1.87</v>
      </c>
      <c r="BS351">
        <v>2.0299999999999998</v>
      </c>
      <c r="BT351">
        <v>1.96</v>
      </c>
      <c r="BU351">
        <v>2.15</v>
      </c>
      <c r="BV351">
        <v>3.4</v>
      </c>
      <c r="BW351">
        <v>3.4</v>
      </c>
      <c r="CA351">
        <v>2.15</v>
      </c>
      <c r="CB351">
        <v>3.3</v>
      </c>
      <c r="CC351">
        <v>3.3</v>
      </c>
      <c r="CD351">
        <v>2.19</v>
      </c>
      <c r="CE351">
        <v>3.5</v>
      </c>
      <c r="CF351">
        <v>3.5</v>
      </c>
      <c r="CJ351">
        <v>2.27</v>
      </c>
      <c r="CK351">
        <v>3.48</v>
      </c>
      <c r="CL351">
        <v>3.31</v>
      </c>
      <c r="CM351">
        <v>2.27</v>
      </c>
      <c r="CN351">
        <v>3.5</v>
      </c>
      <c r="CO351">
        <v>3.5</v>
      </c>
      <c r="CP351">
        <v>2.2000000000000002</v>
      </c>
      <c r="CQ351">
        <v>3.43</v>
      </c>
      <c r="CR351">
        <v>3.39</v>
      </c>
      <c r="CS351">
        <v>2.2599999999999998</v>
      </c>
      <c r="CT351">
        <v>3.55</v>
      </c>
      <c r="CU351">
        <v>3.55</v>
      </c>
      <c r="CV351">
        <v>2.0099999999999998</v>
      </c>
      <c r="CW351">
        <v>1.89</v>
      </c>
      <c r="CX351">
        <v>2</v>
      </c>
      <c r="CY351">
        <v>1.91</v>
      </c>
      <c r="CZ351">
        <v>2.0499999999999998</v>
      </c>
      <c r="DA351">
        <v>1.92</v>
      </c>
      <c r="DB351">
        <v>1.96</v>
      </c>
      <c r="DC351">
        <v>1.88</v>
      </c>
      <c r="DD351">
        <v>2.04</v>
      </c>
      <c r="DE351">
        <v>1.94</v>
      </c>
      <c r="DF351">
        <v>-0.25</v>
      </c>
      <c r="DG351">
        <v>1.87</v>
      </c>
      <c r="DH351">
        <v>2.0299999999999998</v>
      </c>
      <c r="DI351">
        <v>1.89</v>
      </c>
      <c r="DJ351">
        <v>2.0299999999999998</v>
      </c>
      <c r="DK351">
        <v>1.92</v>
      </c>
      <c r="DL351">
        <v>2.04</v>
      </c>
      <c r="DM351">
        <v>1.88</v>
      </c>
      <c r="DN351">
        <v>1.98</v>
      </c>
      <c r="DO351">
        <v>1.94</v>
      </c>
      <c r="DP351">
        <v>2.0499999999999998</v>
      </c>
    </row>
    <row r="352" spans="1:120" x14ac:dyDescent="0.3">
      <c r="A352" t="s">
        <v>120</v>
      </c>
      <c r="B352" s="2">
        <v>45935</v>
      </c>
      <c r="C352" s="1">
        <v>0.625</v>
      </c>
      <c r="D352" t="s">
        <v>123</v>
      </c>
      <c r="E352" t="s">
        <v>135</v>
      </c>
      <c r="F352">
        <v>1</v>
      </c>
      <c r="G352">
        <v>3</v>
      </c>
      <c r="H352" t="s">
        <v>130</v>
      </c>
      <c r="I352">
        <v>1</v>
      </c>
      <c r="J352">
        <v>1</v>
      </c>
      <c r="K352" t="s">
        <v>125</v>
      </c>
      <c r="L352" t="s">
        <v>160</v>
      </c>
      <c r="M352">
        <v>18</v>
      </c>
      <c r="N352">
        <v>11</v>
      </c>
      <c r="O352">
        <v>6</v>
      </c>
      <c r="P352">
        <v>7</v>
      </c>
      <c r="Q352">
        <v>15</v>
      </c>
      <c r="R352">
        <v>9</v>
      </c>
      <c r="S352">
        <v>5</v>
      </c>
      <c r="T352">
        <v>5</v>
      </c>
      <c r="U352">
        <v>1</v>
      </c>
      <c r="V352">
        <v>0</v>
      </c>
      <c r="W352">
        <v>0</v>
      </c>
      <c r="X352">
        <v>0</v>
      </c>
      <c r="Y352">
        <v>1.82</v>
      </c>
      <c r="Z352">
        <v>3.4</v>
      </c>
      <c r="AA352">
        <v>4.5</v>
      </c>
      <c r="AE352">
        <v>1.8</v>
      </c>
      <c r="AF352">
        <v>3.5</v>
      </c>
      <c r="AG352">
        <v>4.5</v>
      </c>
      <c r="AH352">
        <v>1.88</v>
      </c>
      <c r="AI352">
        <v>3.57</v>
      </c>
      <c r="AJ352">
        <v>4.45</v>
      </c>
      <c r="AN352">
        <v>1.9</v>
      </c>
      <c r="AO352">
        <v>3.71</v>
      </c>
      <c r="AP352">
        <v>4.38</v>
      </c>
      <c r="AQ352">
        <v>1.92</v>
      </c>
      <c r="AR352">
        <v>3.71</v>
      </c>
      <c r="AS352">
        <v>4.5</v>
      </c>
      <c r="AT352">
        <v>1.87</v>
      </c>
      <c r="AU352">
        <v>3.55</v>
      </c>
      <c r="AV352">
        <v>4.32</v>
      </c>
      <c r="AW352">
        <v>1.9</v>
      </c>
      <c r="AX352">
        <v>3.65</v>
      </c>
      <c r="AY352">
        <v>4.9000000000000004</v>
      </c>
      <c r="AZ352">
        <v>2</v>
      </c>
      <c r="BA352">
        <v>1.8</v>
      </c>
      <c r="BB352">
        <v>2.1</v>
      </c>
      <c r="BC352">
        <v>1.8</v>
      </c>
      <c r="BD352">
        <v>2.12</v>
      </c>
      <c r="BE352">
        <v>1.83</v>
      </c>
      <c r="BF352">
        <v>2.04</v>
      </c>
      <c r="BG352">
        <v>1.79</v>
      </c>
      <c r="BH352">
        <v>1.95</v>
      </c>
      <c r="BI352">
        <v>1.76</v>
      </c>
      <c r="BJ352">
        <v>-0.5</v>
      </c>
      <c r="BK352">
        <v>1.89</v>
      </c>
      <c r="BL352">
        <v>2.0099999999999998</v>
      </c>
      <c r="BM352">
        <v>1.89</v>
      </c>
      <c r="BN352">
        <v>2.0099999999999998</v>
      </c>
      <c r="BO352">
        <v>1.92</v>
      </c>
      <c r="BP352">
        <v>2.0099999999999998</v>
      </c>
      <c r="BQ352">
        <v>1.86</v>
      </c>
      <c r="BR352">
        <v>1.97</v>
      </c>
      <c r="BS352">
        <v>1.9</v>
      </c>
      <c r="BT352">
        <v>2.09</v>
      </c>
      <c r="BU352">
        <v>1.75</v>
      </c>
      <c r="BV352">
        <v>3.6</v>
      </c>
      <c r="BW352">
        <v>5</v>
      </c>
      <c r="CA352">
        <v>1.73</v>
      </c>
      <c r="CB352">
        <v>3.6</v>
      </c>
      <c r="CC352">
        <v>4.75</v>
      </c>
      <c r="CD352">
        <v>1.77</v>
      </c>
      <c r="CE352">
        <v>3.75</v>
      </c>
      <c r="CF352">
        <v>4.9400000000000004</v>
      </c>
      <c r="CJ352">
        <v>1.78</v>
      </c>
      <c r="CK352">
        <v>3.66</v>
      </c>
      <c r="CL352">
        <v>5.09</v>
      </c>
      <c r="CM352">
        <v>1.79</v>
      </c>
      <c r="CN352">
        <v>3.8</v>
      </c>
      <c r="CO352">
        <v>5.09</v>
      </c>
      <c r="CP352">
        <v>1.76</v>
      </c>
      <c r="CQ352">
        <v>3.68</v>
      </c>
      <c r="CR352">
        <v>4.8899999999999997</v>
      </c>
      <c r="CS352">
        <v>1.8</v>
      </c>
      <c r="CT352">
        <v>3.85</v>
      </c>
      <c r="CU352">
        <v>5.3</v>
      </c>
      <c r="CV352">
        <v>2</v>
      </c>
      <c r="CW352">
        <v>1.9</v>
      </c>
      <c r="CX352">
        <v>2.04</v>
      </c>
      <c r="CY352">
        <v>1.88</v>
      </c>
      <c r="CZ352">
        <v>2.1</v>
      </c>
      <c r="DA352">
        <v>1.91</v>
      </c>
      <c r="DB352">
        <v>1.99</v>
      </c>
      <c r="DC352">
        <v>1.85</v>
      </c>
      <c r="DD352">
        <v>2.06</v>
      </c>
      <c r="DE352">
        <v>1.93</v>
      </c>
      <c r="DF352">
        <v>-0.75</v>
      </c>
      <c r="DG352">
        <v>1.99</v>
      </c>
      <c r="DH352">
        <v>1.91</v>
      </c>
      <c r="DI352">
        <v>2.0099999999999998</v>
      </c>
      <c r="DJ352">
        <v>1.92</v>
      </c>
      <c r="DK352">
        <v>2.0299999999999998</v>
      </c>
      <c r="DL352">
        <v>1.92</v>
      </c>
      <c r="DM352">
        <v>1.98</v>
      </c>
      <c r="DN352">
        <v>1.88</v>
      </c>
      <c r="DO352">
        <v>2.0499999999999998</v>
      </c>
      <c r="DP352">
        <v>1.94</v>
      </c>
    </row>
    <row r="353" spans="1:120" x14ac:dyDescent="0.3">
      <c r="A353" t="s">
        <v>120</v>
      </c>
      <c r="B353" s="2">
        <v>45935</v>
      </c>
      <c r="C353" s="1">
        <v>0.625</v>
      </c>
      <c r="D353" t="s">
        <v>128</v>
      </c>
      <c r="E353" t="s">
        <v>148</v>
      </c>
      <c r="F353">
        <v>0</v>
      </c>
      <c r="G353">
        <v>1</v>
      </c>
      <c r="H353" t="s">
        <v>130</v>
      </c>
      <c r="I353">
        <v>0</v>
      </c>
      <c r="J353">
        <v>1</v>
      </c>
      <c r="K353" t="s">
        <v>130</v>
      </c>
      <c r="L353" t="s">
        <v>150</v>
      </c>
      <c r="M353">
        <v>11</v>
      </c>
      <c r="N353">
        <v>15</v>
      </c>
      <c r="O353">
        <v>4</v>
      </c>
      <c r="P353">
        <v>5</v>
      </c>
      <c r="Q353">
        <v>6</v>
      </c>
      <c r="R353">
        <v>12</v>
      </c>
      <c r="S353">
        <v>5</v>
      </c>
      <c r="T353">
        <v>6</v>
      </c>
      <c r="U353">
        <v>2</v>
      </c>
      <c r="V353">
        <v>4</v>
      </c>
      <c r="W353">
        <v>0</v>
      </c>
      <c r="X353">
        <v>0</v>
      </c>
      <c r="Y353">
        <v>5</v>
      </c>
      <c r="Z353">
        <v>4</v>
      </c>
      <c r="AA353">
        <v>1.65</v>
      </c>
      <c r="AE353">
        <v>5</v>
      </c>
      <c r="AF353">
        <v>4</v>
      </c>
      <c r="AG353">
        <v>1.62</v>
      </c>
      <c r="AH353">
        <v>5.0999999999999996</v>
      </c>
      <c r="AI353">
        <v>4.21</v>
      </c>
      <c r="AJ353">
        <v>1.66</v>
      </c>
      <c r="AN353">
        <v>4.9400000000000004</v>
      </c>
      <c r="AO353">
        <v>4.53</v>
      </c>
      <c r="AP353">
        <v>1.66</v>
      </c>
      <c r="AQ353">
        <v>5.0999999999999996</v>
      </c>
      <c r="AR353">
        <v>4.53</v>
      </c>
      <c r="AS353">
        <v>1.68</v>
      </c>
      <c r="AT353">
        <v>4.9400000000000004</v>
      </c>
      <c r="AU353">
        <v>4.2</v>
      </c>
      <c r="AV353">
        <v>1.65</v>
      </c>
      <c r="AW353">
        <v>5.6</v>
      </c>
      <c r="AX353">
        <v>4.4000000000000004</v>
      </c>
      <c r="AY353">
        <v>1.68</v>
      </c>
      <c r="AZ353">
        <v>1.53</v>
      </c>
      <c r="BA353">
        <v>2.5</v>
      </c>
      <c r="BB353">
        <v>1.55</v>
      </c>
      <c r="BC353">
        <v>2.54</v>
      </c>
      <c r="BD353">
        <v>1.55</v>
      </c>
      <c r="BE353">
        <v>2.65</v>
      </c>
      <c r="BF353">
        <v>1.51</v>
      </c>
      <c r="BG353">
        <v>2.52</v>
      </c>
      <c r="BH353">
        <v>1.55</v>
      </c>
      <c r="BI353">
        <v>2.72</v>
      </c>
      <c r="BJ353">
        <v>1</v>
      </c>
      <c r="BK353">
        <v>1.78</v>
      </c>
      <c r="BL353">
        <v>2.0299999999999998</v>
      </c>
      <c r="BM353">
        <v>1.81</v>
      </c>
      <c r="BN353">
        <v>2.08</v>
      </c>
      <c r="BO353">
        <v>1.83</v>
      </c>
      <c r="BP353">
        <v>2.08</v>
      </c>
      <c r="BQ353">
        <v>1.79</v>
      </c>
      <c r="BR353">
        <v>2.0499999999999998</v>
      </c>
      <c r="BS353">
        <v>1.84</v>
      </c>
      <c r="BT353">
        <v>1.99</v>
      </c>
      <c r="BU353">
        <v>5.75</v>
      </c>
      <c r="BV353">
        <v>4.5</v>
      </c>
      <c r="BW353">
        <v>1.5</v>
      </c>
      <c r="CA353">
        <v>5.5</v>
      </c>
      <c r="CB353">
        <v>4.5</v>
      </c>
      <c r="CC353">
        <v>1.5</v>
      </c>
      <c r="CD353">
        <v>5.83</v>
      </c>
      <c r="CE353">
        <v>4.84</v>
      </c>
      <c r="CF353">
        <v>1.52</v>
      </c>
      <c r="CJ353">
        <v>5.64</v>
      </c>
      <c r="CK353">
        <v>4.6100000000000003</v>
      </c>
      <c r="CL353">
        <v>1.57</v>
      </c>
      <c r="CM353">
        <v>6</v>
      </c>
      <c r="CN353">
        <v>4.8499999999999996</v>
      </c>
      <c r="CO353">
        <v>1.57</v>
      </c>
      <c r="CP353">
        <v>5.66</v>
      </c>
      <c r="CQ353">
        <v>4.68</v>
      </c>
      <c r="CR353">
        <v>1.53</v>
      </c>
      <c r="CS353">
        <v>6.4</v>
      </c>
      <c r="CT353">
        <v>4.9000000000000004</v>
      </c>
      <c r="CU353">
        <v>1.55</v>
      </c>
      <c r="CV353">
        <v>1.44</v>
      </c>
      <c r="CW353">
        <v>2.75</v>
      </c>
      <c r="CX353">
        <v>1.44</v>
      </c>
      <c r="CY353">
        <v>2.87</v>
      </c>
      <c r="CZ353">
        <v>1.48</v>
      </c>
      <c r="DA353">
        <v>2.89</v>
      </c>
      <c r="DB353">
        <v>1.44</v>
      </c>
      <c r="DC353">
        <v>2.81</v>
      </c>
      <c r="DD353">
        <v>1.49</v>
      </c>
      <c r="DE353">
        <v>3</v>
      </c>
      <c r="DF353">
        <v>1.25</v>
      </c>
      <c r="DG353">
        <v>1.83</v>
      </c>
      <c r="DH353">
        <v>2.0699999999999998</v>
      </c>
      <c r="DI353">
        <v>1.84</v>
      </c>
      <c r="DJ353">
        <v>2.1</v>
      </c>
      <c r="DK353">
        <v>1.84</v>
      </c>
      <c r="DL353">
        <v>2.14</v>
      </c>
      <c r="DM353">
        <v>1.8</v>
      </c>
      <c r="DN353">
        <v>2.08</v>
      </c>
      <c r="DO353">
        <v>1.85</v>
      </c>
      <c r="DP353">
        <v>2.15</v>
      </c>
    </row>
    <row r="354" spans="1:120" x14ac:dyDescent="0.3">
      <c r="A354" t="s">
        <v>120</v>
      </c>
      <c r="B354" s="2">
        <v>45935</v>
      </c>
      <c r="C354" s="1">
        <v>0.625</v>
      </c>
      <c r="D354" t="s">
        <v>139</v>
      </c>
      <c r="E354" t="s">
        <v>152</v>
      </c>
      <c r="F354">
        <v>0</v>
      </c>
      <c r="G354">
        <v>0</v>
      </c>
      <c r="H354" t="s">
        <v>125</v>
      </c>
      <c r="I354">
        <v>0</v>
      </c>
      <c r="J354">
        <v>0</v>
      </c>
      <c r="K354" t="s">
        <v>125</v>
      </c>
      <c r="L354" t="s">
        <v>131</v>
      </c>
      <c r="M354">
        <v>2</v>
      </c>
      <c r="N354">
        <v>26</v>
      </c>
      <c r="O354">
        <v>0</v>
      </c>
      <c r="P354">
        <v>5</v>
      </c>
      <c r="Q354">
        <v>9</v>
      </c>
      <c r="R354">
        <v>8</v>
      </c>
      <c r="S354">
        <v>1</v>
      </c>
      <c r="T354">
        <v>15</v>
      </c>
      <c r="U354">
        <v>2</v>
      </c>
      <c r="V354">
        <v>0</v>
      </c>
      <c r="W354">
        <v>0</v>
      </c>
      <c r="X354">
        <v>0</v>
      </c>
      <c r="Y354">
        <v>11</v>
      </c>
      <c r="Z354">
        <v>7.5</v>
      </c>
      <c r="AA354">
        <v>1.2</v>
      </c>
      <c r="AE354">
        <v>13</v>
      </c>
      <c r="AF354">
        <v>8</v>
      </c>
      <c r="AG354">
        <v>1.17</v>
      </c>
      <c r="AH354">
        <v>14.01</v>
      </c>
      <c r="AI354">
        <v>7.65</v>
      </c>
      <c r="AJ354">
        <v>1.19</v>
      </c>
      <c r="AN354">
        <v>15</v>
      </c>
      <c r="AO354">
        <v>7.95</v>
      </c>
      <c r="AP354">
        <v>1.2</v>
      </c>
      <c r="AQ354">
        <v>15</v>
      </c>
      <c r="AR354">
        <v>8</v>
      </c>
      <c r="AS354">
        <v>1.2</v>
      </c>
      <c r="AT354">
        <v>13.37</v>
      </c>
      <c r="AU354">
        <v>7.58</v>
      </c>
      <c r="AV354">
        <v>1.19</v>
      </c>
      <c r="AW354">
        <v>15</v>
      </c>
      <c r="AX354">
        <v>8.6</v>
      </c>
      <c r="AY354">
        <v>1.22</v>
      </c>
      <c r="AZ354">
        <v>1.36</v>
      </c>
      <c r="BA354">
        <v>3.2</v>
      </c>
      <c r="BB354">
        <v>1.35</v>
      </c>
      <c r="BC354">
        <v>3.24</v>
      </c>
      <c r="BD354">
        <v>1.36</v>
      </c>
      <c r="BE354">
        <v>3.45</v>
      </c>
      <c r="BF354">
        <v>1.33</v>
      </c>
      <c r="BG354">
        <v>3.22</v>
      </c>
      <c r="BH354">
        <v>1.33</v>
      </c>
      <c r="BI354">
        <v>3</v>
      </c>
      <c r="BJ354">
        <v>2</v>
      </c>
      <c r="BK354">
        <v>1.98</v>
      </c>
      <c r="BL354">
        <v>1.92</v>
      </c>
      <c r="BM354">
        <v>1.97</v>
      </c>
      <c r="BN354">
        <v>1.92</v>
      </c>
      <c r="BO354">
        <v>2</v>
      </c>
      <c r="BP354">
        <v>1.92</v>
      </c>
      <c r="BQ354">
        <v>1.95</v>
      </c>
      <c r="BR354">
        <v>1.88</v>
      </c>
      <c r="BS354">
        <v>1.83</v>
      </c>
      <c r="BT354">
        <v>1.81</v>
      </c>
      <c r="BU354">
        <v>13</v>
      </c>
      <c r="BV354">
        <v>7</v>
      </c>
      <c r="BW354">
        <v>1.2</v>
      </c>
      <c r="CA354">
        <v>14</v>
      </c>
      <c r="CB354">
        <v>7.5</v>
      </c>
      <c r="CC354">
        <v>1.1499999999999999</v>
      </c>
      <c r="CD354">
        <v>15</v>
      </c>
      <c r="CE354">
        <v>8</v>
      </c>
      <c r="CF354">
        <v>1.19</v>
      </c>
      <c r="CJ354">
        <v>14.1</v>
      </c>
      <c r="CK354">
        <v>7.28</v>
      </c>
      <c r="CL354">
        <v>1.22</v>
      </c>
      <c r="CM354">
        <v>15</v>
      </c>
      <c r="CN354">
        <v>8.1</v>
      </c>
      <c r="CO354">
        <v>1.22</v>
      </c>
      <c r="CP354">
        <v>13.84</v>
      </c>
      <c r="CQ354">
        <v>7.49</v>
      </c>
      <c r="CR354">
        <v>1.19</v>
      </c>
      <c r="CS354">
        <v>17</v>
      </c>
      <c r="CT354">
        <v>8.4</v>
      </c>
      <c r="CU354">
        <v>1.21</v>
      </c>
      <c r="CV354">
        <v>1.4</v>
      </c>
      <c r="CW354">
        <v>3</v>
      </c>
      <c r="CX354">
        <v>1.41</v>
      </c>
      <c r="CY354">
        <v>2.93</v>
      </c>
      <c r="CZ354">
        <v>1.45</v>
      </c>
      <c r="DA354">
        <v>3.2</v>
      </c>
      <c r="DB354">
        <v>1.4</v>
      </c>
      <c r="DC354">
        <v>2.98</v>
      </c>
      <c r="DD354">
        <v>1.45</v>
      </c>
      <c r="DE354">
        <v>3.2</v>
      </c>
      <c r="DF354">
        <v>2</v>
      </c>
      <c r="DG354">
        <v>1.86</v>
      </c>
      <c r="DH354">
        <v>2.04</v>
      </c>
      <c r="DI354">
        <v>1.88</v>
      </c>
      <c r="DJ354">
        <v>2.0299999999999998</v>
      </c>
      <c r="DK354">
        <v>1.99</v>
      </c>
      <c r="DL354">
        <v>2.04</v>
      </c>
      <c r="DM354">
        <v>1.89</v>
      </c>
      <c r="DN354">
        <v>1.96</v>
      </c>
      <c r="DO354">
        <v>1.94</v>
      </c>
      <c r="DP354">
        <v>2.02</v>
      </c>
    </row>
    <row r="355" spans="1:120" x14ac:dyDescent="0.3">
      <c r="A355" t="s">
        <v>120</v>
      </c>
      <c r="B355" s="2">
        <v>45935</v>
      </c>
      <c r="C355" s="1">
        <v>0.625</v>
      </c>
      <c r="D355" t="s">
        <v>133</v>
      </c>
      <c r="E355" t="s">
        <v>136</v>
      </c>
      <c r="F355">
        <v>0</v>
      </c>
      <c r="G355">
        <v>2</v>
      </c>
      <c r="H355" t="s">
        <v>130</v>
      </c>
      <c r="I355">
        <v>0</v>
      </c>
      <c r="J355">
        <v>1</v>
      </c>
      <c r="K355" t="s">
        <v>130</v>
      </c>
      <c r="L355" t="s">
        <v>143</v>
      </c>
      <c r="M355">
        <v>10</v>
      </c>
      <c r="N355">
        <v>7</v>
      </c>
      <c r="O355">
        <v>3</v>
      </c>
      <c r="P355">
        <v>2</v>
      </c>
      <c r="Q355">
        <v>8</v>
      </c>
      <c r="R355">
        <v>12</v>
      </c>
      <c r="S355">
        <v>7</v>
      </c>
      <c r="T355">
        <v>4</v>
      </c>
      <c r="U355">
        <v>1</v>
      </c>
      <c r="V355">
        <v>1</v>
      </c>
      <c r="W355">
        <v>0</v>
      </c>
      <c r="X355">
        <v>0</v>
      </c>
      <c r="Y355">
        <v>2.7</v>
      </c>
      <c r="Z355">
        <v>3.5</v>
      </c>
      <c r="AA355">
        <v>2.5</v>
      </c>
      <c r="AE355">
        <v>2.8</v>
      </c>
      <c r="AF355">
        <v>3.4</v>
      </c>
      <c r="AG355">
        <v>2.4</v>
      </c>
      <c r="AH355">
        <v>2.76</v>
      </c>
      <c r="AI355">
        <v>3.47</v>
      </c>
      <c r="AJ355">
        <v>2.61</v>
      </c>
      <c r="AN355">
        <v>2.78</v>
      </c>
      <c r="AO355">
        <v>3.53</v>
      </c>
      <c r="AP355">
        <v>2.61</v>
      </c>
      <c r="AQ355">
        <v>2.8</v>
      </c>
      <c r="AR355">
        <v>3.53</v>
      </c>
      <c r="AS355">
        <v>2.61</v>
      </c>
      <c r="AT355">
        <v>2.73</v>
      </c>
      <c r="AU355">
        <v>3.47</v>
      </c>
      <c r="AV355">
        <v>2.54</v>
      </c>
      <c r="AW355">
        <v>2.96</v>
      </c>
      <c r="AX355">
        <v>3.6</v>
      </c>
      <c r="AY355">
        <v>2.56</v>
      </c>
      <c r="AZ355">
        <v>1.73</v>
      </c>
      <c r="BA355">
        <v>2.1</v>
      </c>
      <c r="BB355">
        <v>1.75</v>
      </c>
      <c r="BC355">
        <v>2.16</v>
      </c>
      <c r="BD355">
        <v>1.77</v>
      </c>
      <c r="BE355">
        <v>2.1800000000000002</v>
      </c>
      <c r="BF355">
        <v>1.73</v>
      </c>
      <c r="BG355">
        <v>2.12</v>
      </c>
      <c r="BH355">
        <v>1.71</v>
      </c>
      <c r="BI355">
        <v>2.2400000000000002</v>
      </c>
      <c r="BJ355">
        <v>0</v>
      </c>
      <c r="BK355">
        <v>1.98</v>
      </c>
      <c r="BL355">
        <v>1.88</v>
      </c>
      <c r="BM355">
        <v>2.0099999999999998</v>
      </c>
      <c r="BN355">
        <v>1.89</v>
      </c>
      <c r="BO355">
        <v>2.0099999999999998</v>
      </c>
      <c r="BP355">
        <v>1.9</v>
      </c>
      <c r="BQ355">
        <v>1.99</v>
      </c>
      <c r="BR355">
        <v>1.87</v>
      </c>
      <c r="BS355">
        <v>2.14</v>
      </c>
      <c r="BT355">
        <v>1.85</v>
      </c>
      <c r="BU355">
        <v>2.9</v>
      </c>
      <c r="BV355">
        <v>3.4</v>
      </c>
      <c r="BW355">
        <v>2.35</v>
      </c>
      <c r="CA355">
        <v>3</v>
      </c>
      <c r="CB355">
        <v>3.25</v>
      </c>
      <c r="CC355">
        <v>2.4</v>
      </c>
      <c r="CD355">
        <v>3.08</v>
      </c>
      <c r="CE355">
        <v>3.39</v>
      </c>
      <c r="CF355">
        <v>2.4500000000000002</v>
      </c>
      <c r="CJ355">
        <v>2.97</v>
      </c>
      <c r="CK355">
        <v>3.48</v>
      </c>
      <c r="CL355">
        <v>2.46</v>
      </c>
      <c r="CM355">
        <v>3.08</v>
      </c>
      <c r="CN355">
        <v>3.48</v>
      </c>
      <c r="CO355">
        <v>2.56</v>
      </c>
      <c r="CP355">
        <v>2.98</v>
      </c>
      <c r="CQ355">
        <v>3.34</v>
      </c>
      <c r="CR355">
        <v>2.4500000000000002</v>
      </c>
      <c r="CS355">
        <v>3.1</v>
      </c>
      <c r="CT355">
        <v>3.4</v>
      </c>
      <c r="CU355">
        <v>2.56</v>
      </c>
      <c r="CV355">
        <v>2</v>
      </c>
      <c r="CW355">
        <v>1.9</v>
      </c>
      <c r="CX355">
        <v>1.98</v>
      </c>
      <c r="CY355">
        <v>1.92</v>
      </c>
      <c r="CZ355">
        <v>2.0499999999999998</v>
      </c>
      <c r="DA355">
        <v>1.98</v>
      </c>
      <c r="DB355">
        <v>1.97</v>
      </c>
      <c r="DC355">
        <v>1.87</v>
      </c>
      <c r="DD355">
        <v>2.06</v>
      </c>
      <c r="DE355">
        <v>1.92</v>
      </c>
      <c r="DF355">
        <v>0.25</v>
      </c>
      <c r="DG355">
        <v>1.8</v>
      </c>
      <c r="DH355">
        <v>2.0499999999999998</v>
      </c>
      <c r="DI355">
        <v>1.83</v>
      </c>
      <c r="DJ355">
        <v>2.11</v>
      </c>
      <c r="DK355">
        <v>1.83</v>
      </c>
      <c r="DL355">
        <v>2.16</v>
      </c>
      <c r="DM355">
        <v>1.79</v>
      </c>
      <c r="DN355">
        <v>2.04</v>
      </c>
      <c r="DO355">
        <v>1.82</v>
      </c>
      <c r="DP355">
        <v>2.1800000000000002</v>
      </c>
    </row>
    <row r="356" spans="1:120" x14ac:dyDescent="0.3">
      <c r="A356" t="s">
        <v>120</v>
      </c>
      <c r="B356" s="2">
        <v>45935</v>
      </c>
      <c r="C356" s="1">
        <v>0.72916666666666663</v>
      </c>
      <c r="D356" t="s">
        <v>142</v>
      </c>
      <c r="E356" t="s">
        <v>145</v>
      </c>
      <c r="F356">
        <v>0</v>
      </c>
      <c r="G356">
        <v>1</v>
      </c>
      <c r="H356" t="s">
        <v>130</v>
      </c>
      <c r="I356">
        <v>0</v>
      </c>
      <c r="J356">
        <v>1</v>
      </c>
      <c r="K356" t="s">
        <v>130</v>
      </c>
      <c r="L356" t="s">
        <v>164</v>
      </c>
      <c r="M356">
        <v>10</v>
      </c>
      <c r="N356">
        <v>6</v>
      </c>
      <c r="O356">
        <v>4</v>
      </c>
      <c r="P356">
        <v>3</v>
      </c>
      <c r="Q356">
        <v>19</v>
      </c>
      <c r="R356">
        <v>12</v>
      </c>
      <c r="S356">
        <v>10</v>
      </c>
      <c r="T356">
        <v>0</v>
      </c>
      <c r="U356">
        <v>4</v>
      </c>
      <c r="V356">
        <v>3</v>
      </c>
      <c r="W356">
        <v>0</v>
      </c>
      <c r="X356">
        <v>1</v>
      </c>
      <c r="Y356">
        <v>2.4</v>
      </c>
      <c r="Z356">
        <v>3.6</v>
      </c>
      <c r="AA356">
        <v>2.75</v>
      </c>
      <c r="AE356">
        <v>2.4500000000000002</v>
      </c>
      <c r="AF356">
        <v>3.6</v>
      </c>
      <c r="AG356">
        <v>2.63</v>
      </c>
      <c r="AH356">
        <v>2.46</v>
      </c>
      <c r="AI356">
        <v>3.75</v>
      </c>
      <c r="AJ356">
        <v>2.78</v>
      </c>
      <c r="AN356">
        <v>2.52</v>
      </c>
      <c r="AO356">
        <v>3.75</v>
      </c>
      <c r="AP356">
        <v>2.76</v>
      </c>
      <c r="AQ356">
        <v>2.52</v>
      </c>
      <c r="AR356">
        <v>3.8</v>
      </c>
      <c r="AS356">
        <v>2.78</v>
      </c>
      <c r="AT356">
        <v>2.4500000000000002</v>
      </c>
      <c r="AU356">
        <v>3.68</v>
      </c>
      <c r="AV356">
        <v>2.71</v>
      </c>
      <c r="AW356">
        <v>2.58</v>
      </c>
      <c r="AX356">
        <v>3.8</v>
      </c>
      <c r="AY356">
        <v>2.8</v>
      </c>
      <c r="AZ356">
        <v>1.62</v>
      </c>
      <c r="BA356">
        <v>2.2999999999999998</v>
      </c>
      <c r="BB356">
        <v>1.63</v>
      </c>
      <c r="BC356">
        <v>2.38</v>
      </c>
      <c r="BD356">
        <v>1.65</v>
      </c>
      <c r="BE356">
        <v>2.4</v>
      </c>
      <c r="BF356">
        <v>1.61</v>
      </c>
      <c r="BG356">
        <v>2.33</v>
      </c>
      <c r="BH356">
        <v>1.59</v>
      </c>
      <c r="BI356">
        <v>2.2999999999999998</v>
      </c>
      <c r="BJ356">
        <v>0</v>
      </c>
      <c r="BK356">
        <v>1.83</v>
      </c>
      <c r="BL356">
        <v>2.0699999999999998</v>
      </c>
      <c r="BM356">
        <v>1.83</v>
      </c>
      <c r="BN356">
        <v>2.08</v>
      </c>
      <c r="BO356">
        <v>1.87</v>
      </c>
      <c r="BP356">
        <v>2.09</v>
      </c>
      <c r="BQ356">
        <v>1.83</v>
      </c>
      <c r="BR356">
        <v>2.04</v>
      </c>
      <c r="BS356">
        <v>1.9</v>
      </c>
      <c r="BT356">
        <v>2.08</v>
      </c>
      <c r="BU356">
        <v>2.5499999999999998</v>
      </c>
      <c r="BV356">
        <v>3.5</v>
      </c>
      <c r="BW356">
        <v>2.63</v>
      </c>
      <c r="CA356">
        <v>2.5499999999999998</v>
      </c>
      <c r="CB356">
        <v>3.5</v>
      </c>
      <c r="CC356">
        <v>2.7</v>
      </c>
      <c r="CD356">
        <v>2.62</v>
      </c>
      <c r="CE356">
        <v>3.58</v>
      </c>
      <c r="CF356">
        <v>2.73</v>
      </c>
      <c r="CJ356">
        <v>2.75</v>
      </c>
      <c r="CK356">
        <v>3.59</v>
      </c>
      <c r="CL356">
        <v>2.57</v>
      </c>
      <c r="CM356">
        <v>2.75</v>
      </c>
      <c r="CN356">
        <v>3.6</v>
      </c>
      <c r="CO356">
        <v>2.75</v>
      </c>
      <c r="CP356">
        <v>2.58</v>
      </c>
      <c r="CQ356">
        <v>3.53</v>
      </c>
      <c r="CR356">
        <v>2.68</v>
      </c>
      <c r="CS356">
        <v>2.68</v>
      </c>
      <c r="CT356">
        <v>3.65</v>
      </c>
      <c r="CU356">
        <v>2.82</v>
      </c>
      <c r="CV356">
        <v>1.67</v>
      </c>
      <c r="CW356">
        <v>2.2000000000000002</v>
      </c>
      <c r="CX356">
        <v>1.7</v>
      </c>
      <c r="CY356">
        <v>2.27</v>
      </c>
      <c r="CZ356">
        <v>1.72</v>
      </c>
      <c r="DA356">
        <v>2.35</v>
      </c>
      <c r="DB356">
        <v>1.68</v>
      </c>
      <c r="DC356">
        <v>2.2200000000000002</v>
      </c>
      <c r="DD356">
        <v>1.72</v>
      </c>
      <c r="DE356">
        <v>2.36</v>
      </c>
      <c r="DF356">
        <v>0</v>
      </c>
      <c r="DG356">
        <v>1.91</v>
      </c>
      <c r="DH356">
        <v>1.99</v>
      </c>
      <c r="DI356">
        <v>1.93</v>
      </c>
      <c r="DJ356">
        <v>2</v>
      </c>
      <c r="DK356">
        <v>1.95</v>
      </c>
      <c r="DL356">
        <v>2.02</v>
      </c>
      <c r="DM356">
        <v>1.9</v>
      </c>
      <c r="DN356">
        <v>1.98</v>
      </c>
      <c r="DO356">
        <v>1.94</v>
      </c>
      <c r="DP356">
        <v>2.04</v>
      </c>
    </row>
    <row r="357" spans="1:120" x14ac:dyDescent="0.3">
      <c r="A357" t="s">
        <v>120</v>
      </c>
      <c r="B357" s="2">
        <v>45966</v>
      </c>
      <c r="C357" s="1">
        <v>0.5</v>
      </c>
      <c r="D357" t="s">
        <v>138</v>
      </c>
      <c r="E357" t="s">
        <v>151</v>
      </c>
      <c r="F357">
        <v>2</v>
      </c>
      <c r="G357">
        <v>0</v>
      </c>
      <c r="H357" t="s">
        <v>124</v>
      </c>
      <c r="I357">
        <v>1</v>
      </c>
      <c r="J357">
        <v>0</v>
      </c>
      <c r="K357" t="s">
        <v>124</v>
      </c>
      <c r="L357" t="s">
        <v>173</v>
      </c>
      <c r="M357">
        <v>15</v>
      </c>
      <c r="N357">
        <v>10</v>
      </c>
      <c r="O357">
        <v>6</v>
      </c>
      <c r="P357">
        <v>3</v>
      </c>
      <c r="Q357">
        <v>9</v>
      </c>
      <c r="R357">
        <v>13</v>
      </c>
      <c r="S357">
        <v>2</v>
      </c>
      <c r="T357">
        <v>8</v>
      </c>
      <c r="U357">
        <v>4</v>
      </c>
      <c r="V357">
        <v>2</v>
      </c>
      <c r="W357">
        <v>0</v>
      </c>
      <c r="X357">
        <v>1</v>
      </c>
      <c r="Y357">
        <v>2.1</v>
      </c>
      <c r="Z357">
        <v>3.75</v>
      </c>
      <c r="AA357">
        <v>3.1</v>
      </c>
      <c r="AE357">
        <v>2.15</v>
      </c>
      <c r="AF357">
        <v>3.6</v>
      </c>
      <c r="AG357">
        <v>3.1</v>
      </c>
      <c r="AH357">
        <v>2.15</v>
      </c>
      <c r="AI357">
        <v>3.78</v>
      </c>
      <c r="AJ357">
        <v>3.28</v>
      </c>
      <c r="AN357">
        <v>2.14</v>
      </c>
      <c r="AO357">
        <v>4</v>
      </c>
      <c r="AP357">
        <v>3.24</v>
      </c>
      <c r="AQ357">
        <v>2.16</v>
      </c>
      <c r="AR357">
        <v>4</v>
      </c>
      <c r="AS357">
        <v>3.28</v>
      </c>
      <c r="AT357">
        <v>2.13</v>
      </c>
      <c r="AU357">
        <v>3.76</v>
      </c>
      <c r="AV357">
        <v>3.18</v>
      </c>
      <c r="AW357">
        <v>2.2799999999999998</v>
      </c>
      <c r="AX357">
        <v>3.85</v>
      </c>
      <c r="AY357">
        <v>3.3</v>
      </c>
      <c r="AZ357">
        <v>1.57</v>
      </c>
      <c r="BA357">
        <v>2.38</v>
      </c>
      <c r="BB357">
        <v>1.59</v>
      </c>
      <c r="BC357">
        <v>2.4500000000000002</v>
      </c>
      <c r="BD357">
        <v>1.59</v>
      </c>
      <c r="BE357">
        <v>2.5499999999999998</v>
      </c>
      <c r="BF357">
        <v>1.55</v>
      </c>
      <c r="BG357">
        <v>2.4300000000000002</v>
      </c>
      <c r="BH357">
        <v>1.53</v>
      </c>
      <c r="BI357">
        <v>2.44</v>
      </c>
      <c r="BJ357">
        <v>-0.25</v>
      </c>
      <c r="BK357">
        <v>1.89</v>
      </c>
      <c r="BL357">
        <v>2.0099999999999998</v>
      </c>
      <c r="BM357">
        <v>1.88</v>
      </c>
      <c r="BN357">
        <v>2.02</v>
      </c>
      <c r="BO357">
        <v>1.89</v>
      </c>
      <c r="BP357">
        <v>2.02</v>
      </c>
      <c r="BQ357">
        <v>1.85</v>
      </c>
      <c r="BR357">
        <v>1.98</v>
      </c>
      <c r="BS357">
        <v>1.98</v>
      </c>
      <c r="BT357">
        <v>2.0099999999999998</v>
      </c>
      <c r="BU357">
        <v>2.2000000000000002</v>
      </c>
      <c r="BV357">
        <v>3.75</v>
      </c>
      <c r="BW357">
        <v>3</v>
      </c>
      <c r="CA357">
        <v>2.2000000000000002</v>
      </c>
      <c r="CB357">
        <v>3.6</v>
      </c>
      <c r="CC357">
        <v>3</v>
      </c>
      <c r="CD357">
        <v>2.29</v>
      </c>
      <c r="CE357">
        <v>3.73</v>
      </c>
      <c r="CF357">
        <v>3.1</v>
      </c>
      <c r="CJ357">
        <v>2.25</v>
      </c>
      <c r="CK357">
        <v>3.84</v>
      </c>
      <c r="CL357">
        <v>3.07</v>
      </c>
      <c r="CM357">
        <v>2.29</v>
      </c>
      <c r="CN357">
        <v>3.85</v>
      </c>
      <c r="CO357">
        <v>3.1</v>
      </c>
      <c r="CP357">
        <v>2.2400000000000002</v>
      </c>
      <c r="CQ357">
        <v>3.75</v>
      </c>
      <c r="CR357">
        <v>3.03</v>
      </c>
      <c r="CS357">
        <v>2.34</v>
      </c>
      <c r="CT357">
        <v>3.85</v>
      </c>
      <c r="CU357">
        <v>3.15</v>
      </c>
      <c r="CV357">
        <v>1.53</v>
      </c>
      <c r="CW357">
        <v>2.5</v>
      </c>
      <c r="CX357">
        <v>1.56</v>
      </c>
      <c r="CY357">
        <v>2.5099999999999998</v>
      </c>
      <c r="CZ357">
        <v>1.61</v>
      </c>
      <c r="DA357">
        <v>2.5099999999999998</v>
      </c>
      <c r="DB357">
        <v>1.56</v>
      </c>
      <c r="DC357">
        <v>2.46</v>
      </c>
      <c r="DD357">
        <v>1.62</v>
      </c>
      <c r="DE357">
        <v>2.6</v>
      </c>
      <c r="DF357">
        <v>-0.25</v>
      </c>
      <c r="DG357">
        <v>1.99</v>
      </c>
      <c r="DH357">
        <v>1.91</v>
      </c>
      <c r="DI357">
        <v>2</v>
      </c>
      <c r="DJ357">
        <v>1.93</v>
      </c>
      <c r="DK357">
        <v>2</v>
      </c>
      <c r="DL357">
        <v>1.95</v>
      </c>
      <c r="DM357">
        <v>1.96</v>
      </c>
      <c r="DN357">
        <v>1.9</v>
      </c>
      <c r="DO357">
        <v>2.0299999999999998</v>
      </c>
      <c r="DP357">
        <v>1.95</v>
      </c>
    </row>
    <row r="358" spans="1:120" x14ac:dyDescent="0.3">
      <c r="A358" t="s">
        <v>120</v>
      </c>
      <c r="B358" s="2">
        <v>45966</v>
      </c>
      <c r="C358" s="1">
        <v>0.59375</v>
      </c>
      <c r="D358" t="s">
        <v>122</v>
      </c>
      <c r="E358" t="s">
        <v>144</v>
      </c>
      <c r="F358">
        <v>0</v>
      </c>
      <c r="G358">
        <v>2</v>
      </c>
      <c r="H358" t="s">
        <v>130</v>
      </c>
      <c r="I358">
        <v>0</v>
      </c>
      <c r="J358">
        <v>1</v>
      </c>
      <c r="K358" t="s">
        <v>130</v>
      </c>
      <c r="L358" t="s">
        <v>134</v>
      </c>
      <c r="M358">
        <v>20</v>
      </c>
      <c r="N358">
        <v>9</v>
      </c>
      <c r="O358">
        <v>5</v>
      </c>
      <c r="P358">
        <v>4</v>
      </c>
      <c r="Q358">
        <v>3</v>
      </c>
      <c r="R358">
        <v>13</v>
      </c>
      <c r="S358">
        <v>8</v>
      </c>
      <c r="T358">
        <v>5</v>
      </c>
      <c r="U358">
        <v>0</v>
      </c>
      <c r="V358">
        <v>1</v>
      </c>
      <c r="W358">
        <v>0</v>
      </c>
      <c r="X358">
        <v>0</v>
      </c>
      <c r="Y358">
        <v>1.9</v>
      </c>
      <c r="Z358">
        <v>3.6</v>
      </c>
      <c r="AA358">
        <v>4</v>
      </c>
      <c r="AE358">
        <v>2</v>
      </c>
      <c r="AF358">
        <v>3.5</v>
      </c>
      <c r="AG358">
        <v>3.6</v>
      </c>
      <c r="AH358">
        <v>1.93</v>
      </c>
      <c r="AI358">
        <v>3.78</v>
      </c>
      <c r="AJ358">
        <v>3.95</v>
      </c>
      <c r="AN358">
        <v>1.93</v>
      </c>
      <c r="AO358">
        <v>3.92</v>
      </c>
      <c r="AP358">
        <v>3.98</v>
      </c>
      <c r="AQ358">
        <v>2</v>
      </c>
      <c r="AR358">
        <v>3.92</v>
      </c>
      <c r="AS358">
        <v>4</v>
      </c>
      <c r="AT358">
        <v>1.92</v>
      </c>
      <c r="AU358">
        <v>3.72</v>
      </c>
      <c r="AV358">
        <v>3.83</v>
      </c>
      <c r="AW358">
        <v>2.04</v>
      </c>
      <c r="AX358">
        <v>3.8</v>
      </c>
      <c r="AY358">
        <v>3.85</v>
      </c>
      <c r="AZ358">
        <v>1.73</v>
      </c>
      <c r="BA358">
        <v>2.1</v>
      </c>
      <c r="BB358">
        <v>1.78</v>
      </c>
      <c r="BC358">
        <v>2.1</v>
      </c>
      <c r="BD358">
        <v>1.81</v>
      </c>
      <c r="BE358">
        <v>2.12</v>
      </c>
      <c r="BF358">
        <v>1.76</v>
      </c>
      <c r="BG358">
        <v>2.0699999999999998</v>
      </c>
      <c r="BH358">
        <v>1.73</v>
      </c>
      <c r="BI358">
        <v>2.1</v>
      </c>
      <c r="BJ358">
        <v>-0.5</v>
      </c>
      <c r="BK358">
        <v>1.93</v>
      </c>
      <c r="BL358">
        <v>1.97</v>
      </c>
      <c r="BM358">
        <v>1.94</v>
      </c>
      <c r="BN358">
        <v>1.96</v>
      </c>
      <c r="BO358">
        <v>1.94</v>
      </c>
      <c r="BP358">
        <v>1.97</v>
      </c>
      <c r="BQ358">
        <v>1.92</v>
      </c>
      <c r="BR358">
        <v>1.91</v>
      </c>
      <c r="BS358">
        <v>2.04</v>
      </c>
      <c r="BT358">
        <v>1.92</v>
      </c>
      <c r="BU358">
        <v>2</v>
      </c>
      <c r="BV358">
        <v>3.7</v>
      </c>
      <c r="BW358">
        <v>3.5</v>
      </c>
      <c r="CA358">
        <v>1.91</v>
      </c>
      <c r="CB358">
        <v>3.6</v>
      </c>
      <c r="CC358">
        <v>3.75</v>
      </c>
      <c r="CD358">
        <v>2.02</v>
      </c>
      <c r="CE358">
        <v>3.68</v>
      </c>
      <c r="CF358">
        <v>3.74</v>
      </c>
      <c r="CJ358">
        <v>1.98</v>
      </c>
      <c r="CK358">
        <v>3.76</v>
      </c>
      <c r="CL358">
        <v>3.85</v>
      </c>
      <c r="CM358">
        <v>2.0499999999999998</v>
      </c>
      <c r="CN358">
        <v>3.77</v>
      </c>
      <c r="CO358">
        <v>3.85</v>
      </c>
      <c r="CP358">
        <v>2.0099999999999998</v>
      </c>
      <c r="CQ358">
        <v>3.67</v>
      </c>
      <c r="CR358">
        <v>3.66</v>
      </c>
      <c r="CS358">
        <v>2.08</v>
      </c>
      <c r="CT358">
        <v>3.8</v>
      </c>
      <c r="CU358">
        <v>3.85</v>
      </c>
      <c r="CV358">
        <v>1.73</v>
      </c>
      <c r="CW358">
        <v>2.1</v>
      </c>
      <c r="CX358">
        <v>1.79</v>
      </c>
      <c r="CY358">
        <v>2.11</v>
      </c>
      <c r="CZ358">
        <v>1.82</v>
      </c>
      <c r="DA358">
        <v>2.2000000000000002</v>
      </c>
      <c r="DB358">
        <v>1.75</v>
      </c>
      <c r="DC358">
        <v>2.12</v>
      </c>
      <c r="DD358">
        <v>1.81</v>
      </c>
      <c r="DE358">
        <v>2.2000000000000002</v>
      </c>
      <c r="DF358">
        <v>-0.5</v>
      </c>
      <c r="DG358">
        <v>2.0499999999999998</v>
      </c>
      <c r="DH358">
        <v>1.85</v>
      </c>
      <c r="DI358">
        <v>2.0299999999999998</v>
      </c>
      <c r="DJ358">
        <v>1.9</v>
      </c>
      <c r="DK358">
        <v>2.0499999999999998</v>
      </c>
      <c r="DL358">
        <v>1.9</v>
      </c>
      <c r="DM358">
        <v>2.0099999999999998</v>
      </c>
      <c r="DN358">
        <v>1.84</v>
      </c>
      <c r="DO358">
        <v>2.08</v>
      </c>
      <c r="DP358">
        <v>1.91</v>
      </c>
    </row>
    <row r="359" spans="1:120" x14ac:dyDescent="0.3">
      <c r="A359" t="s">
        <v>120</v>
      </c>
      <c r="B359" s="2">
        <v>45966</v>
      </c>
      <c r="C359" s="1">
        <v>0.59375</v>
      </c>
      <c r="D359" t="s">
        <v>141</v>
      </c>
      <c r="E359" t="s">
        <v>155</v>
      </c>
      <c r="F359">
        <v>2</v>
      </c>
      <c r="G359">
        <v>2</v>
      </c>
      <c r="H359" t="s">
        <v>125</v>
      </c>
      <c r="I359">
        <v>1</v>
      </c>
      <c r="J359">
        <v>1</v>
      </c>
      <c r="K359" t="s">
        <v>125</v>
      </c>
      <c r="L359" t="s">
        <v>146</v>
      </c>
      <c r="M359">
        <v>15</v>
      </c>
      <c r="N359">
        <v>10</v>
      </c>
      <c r="O359">
        <v>4</v>
      </c>
      <c r="P359">
        <v>6</v>
      </c>
      <c r="Q359">
        <v>11</v>
      </c>
      <c r="R359">
        <v>11</v>
      </c>
      <c r="S359">
        <v>4</v>
      </c>
      <c r="T359">
        <v>4</v>
      </c>
      <c r="U359">
        <v>3</v>
      </c>
      <c r="V359">
        <v>3</v>
      </c>
      <c r="W359">
        <v>0</v>
      </c>
      <c r="X359">
        <v>0</v>
      </c>
      <c r="Y359">
        <v>1.33</v>
      </c>
      <c r="Z359">
        <v>5.25</v>
      </c>
      <c r="AA359">
        <v>8</v>
      </c>
      <c r="AE359">
        <v>1.3</v>
      </c>
      <c r="AF359">
        <v>5</v>
      </c>
      <c r="AG359">
        <v>8.5</v>
      </c>
      <c r="AH359">
        <v>1.34</v>
      </c>
      <c r="AI359">
        <v>5.56</v>
      </c>
      <c r="AJ359">
        <v>8.99</v>
      </c>
      <c r="AN359">
        <v>1.36</v>
      </c>
      <c r="AO359">
        <v>5.45</v>
      </c>
      <c r="AP359">
        <v>9.5500000000000007</v>
      </c>
      <c r="AQ359">
        <v>1.36</v>
      </c>
      <c r="AR359">
        <v>5.7</v>
      </c>
      <c r="AS359">
        <v>9.8000000000000007</v>
      </c>
      <c r="AT359">
        <v>1.33</v>
      </c>
      <c r="AU359">
        <v>5.34</v>
      </c>
      <c r="AV359">
        <v>8.83</v>
      </c>
      <c r="AW359">
        <v>1.38</v>
      </c>
      <c r="AX359">
        <v>5.6</v>
      </c>
      <c r="AY359">
        <v>10</v>
      </c>
      <c r="AZ359">
        <v>1.67</v>
      </c>
      <c r="BA359">
        <v>2.2000000000000002</v>
      </c>
      <c r="BB359">
        <v>1.69</v>
      </c>
      <c r="BC359">
        <v>2.23</v>
      </c>
      <c r="BD359">
        <v>1.72</v>
      </c>
      <c r="BE359">
        <v>2.2799999999999998</v>
      </c>
      <c r="BF359">
        <v>1.66</v>
      </c>
      <c r="BG359">
        <v>2.2200000000000002</v>
      </c>
      <c r="BH359">
        <v>1.63</v>
      </c>
      <c r="BI359">
        <v>2.16</v>
      </c>
      <c r="BJ359">
        <v>-1.5</v>
      </c>
      <c r="BK359">
        <v>2.04</v>
      </c>
      <c r="BL359">
        <v>1.86</v>
      </c>
      <c r="BM359">
        <v>2.0299999999999998</v>
      </c>
      <c r="BN359">
        <v>1.88</v>
      </c>
      <c r="BO359">
        <v>2.04</v>
      </c>
      <c r="BP359">
        <v>1.88</v>
      </c>
      <c r="BQ359">
        <v>1.99</v>
      </c>
      <c r="BR359">
        <v>1.85</v>
      </c>
      <c r="BS359">
        <v>2.06</v>
      </c>
      <c r="BT359">
        <v>1.77</v>
      </c>
      <c r="BU359">
        <v>1.4</v>
      </c>
      <c r="BV359">
        <v>5</v>
      </c>
      <c r="BW359">
        <v>7</v>
      </c>
      <c r="CA359">
        <v>1.36</v>
      </c>
      <c r="CB359">
        <v>4.75</v>
      </c>
      <c r="CC359">
        <v>8</v>
      </c>
      <c r="CD359">
        <v>1.39</v>
      </c>
      <c r="CE359">
        <v>5.19</v>
      </c>
      <c r="CF359">
        <v>7.91</v>
      </c>
      <c r="CJ359">
        <v>1.41</v>
      </c>
      <c r="CK359">
        <v>5.13</v>
      </c>
      <c r="CL359">
        <v>8.1</v>
      </c>
      <c r="CM359">
        <v>1.42</v>
      </c>
      <c r="CN359">
        <v>5.3</v>
      </c>
      <c r="CO359">
        <v>8.4</v>
      </c>
      <c r="CP359">
        <v>1.39</v>
      </c>
      <c r="CQ359">
        <v>5.03</v>
      </c>
      <c r="CR359">
        <v>7.8</v>
      </c>
      <c r="CS359">
        <v>1.41</v>
      </c>
      <c r="CT359">
        <v>5.3</v>
      </c>
      <c r="CU359">
        <v>9</v>
      </c>
      <c r="CV359">
        <v>1.62</v>
      </c>
      <c r="CW359">
        <v>2.2999999999999998</v>
      </c>
      <c r="CX359">
        <v>1.67</v>
      </c>
      <c r="CY359">
        <v>2.2999999999999998</v>
      </c>
      <c r="CZ359">
        <v>1.67</v>
      </c>
      <c r="DA359">
        <v>2.38</v>
      </c>
      <c r="DB359">
        <v>1.64</v>
      </c>
      <c r="DC359">
        <v>2.29</v>
      </c>
      <c r="DD359">
        <v>1.7</v>
      </c>
      <c r="DE359">
        <v>2.4</v>
      </c>
      <c r="DF359">
        <v>-1.25</v>
      </c>
      <c r="DG359">
        <v>1.88</v>
      </c>
      <c r="DH359">
        <v>2.02</v>
      </c>
      <c r="DI359">
        <v>1.88</v>
      </c>
      <c r="DJ359">
        <v>2.0499999999999998</v>
      </c>
      <c r="DK359">
        <v>1.9</v>
      </c>
      <c r="DL359">
        <v>2.08</v>
      </c>
      <c r="DM359">
        <v>1.86</v>
      </c>
      <c r="DN359">
        <v>2.0099999999999998</v>
      </c>
      <c r="DO359">
        <v>1.89</v>
      </c>
      <c r="DP359">
        <v>2.09</v>
      </c>
    </row>
    <row r="360" spans="1:120" x14ac:dyDescent="0.3">
      <c r="A360" t="s">
        <v>120</v>
      </c>
      <c r="B360" s="2">
        <v>45966</v>
      </c>
      <c r="C360" s="1">
        <v>0.59375</v>
      </c>
      <c r="D360" t="s">
        <v>156</v>
      </c>
      <c r="E360" t="s">
        <v>149</v>
      </c>
      <c r="F360">
        <v>0</v>
      </c>
      <c r="G360">
        <v>2</v>
      </c>
      <c r="H360" t="s">
        <v>130</v>
      </c>
      <c r="I360">
        <v>0</v>
      </c>
      <c r="J360">
        <v>1</v>
      </c>
      <c r="K360" t="s">
        <v>130</v>
      </c>
      <c r="L360" t="s">
        <v>157</v>
      </c>
      <c r="M360">
        <v>8</v>
      </c>
      <c r="N360">
        <v>23</v>
      </c>
      <c r="O360">
        <v>1</v>
      </c>
      <c r="P360">
        <v>10</v>
      </c>
      <c r="Q360">
        <v>12</v>
      </c>
      <c r="R360">
        <v>10</v>
      </c>
      <c r="S360">
        <v>4</v>
      </c>
      <c r="T360">
        <v>8</v>
      </c>
      <c r="U360">
        <v>1</v>
      </c>
      <c r="V360">
        <v>1</v>
      </c>
      <c r="W360">
        <v>0</v>
      </c>
      <c r="X360">
        <v>0</v>
      </c>
      <c r="Y360">
        <v>2.63</v>
      </c>
      <c r="Z360">
        <v>3.6</v>
      </c>
      <c r="AA360">
        <v>2.5</v>
      </c>
      <c r="AE360">
        <v>2.63</v>
      </c>
      <c r="AF360">
        <v>3.5</v>
      </c>
      <c r="AG360">
        <v>2.5499999999999998</v>
      </c>
      <c r="AH360">
        <v>2.69</v>
      </c>
      <c r="AI360">
        <v>3.74</v>
      </c>
      <c r="AJ360">
        <v>2.54</v>
      </c>
      <c r="AN360">
        <v>2.71</v>
      </c>
      <c r="AO360">
        <v>3.77</v>
      </c>
      <c r="AP360">
        <v>2.56</v>
      </c>
      <c r="AQ360">
        <v>2.71</v>
      </c>
      <c r="AR360">
        <v>3.77</v>
      </c>
      <c r="AS360">
        <v>2.56</v>
      </c>
      <c r="AT360">
        <v>2.65</v>
      </c>
      <c r="AU360">
        <v>3.68</v>
      </c>
      <c r="AV360">
        <v>2.5</v>
      </c>
      <c r="AW360">
        <v>2.82</v>
      </c>
      <c r="AX360">
        <v>3.7</v>
      </c>
      <c r="AY360">
        <v>2.58</v>
      </c>
      <c r="AZ360">
        <v>1.53</v>
      </c>
      <c r="BA360">
        <v>2.5</v>
      </c>
      <c r="BB360">
        <v>1.55</v>
      </c>
      <c r="BC360">
        <v>2.5299999999999998</v>
      </c>
      <c r="BD360">
        <v>1.57</v>
      </c>
      <c r="BE360">
        <v>2.5299999999999998</v>
      </c>
      <c r="BF360">
        <v>1.53</v>
      </c>
      <c r="BG360">
        <v>2.46</v>
      </c>
      <c r="BH360">
        <v>1.61</v>
      </c>
      <c r="BI360">
        <v>2.52</v>
      </c>
      <c r="BJ360">
        <v>0</v>
      </c>
      <c r="BK360">
        <v>2.0099999999999998</v>
      </c>
      <c r="BL360">
        <v>1.89</v>
      </c>
      <c r="BM360">
        <v>2.0099999999999998</v>
      </c>
      <c r="BN360">
        <v>1.89</v>
      </c>
      <c r="BO360">
        <v>2.0099999999999998</v>
      </c>
      <c r="BP360">
        <v>1.9</v>
      </c>
      <c r="BQ360">
        <v>1.99</v>
      </c>
      <c r="BR360">
        <v>1.87</v>
      </c>
      <c r="BS360">
        <v>2.0499999999999998</v>
      </c>
      <c r="BT360">
        <v>1.91</v>
      </c>
      <c r="BU360">
        <v>3.1</v>
      </c>
      <c r="BV360">
        <v>3.6</v>
      </c>
      <c r="BW360">
        <v>2.2000000000000002</v>
      </c>
      <c r="CA360">
        <v>3</v>
      </c>
      <c r="CB360">
        <v>3.6</v>
      </c>
      <c r="CC360">
        <v>2.2000000000000002</v>
      </c>
      <c r="CD360">
        <v>3.13</v>
      </c>
      <c r="CE360">
        <v>3.74</v>
      </c>
      <c r="CF360">
        <v>2.2599999999999998</v>
      </c>
      <c r="CJ360">
        <v>3.02</v>
      </c>
      <c r="CK360">
        <v>3.68</v>
      </c>
      <c r="CL360">
        <v>2.34</v>
      </c>
      <c r="CM360">
        <v>3.15</v>
      </c>
      <c r="CN360">
        <v>3.75</v>
      </c>
      <c r="CO360">
        <v>2.34</v>
      </c>
      <c r="CP360">
        <v>3.05</v>
      </c>
      <c r="CQ360">
        <v>3.64</v>
      </c>
      <c r="CR360">
        <v>2.27</v>
      </c>
      <c r="CS360">
        <v>3.15</v>
      </c>
      <c r="CT360">
        <v>3.8</v>
      </c>
      <c r="CU360">
        <v>2.34</v>
      </c>
      <c r="CV360">
        <v>1.67</v>
      </c>
      <c r="CW360">
        <v>2.2000000000000002</v>
      </c>
      <c r="CX360">
        <v>1.69</v>
      </c>
      <c r="CY360">
        <v>2.2599999999999998</v>
      </c>
      <c r="CZ360">
        <v>1.7</v>
      </c>
      <c r="DA360">
        <v>2.33</v>
      </c>
      <c r="DB360">
        <v>1.67</v>
      </c>
      <c r="DC360">
        <v>2.23</v>
      </c>
      <c r="DD360">
        <v>1.73</v>
      </c>
      <c r="DE360">
        <v>2.36</v>
      </c>
      <c r="DF360">
        <v>0.25</v>
      </c>
      <c r="DG360">
        <v>1.95</v>
      </c>
      <c r="DH360">
        <v>1.95</v>
      </c>
      <c r="DI360">
        <v>1.95</v>
      </c>
      <c r="DJ360">
        <v>1.97</v>
      </c>
      <c r="DK360">
        <v>1.95</v>
      </c>
      <c r="DL360">
        <v>2</v>
      </c>
      <c r="DM360">
        <v>1.9</v>
      </c>
      <c r="DN360">
        <v>1.92</v>
      </c>
      <c r="DO360">
        <v>1.94</v>
      </c>
      <c r="DP360">
        <v>2.04</v>
      </c>
    </row>
    <row r="361" spans="1:120" x14ac:dyDescent="0.3">
      <c r="A361" t="s">
        <v>120</v>
      </c>
      <c r="B361" s="2">
        <v>45966</v>
      </c>
      <c r="C361" s="1">
        <v>0.6875</v>
      </c>
      <c r="D361" t="s">
        <v>129</v>
      </c>
      <c r="E361" t="s">
        <v>132</v>
      </c>
      <c r="F361">
        <v>2</v>
      </c>
      <c r="G361">
        <v>2</v>
      </c>
      <c r="H361" t="s">
        <v>125</v>
      </c>
      <c r="I361">
        <v>2</v>
      </c>
      <c r="J361">
        <v>0</v>
      </c>
      <c r="K361" t="s">
        <v>124</v>
      </c>
      <c r="L361" t="s">
        <v>153</v>
      </c>
      <c r="M361">
        <v>14</v>
      </c>
      <c r="N361">
        <v>15</v>
      </c>
      <c r="O361">
        <v>5</v>
      </c>
      <c r="P361">
        <v>7</v>
      </c>
      <c r="Q361">
        <v>13</v>
      </c>
      <c r="R361">
        <v>10</v>
      </c>
      <c r="S361">
        <v>3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3.6</v>
      </c>
      <c r="AA361">
        <v>3.6</v>
      </c>
      <c r="AE361">
        <v>2.1</v>
      </c>
      <c r="AF361">
        <v>3.4</v>
      </c>
      <c r="AG361">
        <v>3.3</v>
      </c>
      <c r="AH361">
        <v>2.08</v>
      </c>
      <c r="AI361">
        <v>3.54</v>
      </c>
      <c r="AJ361">
        <v>3.71</v>
      </c>
      <c r="AN361">
        <v>2.09</v>
      </c>
      <c r="AO361">
        <v>3.63</v>
      </c>
      <c r="AP361">
        <v>3.69</v>
      </c>
      <c r="AQ361">
        <v>2.1</v>
      </c>
      <c r="AR361">
        <v>3.65</v>
      </c>
      <c r="AS361">
        <v>3.71</v>
      </c>
      <c r="AT361">
        <v>2.06</v>
      </c>
      <c r="AU361">
        <v>3.54</v>
      </c>
      <c r="AV361">
        <v>3.57</v>
      </c>
      <c r="AW361">
        <v>2.2400000000000002</v>
      </c>
      <c r="AX361">
        <v>3.6</v>
      </c>
      <c r="AY361">
        <v>3.5</v>
      </c>
      <c r="AZ361">
        <v>1.73</v>
      </c>
      <c r="BA361">
        <v>2.1</v>
      </c>
      <c r="BB361">
        <v>1.73</v>
      </c>
      <c r="BC361">
        <v>2.1800000000000002</v>
      </c>
      <c r="BD361">
        <v>1.76</v>
      </c>
      <c r="BE361">
        <v>2.2000000000000002</v>
      </c>
      <c r="BF361">
        <v>1.71</v>
      </c>
      <c r="BG361">
        <v>2.14</v>
      </c>
      <c r="BH361">
        <v>1.83</v>
      </c>
      <c r="BI361">
        <v>2.06</v>
      </c>
      <c r="BJ361">
        <v>-0.5</v>
      </c>
      <c r="BK361">
        <v>2.0699999999999998</v>
      </c>
      <c r="BL361">
        <v>1.83</v>
      </c>
      <c r="BM361">
        <v>2.08</v>
      </c>
      <c r="BN361">
        <v>1.83</v>
      </c>
      <c r="BO361">
        <v>2.08</v>
      </c>
      <c r="BP361">
        <v>1.83</v>
      </c>
      <c r="BQ361">
        <v>2.04</v>
      </c>
      <c r="BR361">
        <v>1.8</v>
      </c>
      <c r="BS361">
        <v>2.2400000000000002</v>
      </c>
      <c r="BT361">
        <v>1.78</v>
      </c>
      <c r="BU361">
        <v>2.2000000000000002</v>
      </c>
      <c r="BV361">
        <v>3.6</v>
      </c>
      <c r="BW361">
        <v>3.1</v>
      </c>
      <c r="CA361">
        <v>2.2000000000000002</v>
      </c>
      <c r="CB361">
        <v>3.4</v>
      </c>
      <c r="CC361">
        <v>3.1</v>
      </c>
      <c r="CD361">
        <v>2.2400000000000002</v>
      </c>
      <c r="CE361">
        <v>3.68</v>
      </c>
      <c r="CF361">
        <v>3.22</v>
      </c>
      <c r="CJ361">
        <v>2.17</v>
      </c>
      <c r="CK361">
        <v>3.57</v>
      </c>
      <c r="CL361">
        <v>3.44</v>
      </c>
      <c r="CM361">
        <v>2.31</v>
      </c>
      <c r="CN361">
        <v>3.68</v>
      </c>
      <c r="CO361">
        <v>3.44</v>
      </c>
      <c r="CP361">
        <v>2.2400000000000002</v>
      </c>
      <c r="CQ361">
        <v>3.56</v>
      </c>
      <c r="CR361">
        <v>3.16</v>
      </c>
      <c r="CS361">
        <v>2.3199999999999998</v>
      </c>
      <c r="CT361">
        <v>3.65</v>
      </c>
      <c r="CU361">
        <v>3.3</v>
      </c>
      <c r="CV361">
        <v>1.62</v>
      </c>
      <c r="CW361">
        <v>2.2999999999999998</v>
      </c>
      <c r="CX361">
        <v>1.66</v>
      </c>
      <c r="CY361">
        <v>2.3199999999999998</v>
      </c>
      <c r="CZ361">
        <v>1.7</v>
      </c>
      <c r="DA361">
        <v>2.3199999999999998</v>
      </c>
      <c r="DB361">
        <v>1.66</v>
      </c>
      <c r="DC361">
        <v>2.25</v>
      </c>
      <c r="DD361">
        <v>1.74</v>
      </c>
      <c r="DE361">
        <v>2.34</v>
      </c>
      <c r="DF361">
        <v>-0.25</v>
      </c>
      <c r="DG361">
        <v>1.95</v>
      </c>
      <c r="DH361">
        <v>1.95</v>
      </c>
      <c r="DI361">
        <v>1.96</v>
      </c>
      <c r="DJ361">
        <v>1.96</v>
      </c>
      <c r="DK361">
        <v>1.98</v>
      </c>
      <c r="DL361">
        <v>1.98</v>
      </c>
      <c r="DM361">
        <v>1.94</v>
      </c>
      <c r="DN361">
        <v>1.93</v>
      </c>
      <c r="DO361">
        <v>2</v>
      </c>
      <c r="DP361">
        <v>1.99</v>
      </c>
    </row>
    <row r="362" spans="1:120" x14ac:dyDescent="0.3">
      <c r="A362" t="s">
        <v>120</v>
      </c>
      <c r="B362" t="s">
        <v>234</v>
      </c>
      <c r="C362" s="1">
        <v>0.8125</v>
      </c>
      <c r="D362" t="s">
        <v>145</v>
      </c>
      <c r="E362" t="s">
        <v>156</v>
      </c>
      <c r="F362">
        <v>2</v>
      </c>
      <c r="G362">
        <v>0</v>
      </c>
      <c r="H362" t="s">
        <v>124</v>
      </c>
      <c r="I362">
        <v>0</v>
      </c>
      <c r="J362">
        <v>0</v>
      </c>
      <c r="K362" t="s">
        <v>125</v>
      </c>
      <c r="L362" t="s">
        <v>171</v>
      </c>
      <c r="M362">
        <v>18</v>
      </c>
      <c r="N362">
        <v>3</v>
      </c>
      <c r="O362">
        <v>7</v>
      </c>
      <c r="P362">
        <v>1</v>
      </c>
      <c r="Q362">
        <v>5</v>
      </c>
      <c r="R362">
        <v>12</v>
      </c>
      <c r="S362">
        <v>9</v>
      </c>
      <c r="T362">
        <v>1</v>
      </c>
      <c r="U362">
        <v>1</v>
      </c>
      <c r="V362">
        <v>2</v>
      </c>
      <c r="W362">
        <v>0</v>
      </c>
      <c r="X362">
        <v>0</v>
      </c>
      <c r="Y362">
        <v>1.3</v>
      </c>
      <c r="Z362">
        <v>6</v>
      </c>
      <c r="AA362">
        <v>8.5</v>
      </c>
      <c r="AE362">
        <v>1.3</v>
      </c>
      <c r="AF362">
        <v>6</v>
      </c>
      <c r="AG362">
        <v>8.5</v>
      </c>
      <c r="AH362">
        <v>1.33</v>
      </c>
      <c r="AI362">
        <v>6.02</v>
      </c>
      <c r="AJ362">
        <v>8.61</v>
      </c>
      <c r="AN362">
        <v>1.34</v>
      </c>
      <c r="AO362">
        <v>6.06</v>
      </c>
      <c r="AP362">
        <v>8.5500000000000007</v>
      </c>
      <c r="AQ362">
        <v>1.36</v>
      </c>
      <c r="AR362">
        <v>6.2</v>
      </c>
      <c r="AS362">
        <v>9</v>
      </c>
      <c r="AT362">
        <v>1.32</v>
      </c>
      <c r="AU362">
        <v>5.95</v>
      </c>
      <c r="AV362">
        <v>8.4499999999999993</v>
      </c>
      <c r="AW362">
        <v>1.35</v>
      </c>
      <c r="AX362">
        <v>6.2</v>
      </c>
      <c r="AY362">
        <v>9.6</v>
      </c>
      <c r="AZ362">
        <v>1.36</v>
      </c>
      <c r="BA362">
        <v>3.2</v>
      </c>
      <c r="BB362">
        <v>1.4</v>
      </c>
      <c r="BC362">
        <v>3.1</v>
      </c>
      <c r="BD362">
        <v>1.4</v>
      </c>
      <c r="BE362">
        <v>3.25</v>
      </c>
      <c r="BF362">
        <v>1.37</v>
      </c>
      <c r="BG362">
        <v>3.06</v>
      </c>
      <c r="BH362">
        <v>1.41</v>
      </c>
      <c r="BI362">
        <v>3.35</v>
      </c>
      <c r="BJ362">
        <v>-1.5</v>
      </c>
      <c r="BK362">
        <v>1.88</v>
      </c>
      <c r="BL362">
        <v>2.02</v>
      </c>
      <c r="BM362">
        <v>1.91</v>
      </c>
      <c r="BN362">
        <v>2.02</v>
      </c>
      <c r="BO362">
        <v>1.91</v>
      </c>
      <c r="BP362">
        <v>2.0299999999999998</v>
      </c>
      <c r="BQ362">
        <v>1.87</v>
      </c>
      <c r="BR362">
        <v>1.98</v>
      </c>
      <c r="BS362">
        <v>1.92</v>
      </c>
      <c r="BT362">
        <v>2.0499999999999998</v>
      </c>
      <c r="BU362">
        <v>1.25</v>
      </c>
      <c r="BV362">
        <v>6.5</v>
      </c>
      <c r="BW362">
        <v>9.5</v>
      </c>
      <c r="CA362">
        <v>1.25</v>
      </c>
      <c r="CB362">
        <v>6.5</v>
      </c>
      <c r="CC362">
        <v>10.5</v>
      </c>
      <c r="CD362">
        <v>1.26</v>
      </c>
      <c r="CE362">
        <v>7</v>
      </c>
      <c r="CF362">
        <v>11</v>
      </c>
      <c r="CJ362">
        <v>1.3</v>
      </c>
      <c r="CK362">
        <v>6.6</v>
      </c>
      <c r="CL362">
        <v>9.1</v>
      </c>
      <c r="CM362">
        <v>1.3</v>
      </c>
      <c r="CN362">
        <v>7</v>
      </c>
      <c r="CO362">
        <v>11.22</v>
      </c>
      <c r="CP362">
        <v>1.26</v>
      </c>
      <c r="CQ362">
        <v>6.66</v>
      </c>
      <c r="CR362">
        <v>10.210000000000001</v>
      </c>
      <c r="CS362">
        <v>1.28</v>
      </c>
      <c r="CT362">
        <v>7.2</v>
      </c>
      <c r="CU362">
        <v>11.5</v>
      </c>
      <c r="CV362">
        <v>1.36</v>
      </c>
      <c r="CW362">
        <v>3.2</v>
      </c>
      <c r="CX362">
        <v>1.36</v>
      </c>
      <c r="CY362">
        <v>3.17</v>
      </c>
      <c r="CZ362">
        <v>1.37</v>
      </c>
      <c r="DA362">
        <v>3.4</v>
      </c>
      <c r="DB362">
        <v>1.36</v>
      </c>
      <c r="DC362">
        <v>3.18</v>
      </c>
      <c r="DD362">
        <v>1.41</v>
      </c>
      <c r="DE362">
        <v>3.4</v>
      </c>
      <c r="DF362">
        <v>-1.75</v>
      </c>
      <c r="DG362">
        <v>1.89</v>
      </c>
      <c r="DH362">
        <v>2.0099999999999998</v>
      </c>
      <c r="DI362">
        <v>1.91</v>
      </c>
      <c r="DJ362">
        <v>2.0099999999999998</v>
      </c>
      <c r="DK362">
        <v>1.96</v>
      </c>
      <c r="DL362">
        <v>2.0299999999999998</v>
      </c>
      <c r="DM362">
        <v>1.88</v>
      </c>
      <c r="DN362">
        <v>1.98</v>
      </c>
      <c r="DO362">
        <v>1.91</v>
      </c>
      <c r="DP362">
        <v>2.06</v>
      </c>
    </row>
    <row r="363" spans="1:120" x14ac:dyDescent="0.3">
      <c r="A363" t="s">
        <v>120</v>
      </c>
      <c r="B363" t="s">
        <v>234</v>
      </c>
      <c r="C363" s="1">
        <v>0.84375</v>
      </c>
      <c r="D363" t="s">
        <v>151</v>
      </c>
      <c r="E363" t="s">
        <v>122</v>
      </c>
      <c r="F363">
        <v>1</v>
      </c>
      <c r="G363">
        <v>0</v>
      </c>
      <c r="H363" t="s">
        <v>124</v>
      </c>
      <c r="I363">
        <v>0</v>
      </c>
      <c r="J363">
        <v>0</v>
      </c>
      <c r="K363" t="s">
        <v>125</v>
      </c>
      <c r="L363" t="s">
        <v>157</v>
      </c>
      <c r="M363">
        <v>11</v>
      </c>
      <c r="N363">
        <v>4</v>
      </c>
      <c r="O363">
        <v>3</v>
      </c>
      <c r="P363">
        <v>1</v>
      </c>
      <c r="Q363">
        <v>10</v>
      </c>
      <c r="R363">
        <v>14</v>
      </c>
      <c r="S363">
        <v>7</v>
      </c>
      <c r="T363">
        <v>2</v>
      </c>
      <c r="U363">
        <v>1</v>
      </c>
      <c r="V363">
        <v>6</v>
      </c>
      <c r="W363">
        <v>0</v>
      </c>
      <c r="X363">
        <v>0</v>
      </c>
      <c r="Y363">
        <v>1.44</v>
      </c>
      <c r="Z363">
        <v>5</v>
      </c>
      <c r="AA363">
        <v>6.25</v>
      </c>
      <c r="AE363">
        <v>1.44</v>
      </c>
      <c r="AF363">
        <v>5</v>
      </c>
      <c r="AG363">
        <v>7</v>
      </c>
      <c r="AH363">
        <v>1.47</v>
      </c>
      <c r="AI363">
        <v>4.8899999999999997</v>
      </c>
      <c r="AJ363">
        <v>6.68</v>
      </c>
      <c r="AN363">
        <v>1.47</v>
      </c>
      <c r="AO363">
        <v>5</v>
      </c>
      <c r="AP363">
        <v>6.93</v>
      </c>
      <c r="AQ363">
        <v>1.5</v>
      </c>
      <c r="AR363">
        <v>5.0999999999999996</v>
      </c>
      <c r="AS363">
        <v>7</v>
      </c>
      <c r="AT363">
        <v>1.46</v>
      </c>
      <c r="AU363">
        <v>4.9000000000000004</v>
      </c>
      <c r="AV363">
        <v>6.51</v>
      </c>
      <c r="AW363">
        <v>1.48</v>
      </c>
      <c r="AX363">
        <v>5.2</v>
      </c>
      <c r="AY363">
        <v>7.2</v>
      </c>
      <c r="AZ363">
        <v>1.5</v>
      </c>
      <c r="BA363">
        <v>2.63</v>
      </c>
      <c r="BB363">
        <v>1.52</v>
      </c>
      <c r="BC363">
        <v>2.63</v>
      </c>
      <c r="BD363">
        <v>1.52</v>
      </c>
      <c r="BE363">
        <v>2.67</v>
      </c>
      <c r="BF363">
        <v>1.49</v>
      </c>
      <c r="BG363">
        <v>2.6</v>
      </c>
      <c r="BH363">
        <v>1.55</v>
      </c>
      <c r="BI363">
        <v>2.78</v>
      </c>
      <c r="BJ363">
        <v>-1.25</v>
      </c>
      <c r="BK363">
        <v>1.99</v>
      </c>
      <c r="BL363">
        <v>1.91</v>
      </c>
      <c r="BM363">
        <v>2</v>
      </c>
      <c r="BN363">
        <v>1.93</v>
      </c>
      <c r="BO363">
        <v>2.02</v>
      </c>
      <c r="BP363">
        <v>1.93</v>
      </c>
      <c r="BQ363">
        <v>1.96</v>
      </c>
      <c r="BR363">
        <v>1.89</v>
      </c>
      <c r="BS363">
        <v>2.04</v>
      </c>
      <c r="BT363">
        <v>1.94</v>
      </c>
      <c r="BU363">
        <v>1.55</v>
      </c>
      <c r="BV363">
        <v>4.5</v>
      </c>
      <c r="BW363">
        <v>5.25</v>
      </c>
      <c r="CA363">
        <v>1.55</v>
      </c>
      <c r="CB363">
        <v>4.5999999999999996</v>
      </c>
      <c r="CC363">
        <v>5.5</v>
      </c>
      <c r="CD363">
        <v>1.56</v>
      </c>
      <c r="CE363">
        <v>4.7</v>
      </c>
      <c r="CF363">
        <v>5.75</v>
      </c>
      <c r="CJ363">
        <v>1.62</v>
      </c>
      <c r="CK363">
        <v>4.62</v>
      </c>
      <c r="CL363">
        <v>5.13</v>
      </c>
      <c r="CM363">
        <v>1.62</v>
      </c>
      <c r="CN363">
        <v>4.7</v>
      </c>
      <c r="CO363">
        <v>5.99</v>
      </c>
      <c r="CP363">
        <v>1.57</v>
      </c>
      <c r="CQ363">
        <v>4.53</v>
      </c>
      <c r="CR363">
        <v>5.46</v>
      </c>
      <c r="CS363">
        <v>1.6</v>
      </c>
      <c r="CT363">
        <v>4.7</v>
      </c>
      <c r="CU363">
        <v>5.9</v>
      </c>
      <c r="CV363">
        <v>1.53</v>
      </c>
      <c r="CW363">
        <v>2.5</v>
      </c>
      <c r="CX363">
        <v>1.57</v>
      </c>
      <c r="CY363">
        <v>2.58</v>
      </c>
      <c r="CZ363">
        <v>1.61</v>
      </c>
      <c r="DA363">
        <v>2.63</v>
      </c>
      <c r="DB363">
        <v>1.54</v>
      </c>
      <c r="DC363">
        <v>2.5099999999999998</v>
      </c>
      <c r="DD363">
        <v>1.59</v>
      </c>
      <c r="DE363">
        <v>2.68</v>
      </c>
      <c r="DF363">
        <v>-1</v>
      </c>
      <c r="DG363">
        <v>1.95</v>
      </c>
      <c r="DH363">
        <v>1.95</v>
      </c>
      <c r="DI363">
        <v>1.93</v>
      </c>
      <c r="DJ363">
        <v>2</v>
      </c>
      <c r="DK363">
        <v>2</v>
      </c>
      <c r="DL363">
        <v>2</v>
      </c>
      <c r="DM363">
        <v>1.93</v>
      </c>
      <c r="DN363">
        <v>1.93</v>
      </c>
      <c r="DO363">
        <v>1.98</v>
      </c>
      <c r="DP363">
        <v>2.0099999999999998</v>
      </c>
    </row>
    <row r="364" spans="1:120" x14ac:dyDescent="0.3">
      <c r="A364" t="s">
        <v>120</v>
      </c>
      <c r="B364" t="s">
        <v>235</v>
      </c>
      <c r="C364" s="1">
        <v>0.5</v>
      </c>
      <c r="D364" t="s">
        <v>135</v>
      </c>
      <c r="E364" t="s">
        <v>139</v>
      </c>
      <c r="F364">
        <v>2</v>
      </c>
      <c r="G364">
        <v>0</v>
      </c>
      <c r="H364" t="s">
        <v>124</v>
      </c>
      <c r="I364">
        <v>2</v>
      </c>
      <c r="J364">
        <v>0</v>
      </c>
      <c r="K364" t="s">
        <v>124</v>
      </c>
      <c r="L364" t="s">
        <v>143</v>
      </c>
      <c r="M364">
        <v>13</v>
      </c>
      <c r="N364">
        <v>6</v>
      </c>
      <c r="O364">
        <v>5</v>
      </c>
      <c r="P364">
        <v>2</v>
      </c>
      <c r="Q364">
        <v>6</v>
      </c>
      <c r="R364">
        <v>10</v>
      </c>
      <c r="S364">
        <v>4</v>
      </c>
      <c r="T364">
        <v>5</v>
      </c>
      <c r="U364">
        <v>1</v>
      </c>
      <c r="V364">
        <v>1</v>
      </c>
      <c r="W364">
        <v>0</v>
      </c>
      <c r="X364">
        <v>0</v>
      </c>
      <c r="Y364">
        <v>1.4</v>
      </c>
      <c r="Z364">
        <v>4.75</v>
      </c>
      <c r="AA364">
        <v>7.5</v>
      </c>
      <c r="AE364">
        <v>1.4</v>
      </c>
      <c r="AF364">
        <v>4.75</v>
      </c>
      <c r="AG364">
        <v>8</v>
      </c>
      <c r="AH364">
        <v>1.4</v>
      </c>
      <c r="AI364">
        <v>4.9000000000000004</v>
      </c>
      <c r="AJ364">
        <v>8.19</v>
      </c>
      <c r="AN364">
        <v>1.43</v>
      </c>
      <c r="AO364">
        <v>4.8899999999999997</v>
      </c>
      <c r="AP364">
        <v>8.35</v>
      </c>
      <c r="AQ364">
        <v>1.43</v>
      </c>
      <c r="AR364">
        <v>5</v>
      </c>
      <c r="AS364">
        <v>8.6</v>
      </c>
      <c r="AT364">
        <v>1.4</v>
      </c>
      <c r="AU364">
        <v>4.79</v>
      </c>
      <c r="AV364">
        <v>7.93</v>
      </c>
      <c r="AW364">
        <v>1.43</v>
      </c>
      <c r="AX364">
        <v>5.0999999999999996</v>
      </c>
      <c r="AY364">
        <v>8.8000000000000007</v>
      </c>
      <c r="AZ364">
        <v>1.8</v>
      </c>
      <c r="BA364">
        <v>2</v>
      </c>
      <c r="BB364">
        <v>1.84</v>
      </c>
      <c r="BC364">
        <v>2.06</v>
      </c>
      <c r="BD364">
        <v>1.84</v>
      </c>
      <c r="BE364">
        <v>2.08</v>
      </c>
      <c r="BF364">
        <v>1.79</v>
      </c>
      <c r="BG364">
        <v>2.04</v>
      </c>
      <c r="BH364">
        <v>1.83</v>
      </c>
      <c r="BI364">
        <v>2.16</v>
      </c>
      <c r="BJ364">
        <v>-1.25</v>
      </c>
      <c r="BK364">
        <v>1.95</v>
      </c>
      <c r="BL364">
        <v>1.95</v>
      </c>
      <c r="BM364">
        <v>1.94</v>
      </c>
      <c r="BN364">
        <v>1.96</v>
      </c>
      <c r="BO364">
        <v>1.96</v>
      </c>
      <c r="BP364">
        <v>1.96</v>
      </c>
      <c r="BQ364">
        <v>1.91</v>
      </c>
      <c r="BR364">
        <v>1.92</v>
      </c>
      <c r="BS364">
        <v>1.96</v>
      </c>
      <c r="BT364">
        <v>1.97</v>
      </c>
      <c r="BU364">
        <v>1.4</v>
      </c>
      <c r="BV364">
        <v>4.75</v>
      </c>
      <c r="BW364">
        <v>7</v>
      </c>
      <c r="CA364">
        <v>1.4</v>
      </c>
      <c r="CB364">
        <v>5</v>
      </c>
      <c r="CC364">
        <v>8</v>
      </c>
      <c r="CD364">
        <v>1.43</v>
      </c>
      <c r="CE364">
        <v>4.95</v>
      </c>
      <c r="CF364">
        <v>7.6</v>
      </c>
      <c r="CJ364">
        <v>1.46</v>
      </c>
      <c r="CK364">
        <v>4.87</v>
      </c>
      <c r="CL364">
        <v>7.18</v>
      </c>
      <c r="CM364">
        <v>1.46</v>
      </c>
      <c r="CN364">
        <v>5</v>
      </c>
      <c r="CO364">
        <v>8</v>
      </c>
      <c r="CP364">
        <v>1.43</v>
      </c>
      <c r="CQ364">
        <v>4.76</v>
      </c>
      <c r="CR364">
        <v>7.54</v>
      </c>
      <c r="CS364">
        <v>1.46</v>
      </c>
      <c r="CT364">
        <v>5</v>
      </c>
      <c r="CU364">
        <v>8</v>
      </c>
      <c r="CV364">
        <v>1.73</v>
      </c>
      <c r="CW364">
        <v>2.1</v>
      </c>
      <c r="CX364">
        <v>1.78</v>
      </c>
      <c r="CY364">
        <v>2.12</v>
      </c>
      <c r="CZ364">
        <v>1.82</v>
      </c>
      <c r="DA364">
        <v>2.15</v>
      </c>
      <c r="DB364">
        <v>1.77</v>
      </c>
      <c r="DC364">
        <v>2.09</v>
      </c>
      <c r="DD364">
        <v>1.79</v>
      </c>
      <c r="DE364">
        <v>2.2400000000000002</v>
      </c>
      <c r="DF364">
        <v>-1.25</v>
      </c>
      <c r="DG364">
        <v>1.95</v>
      </c>
      <c r="DH364">
        <v>1.95</v>
      </c>
      <c r="DI364">
        <v>1.97</v>
      </c>
      <c r="DJ364">
        <v>1.95</v>
      </c>
      <c r="DK364">
        <v>2</v>
      </c>
      <c r="DL364">
        <v>1.95</v>
      </c>
      <c r="DM364">
        <v>1.96</v>
      </c>
      <c r="DN364">
        <v>1.91</v>
      </c>
      <c r="DO364">
        <v>2.02</v>
      </c>
      <c r="DP364">
        <v>1.94</v>
      </c>
    </row>
    <row r="365" spans="1:120" x14ac:dyDescent="0.3">
      <c r="A365" t="s">
        <v>120</v>
      </c>
      <c r="B365" t="s">
        <v>235</v>
      </c>
      <c r="C365" s="1">
        <v>0.59375</v>
      </c>
      <c r="D365" t="s">
        <v>144</v>
      </c>
      <c r="E365" t="s">
        <v>141</v>
      </c>
      <c r="F365">
        <v>1</v>
      </c>
      <c r="G365">
        <v>2</v>
      </c>
      <c r="H365" t="s">
        <v>130</v>
      </c>
      <c r="I365">
        <v>0</v>
      </c>
      <c r="J365">
        <v>1</v>
      </c>
      <c r="K365" t="s">
        <v>130</v>
      </c>
      <c r="L365" t="s">
        <v>150</v>
      </c>
      <c r="M365">
        <v>16</v>
      </c>
      <c r="N365">
        <v>10</v>
      </c>
      <c r="O365">
        <v>5</v>
      </c>
      <c r="P365">
        <v>5</v>
      </c>
      <c r="Q365">
        <v>14</v>
      </c>
      <c r="R365">
        <v>7</v>
      </c>
      <c r="S365">
        <v>8</v>
      </c>
      <c r="T365">
        <v>7</v>
      </c>
      <c r="U365">
        <v>6</v>
      </c>
      <c r="V365">
        <v>3</v>
      </c>
      <c r="W365">
        <v>0</v>
      </c>
      <c r="X365">
        <v>0</v>
      </c>
      <c r="Y365">
        <v>2.75</v>
      </c>
      <c r="Z365">
        <v>3.3</v>
      </c>
      <c r="AA365">
        <v>2.5499999999999998</v>
      </c>
      <c r="AE365">
        <v>2.75</v>
      </c>
      <c r="AF365">
        <v>3.3</v>
      </c>
      <c r="AG365">
        <v>2.63</v>
      </c>
      <c r="AH365">
        <v>2.84</v>
      </c>
      <c r="AI365">
        <v>3.43</v>
      </c>
      <c r="AJ365">
        <v>2.56</v>
      </c>
      <c r="AN365">
        <v>2.85</v>
      </c>
      <c r="AO365">
        <v>3.56</v>
      </c>
      <c r="AP365">
        <v>2.54</v>
      </c>
      <c r="AQ365">
        <v>2.88</v>
      </c>
      <c r="AR365">
        <v>3.56</v>
      </c>
      <c r="AS365">
        <v>2.63</v>
      </c>
      <c r="AT365">
        <v>2.8</v>
      </c>
      <c r="AU365">
        <v>3.4</v>
      </c>
      <c r="AV365">
        <v>2.5299999999999998</v>
      </c>
      <c r="AW365">
        <v>2.92</v>
      </c>
      <c r="AX365">
        <v>3.5</v>
      </c>
      <c r="AY365">
        <v>2.64</v>
      </c>
      <c r="AZ365">
        <v>1.98</v>
      </c>
      <c r="BA365">
        <v>1.92</v>
      </c>
      <c r="BB365">
        <v>1.98</v>
      </c>
      <c r="BC365">
        <v>1.91</v>
      </c>
      <c r="BD365">
        <v>1.98</v>
      </c>
      <c r="BE365">
        <v>1.93</v>
      </c>
      <c r="BF365">
        <v>1.94</v>
      </c>
      <c r="BG365">
        <v>1.89</v>
      </c>
      <c r="BH365">
        <v>2</v>
      </c>
      <c r="BI365">
        <v>1.96</v>
      </c>
      <c r="BJ365">
        <v>0</v>
      </c>
      <c r="BK365">
        <v>2.02</v>
      </c>
      <c r="BL365">
        <v>1.88</v>
      </c>
      <c r="BM365">
        <v>2.06</v>
      </c>
      <c r="BN365">
        <v>1.85</v>
      </c>
      <c r="BO365">
        <v>2.0699999999999998</v>
      </c>
      <c r="BP365">
        <v>1.88</v>
      </c>
      <c r="BQ365">
        <v>2.02</v>
      </c>
      <c r="BR365">
        <v>1.84</v>
      </c>
      <c r="BS365">
        <v>2.09</v>
      </c>
      <c r="BT365">
        <v>1.89</v>
      </c>
      <c r="BU365">
        <v>2.9</v>
      </c>
      <c r="BV365">
        <v>3.4</v>
      </c>
      <c r="BW365">
        <v>2.4</v>
      </c>
      <c r="CA365">
        <v>2.88</v>
      </c>
      <c r="CB365">
        <v>3.3</v>
      </c>
      <c r="CC365">
        <v>2.4</v>
      </c>
      <c r="CD365">
        <v>3.05</v>
      </c>
      <c r="CE365">
        <v>3.44</v>
      </c>
      <c r="CF365">
        <v>2.44</v>
      </c>
      <c r="CJ365">
        <v>3.13</v>
      </c>
      <c r="CK365">
        <v>3.48</v>
      </c>
      <c r="CL365">
        <v>2.36</v>
      </c>
      <c r="CM365">
        <v>3.13</v>
      </c>
      <c r="CN365">
        <v>3.56</v>
      </c>
      <c r="CO365">
        <v>2.5</v>
      </c>
      <c r="CP365">
        <v>3</v>
      </c>
      <c r="CQ365">
        <v>3.39</v>
      </c>
      <c r="CR365">
        <v>2.41</v>
      </c>
      <c r="CS365">
        <v>3.1</v>
      </c>
      <c r="CT365">
        <v>3.5</v>
      </c>
      <c r="CU365">
        <v>2.52</v>
      </c>
      <c r="CV365">
        <v>2.02</v>
      </c>
      <c r="CW365">
        <v>1.88</v>
      </c>
      <c r="CX365">
        <v>2.02</v>
      </c>
      <c r="CY365">
        <v>1.88</v>
      </c>
      <c r="CZ365">
        <v>2.0299999999999998</v>
      </c>
      <c r="DA365">
        <v>1.9</v>
      </c>
      <c r="DB365">
        <v>1.99</v>
      </c>
      <c r="DC365">
        <v>1.86</v>
      </c>
      <c r="DD365">
        <v>2.08</v>
      </c>
      <c r="DE365">
        <v>1.91</v>
      </c>
      <c r="DF365">
        <v>0.25</v>
      </c>
      <c r="DG365">
        <v>1.81</v>
      </c>
      <c r="DH365">
        <v>2.09</v>
      </c>
      <c r="DI365">
        <v>1.83</v>
      </c>
      <c r="DJ365">
        <v>2.11</v>
      </c>
      <c r="DK365">
        <v>1.87</v>
      </c>
      <c r="DL365">
        <v>2.12</v>
      </c>
      <c r="DM365">
        <v>1.81</v>
      </c>
      <c r="DN365">
        <v>2.02</v>
      </c>
      <c r="DO365">
        <v>1.84</v>
      </c>
      <c r="DP365">
        <v>2.16</v>
      </c>
    </row>
    <row r="366" spans="1:120" x14ac:dyDescent="0.3">
      <c r="A366" t="s">
        <v>120</v>
      </c>
      <c r="B366" t="s">
        <v>235</v>
      </c>
      <c r="C366" s="1">
        <v>0.625</v>
      </c>
      <c r="D366" t="s">
        <v>148</v>
      </c>
      <c r="E366" t="s">
        <v>123</v>
      </c>
      <c r="F366">
        <v>2</v>
      </c>
      <c r="G366">
        <v>3</v>
      </c>
      <c r="H366" t="s">
        <v>130</v>
      </c>
      <c r="I366">
        <v>2</v>
      </c>
      <c r="J366">
        <v>1</v>
      </c>
      <c r="K366" t="s">
        <v>124</v>
      </c>
      <c r="L366" t="s">
        <v>134</v>
      </c>
      <c r="M366">
        <v>11</v>
      </c>
      <c r="N366">
        <v>16</v>
      </c>
      <c r="O366">
        <v>6</v>
      </c>
      <c r="P366">
        <v>7</v>
      </c>
      <c r="Q366">
        <v>12</v>
      </c>
      <c r="R366">
        <v>8</v>
      </c>
      <c r="S366">
        <v>5</v>
      </c>
      <c r="T366">
        <v>3</v>
      </c>
      <c r="U366">
        <v>4</v>
      </c>
      <c r="V366">
        <v>4</v>
      </c>
      <c r="W366">
        <v>0</v>
      </c>
      <c r="X366">
        <v>0</v>
      </c>
      <c r="Y366">
        <v>1.91</v>
      </c>
      <c r="Z366">
        <v>3.9</v>
      </c>
      <c r="AA366">
        <v>3.6</v>
      </c>
      <c r="AE366">
        <v>1.91</v>
      </c>
      <c r="AF366">
        <v>3.9</v>
      </c>
      <c r="AG366">
        <v>3.7</v>
      </c>
      <c r="AH366">
        <v>1.96</v>
      </c>
      <c r="AI366">
        <v>3.95</v>
      </c>
      <c r="AJ366">
        <v>3.68</v>
      </c>
      <c r="AN366">
        <v>1.99</v>
      </c>
      <c r="AO366">
        <v>3.98</v>
      </c>
      <c r="AP366">
        <v>3.69</v>
      </c>
      <c r="AQ366">
        <v>1.99</v>
      </c>
      <c r="AR366">
        <v>4</v>
      </c>
      <c r="AS366">
        <v>3.7</v>
      </c>
      <c r="AT366">
        <v>1.93</v>
      </c>
      <c r="AU366">
        <v>3.9</v>
      </c>
      <c r="AV366">
        <v>3.64</v>
      </c>
      <c r="AW366">
        <v>1.99</v>
      </c>
      <c r="AX366">
        <v>4</v>
      </c>
      <c r="AY366">
        <v>3.9</v>
      </c>
      <c r="AZ366">
        <v>1.62</v>
      </c>
      <c r="BA366">
        <v>2.2999999999999998</v>
      </c>
      <c r="BB366">
        <v>1.65</v>
      </c>
      <c r="BC366">
        <v>2.34</v>
      </c>
      <c r="BD366">
        <v>1.67</v>
      </c>
      <c r="BE366">
        <v>2.4</v>
      </c>
      <c r="BF366">
        <v>1.61</v>
      </c>
      <c r="BG366">
        <v>2.3199999999999998</v>
      </c>
      <c r="BH366">
        <v>1.69</v>
      </c>
      <c r="BI366">
        <v>2.38</v>
      </c>
      <c r="BJ366">
        <v>-0.5</v>
      </c>
      <c r="BK366">
        <v>1.95</v>
      </c>
      <c r="BL366">
        <v>1.95</v>
      </c>
      <c r="BM366">
        <v>1.97</v>
      </c>
      <c r="BN366">
        <v>1.93</v>
      </c>
      <c r="BO366">
        <v>1.97</v>
      </c>
      <c r="BP366">
        <v>1.95</v>
      </c>
      <c r="BQ366">
        <v>1.93</v>
      </c>
      <c r="BR366">
        <v>1.91</v>
      </c>
      <c r="BS366">
        <v>1.99</v>
      </c>
      <c r="BT366">
        <v>2</v>
      </c>
      <c r="BU366">
        <v>2</v>
      </c>
      <c r="BV366">
        <v>3.8</v>
      </c>
      <c r="BW366">
        <v>3.4</v>
      </c>
      <c r="CA366">
        <v>2</v>
      </c>
      <c r="CB366">
        <v>3.7</v>
      </c>
      <c r="CC366">
        <v>3.5</v>
      </c>
      <c r="CD366">
        <v>2.0699999999999998</v>
      </c>
      <c r="CE366">
        <v>3.79</v>
      </c>
      <c r="CF366">
        <v>3.56</v>
      </c>
      <c r="CJ366">
        <v>1.99</v>
      </c>
      <c r="CK366">
        <v>3.9</v>
      </c>
      <c r="CL366">
        <v>3.67</v>
      </c>
      <c r="CM366">
        <v>2.1</v>
      </c>
      <c r="CN366">
        <v>3.9</v>
      </c>
      <c r="CO366">
        <v>3.7</v>
      </c>
      <c r="CP366">
        <v>2.04</v>
      </c>
      <c r="CQ366">
        <v>3.75</v>
      </c>
      <c r="CR366">
        <v>3.5</v>
      </c>
      <c r="CS366">
        <v>2.1</v>
      </c>
      <c r="CT366">
        <v>3.95</v>
      </c>
      <c r="CU366">
        <v>3.65</v>
      </c>
      <c r="CV366">
        <v>1.62</v>
      </c>
      <c r="CW366">
        <v>2.2999999999999998</v>
      </c>
      <c r="CX366">
        <v>1.66</v>
      </c>
      <c r="CY366">
        <v>2.33</v>
      </c>
      <c r="CZ366">
        <v>1.66</v>
      </c>
      <c r="DA366">
        <v>2.36</v>
      </c>
      <c r="DB366">
        <v>1.63</v>
      </c>
      <c r="DC366">
        <v>2.31</v>
      </c>
      <c r="DD366">
        <v>1.67</v>
      </c>
      <c r="DE366">
        <v>2.46</v>
      </c>
      <c r="DF366">
        <v>-0.5</v>
      </c>
      <c r="DG366">
        <v>2.06</v>
      </c>
      <c r="DH366">
        <v>1.84</v>
      </c>
      <c r="DI366">
        <v>2.08</v>
      </c>
      <c r="DJ366">
        <v>1.86</v>
      </c>
      <c r="DK366">
        <v>2.08</v>
      </c>
      <c r="DL366">
        <v>1.87</v>
      </c>
      <c r="DM366">
        <v>2.04</v>
      </c>
      <c r="DN366">
        <v>1.81</v>
      </c>
      <c r="DO366">
        <v>2.1</v>
      </c>
      <c r="DP366">
        <v>1.9</v>
      </c>
    </row>
    <row r="367" spans="1:120" x14ac:dyDescent="0.3">
      <c r="A367" t="s">
        <v>120</v>
      </c>
      <c r="B367" t="s">
        <v>235</v>
      </c>
      <c r="C367" s="1">
        <v>0.625</v>
      </c>
      <c r="D367" t="s">
        <v>155</v>
      </c>
      <c r="E367" t="s">
        <v>128</v>
      </c>
      <c r="F367">
        <v>2</v>
      </c>
      <c r="G367">
        <v>0</v>
      </c>
      <c r="H367" t="s">
        <v>124</v>
      </c>
      <c r="I367">
        <v>1</v>
      </c>
      <c r="J367">
        <v>0</v>
      </c>
      <c r="K367" t="s">
        <v>124</v>
      </c>
      <c r="L367" t="s">
        <v>226</v>
      </c>
      <c r="M367">
        <v>9</v>
      </c>
      <c r="N367">
        <v>20</v>
      </c>
      <c r="O367">
        <v>3</v>
      </c>
      <c r="P367">
        <v>2</v>
      </c>
      <c r="Q367">
        <v>15</v>
      </c>
      <c r="R367">
        <v>12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2.2999999999999998</v>
      </c>
      <c r="Z367">
        <v>3.6</v>
      </c>
      <c r="AA367">
        <v>2.9</v>
      </c>
      <c r="AE367">
        <v>2.2999999999999998</v>
      </c>
      <c r="AF367">
        <v>3.5</v>
      </c>
      <c r="AG367">
        <v>2.9</v>
      </c>
      <c r="AH367">
        <v>2.37</v>
      </c>
      <c r="AI367">
        <v>3.65</v>
      </c>
      <c r="AJ367">
        <v>2.97</v>
      </c>
      <c r="AN367">
        <v>2.38</v>
      </c>
      <c r="AO367">
        <v>3.69</v>
      </c>
      <c r="AP367">
        <v>3</v>
      </c>
      <c r="AQ367">
        <v>2.4</v>
      </c>
      <c r="AR367">
        <v>3.69</v>
      </c>
      <c r="AS367">
        <v>3</v>
      </c>
      <c r="AT367">
        <v>2.33</v>
      </c>
      <c r="AU367">
        <v>3.59</v>
      </c>
      <c r="AV367">
        <v>2.94</v>
      </c>
      <c r="AW367">
        <v>2.38</v>
      </c>
      <c r="AX367">
        <v>3.7</v>
      </c>
      <c r="AY367">
        <v>3.1</v>
      </c>
      <c r="AZ367">
        <v>1.73</v>
      </c>
      <c r="BA367">
        <v>2.1</v>
      </c>
      <c r="BB367">
        <v>1.74</v>
      </c>
      <c r="BC367">
        <v>2.16</v>
      </c>
      <c r="BD367">
        <v>1.77</v>
      </c>
      <c r="BE367">
        <v>2.1800000000000002</v>
      </c>
      <c r="BF367">
        <v>1.74</v>
      </c>
      <c r="BG367">
        <v>2.11</v>
      </c>
      <c r="BH367">
        <v>1.78</v>
      </c>
      <c r="BI367">
        <v>2.2000000000000002</v>
      </c>
      <c r="BJ367">
        <v>-0.25</v>
      </c>
      <c r="BK367">
        <v>2.04</v>
      </c>
      <c r="BL367">
        <v>1.86</v>
      </c>
      <c r="BM367">
        <v>2.0699999999999998</v>
      </c>
      <c r="BN367">
        <v>1.85</v>
      </c>
      <c r="BO367">
        <v>2.0699999999999998</v>
      </c>
      <c r="BP367">
        <v>1.86</v>
      </c>
      <c r="BQ367">
        <v>2.0099999999999998</v>
      </c>
      <c r="BR367">
        <v>1.83</v>
      </c>
      <c r="BS367">
        <v>2.06</v>
      </c>
      <c r="BT367">
        <v>1.9</v>
      </c>
      <c r="BU367">
        <v>2.2000000000000002</v>
      </c>
      <c r="BV367">
        <v>3.7</v>
      </c>
      <c r="BW367">
        <v>3</v>
      </c>
      <c r="CA367">
        <v>2.2999999999999998</v>
      </c>
      <c r="CB367">
        <v>3.6</v>
      </c>
      <c r="CC367">
        <v>3.1</v>
      </c>
      <c r="CD367">
        <v>2.27</v>
      </c>
      <c r="CE367">
        <v>3.77</v>
      </c>
      <c r="CF367">
        <v>3.11</v>
      </c>
      <c r="CJ367">
        <v>2.2999999999999998</v>
      </c>
      <c r="CK367">
        <v>3.69</v>
      </c>
      <c r="CL367">
        <v>3.07</v>
      </c>
      <c r="CM367">
        <v>2.34</v>
      </c>
      <c r="CN367">
        <v>3.8</v>
      </c>
      <c r="CO367">
        <v>3.11</v>
      </c>
      <c r="CP367">
        <v>2.27</v>
      </c>
      <c r="CQ367">
        <v>3.67</v>
      </c>
      <c r="CR367">
        <v>3.04</v>
      </c>
      <c r="CS367">
        <v>2.36</v>
      </c>
      <c r="CT367">
        <v>3.75</v>
      </c>
      <c r="CU367">
        <v>3.15</v>
      </c>
      <c r="CV367">
        <v>1.62</v>
      </c>
      <c r="CW367">
        <v>2.2999999999999998</v>
      </c>
      <c r="CX367">
        <v>1.67</v>
      </c>
      <c r="CY367">
        <v>2.2999999999999998</v>
      </c>
      <c r="CZ367">
        <v>1.7</v>
      </c>
      <c r="DA367">
        <v>2.35</v>
      </c>
      <c r="DB367">
        <v>1.66</v>
      </c>
      <c r="DC367">
        <v>2.2400000000000002</v>
      </c>
      <c r="DD367">
        <v>1.72</v>
      </c>
      <c r="DE367">
        <v>2.36</v>
      </c>
      <c r="DF367">
        <v>-0.25</v>
      </c>
      <c r="DG367">
        <v>1.99</v>
      </c>
      <c r="DH367">
        <v>1.91</v>
      </c>
      <c r="DI367">
        <v>1.99</v>
      </c>
      <c r="DJ367">
        <v>1.93</v>
      </c>
      <c r="DK367">
        <v>2.02</v>
      </c>
      <c r="DL367">
        <v>1.93</v>
      </c>
      <c r="DM367">
        <v>1.97</v>
      </c>
      <c r="DN367">
        <v>1.9</v>
      </c>
      <c r="DO367">
        <v>2.0299999999999998</v>
      </c>
      <c r="DP367">
        <v>1.95</v>
      </c>
    </row>
    <row r="368" spans="1:120" x14ac:dyDescent="0.3">
      <c r="A368" t="s">
        <v>120</v>
      </c>
      <c r="B368" t="s">
        <v>235</v>
      </c>
      <c r="C368" s="1">
        <v>0.6875</v>
      </c>
      <c r="D368" t="s">
        <v>132</v>
      </c>
      <c r="E368" t="s">
        <v>138</v>
      </c>
      <c r="F368">
        <v>1</v>
      </c>
      <c r="G368">
        <v>0</v>
      </c>
      <c r="H368" t="s">
        <v>124</v>
      </c>
      <c r="I368">
        <v>0</v>
      </c>
      <c r="J368">
        <v>0</v>
      </c>
      <c r="K368" t="s">
        <v>125</v>
      </c>
      <c r="L368" t="s">
        <v>137</v>
      </c>
      <c r="M368">
        <v>12</v>
      </c>
      <c r="N368">
        <v>14</v>
      </c>
      <c r="O368">
        <v>4</v>
      </c>
      <c r="P368">
        <v>5</v>
      </c>
      <c r="Q368">
        <v>9</v>
      </c>
      <c r="R368">
        <v>9</v>
      </c>
      <c r="S368">
        <v>10</v>
      </c>
      <c r="T368">
        <v>7</v>
      </c>
      <c r="U368">
        <v>3</v>
      </c>
      <c r="V368">
        <v>3</v>
      </c>
      <c r="W368">
        <v>0</v>
      </c>
      <c r="X368">
        <v>0</v>
      </c>
      <c r="Y368">
        <v>1.95</v>
      </c>
      <c r="Z368">
        <v>3.7</v>
      </c>
      <c r="AA368">
        <v>3.7</v>
      </c>
      <c r="AE368">
        <v>1.95</v>
      </c>
      <c r="AF368">
        <v>3.6</v>
      </c>
      <c r="AG368">
        <v>3.75</v>
      </c>
      <c r="AH368">
        <v>2.0299999999999998</v>
      </c>
      <c r="AI368">
        <v>3.58</v>
      </c>
      <c r="AJ368">
        <v>3.83</v>
      </c>
      <c r="AN368">
        <v>2.0499999999999998</v>
      </c>
      <c r="AO368">
        <v>3.65</v>
      </c>
      <c r="AP368">
        <v>3.79</v>
      </c>
      <c r="AQ368">
        <v>2.08</v>
      </c>
      <c r="AR368">
        <v>3.7</v>
      </c>
      <c r="AS368">
        <v>3.83</v>
      </c>
      <c r="AT368">
        <v>2.0099999999999998</v>
      </c>
      <c r="AU368">
        <v>3.59</v>
      </c>
      <c r="AV368">
        <v>3.7</v>
      </c>
      <c r="AW368">
        <v>2.04</v>
      </c>
      <c r="AX368">
        <v>3.75</v>
      </c>
      <c r="AY368">
        <v>4</v>
      </c>
      <c r="AZ368">
        <v>1.73</v>
      </c>
      <c r="BA368">
        <v>2.1</v>
      </c>
      <c r="BB368">
        <v>1.81</v>
      </c>
      <c r="BC368">
        <v>2.09</v>
      </c>
      <c r="BD368">
        <v>1.82</v>
      </c>
      <c r="BE368">
        <v>2.13</v>
      </c>
      <c r="BF368">
        <v>1.77</v>
      </c>
      <c r="BG368">
        <v>2.06</v>
      </c>
      <c r="BH368">
        <v>1.82</v>
      </c>
      <c r="BI368">
        <v>2.1800000000000002</v>
      </c>
      <c r="BJ368">
        <v>-0.5</v>
      </c>
      <c r="BK368">
        <v>2.0099999999999998</v>
      </c>
      <c r="BL368">
        <v>1.89</v>
      </c>
      <c r="BM368">
        <v>2.0299999999999998</v>
      </c>
      <c r="BN368">
        <v>1.88</v>
      </c>
      <c r="BO368">
        <v>2.0499999999999998</v>
      </c>
      <c r="BP368">
        <v>1.91</v>
      </c>
      <c r="BQ368">
        <v>2</v>
      </c>
      <c r="BR368">
        <v>1.84</v>
      </c>
      <c r="BS368">
        <v>2.04</v>
      </c>
      <c r="BT368">
        <v>1.94</v>
      </c>
      <c r="BU368">
        <v>1.91</v>
      </c>
      <c r="BV368">
        <v>3.7</v>
      </c>
      <c r="BW368">
        <v>3.8</v>
      </c>
      <c r="CA368">
        <v>1.87</v>
      </c>
      <c r="CB368">
        <v>3.75</v>
      </c>
      <c r="CC368">
        <v>4.0999999999999996</v>
      </c>
      <c r="CD368">
        <v>1.94</v>
      </c>
      <c r="CE368">
        <v>3.79</v>
      </c>
      <c r="CF368">
        <v>3.98</v>
      </c>
      <c r="CJ368">
        <v>1.91</v>
      </c>
      <c r="CK368">
        <v>3.79</v>
      </c>
      <c r="CL368">
        <v>4.0999999999999996</v>
      </c>
      <c r="CM368">
        <v>1.94</v>
      </c>
      <c r="CN368">
        <v>3.85</v>
      </c>
      <c r="CO368">
        <v>4.28</v>
      </c>
      <c r="CP368">
        <v>1.9</v>
      </c>
      <c r="CQ368">
        <v>3.76</v>
      </c>
      <c r="CR368">
        <v>3.99</v>
      </c>
      <c r="CS368">
        <v>1.94</v>
      </c>
      <c r="CT368">
        <v>3.9</v>
      </c>
      <c r="CU368">
        <v>4.3</v>
      </c>
      <c r="CV368">
        <v>1.73</v>
      </c>
      <c r="CW368">
        <v>2.1</v>
      </c>
      <c r="CX368">
        <v>1.74</v>
      </c>
      <c r="CY368">
        <v>2.1800000000000002</v>
      </c>
      <c r="CZ368">
        <v>1.76</v>
      </c>
      <c r="DA368">
        <v>2.23</v>
      </c>
      <c r="DB368">
        <v>1.73</v>
      </c>
      <c r="DC368">
        <v>2.14</v>
      </c>
      <c r="DD368">
        <v>1.8</v>
      </c>
      <c r="DE368">
        <v>2.2200000000000002</v>
      </c>
      <c r="DF368">
        <v>-0.5</v>
      </c>
      <c r="DG368">
        <v>1.95</v>
      </c>
      <c r="DH368">
        <v>1.95</v>
      </c>
      <c r="DI368">
        <v>1.95</v>
      </c>
      <c r="DJ368">
        <v>1.97</v>
      </c>
      <c r="DK368">
        <v>1.95</v>
      </c>
      <c r="DL368">
        <v>2.04</v>
      </c>
      <c r="DM368">
        <v>1.9</v>
      </c>
      <c r="DN368">
        <v>1.95</v>
      </c>
      <c r="DO368">
        <v>1.94</v>
      </c>
      <c r="DP368">
        <v>2.0499999999999998</v>
      </c>
    </row>
    <row r="369" spans="1:120" x14ac:dyDescent="0.3">
      <c r="A369" t="s">
        <v>120</v>
      </c>
      <c r="B369" t="s">
        <v>236</v>
      </c>
      <c r="C369" s="1">
        <v>0.83333333333333337</v>
      </c>
      <c r="D369" t="s">
        <v>136</v>
      </c>
      <c r="E369" t="s">
        <v>129</v>
      </c>
      <c r="F369">
        <v>3</v>
      </c>
      <c r="G369">
        <v>2</v>
      </c>
      <c r="H369" t="s">
        <v>124</v>
      </c>
      <c r="I369">
        <v>1</v>
      </c>
      <c r="J369">
        <v>2</v>
      </c>
      <c r="K369" t="s">
        <v>130</v>
      </c>
      <c r="L369" t="s">
        <v>173</v>
      </c>
      <c r="M369">
        <v>25</v>
      </c>
      <c r="N369">
        <v>18</v>
      </c>
      <c r="O369">
        <v>12</v>
      </c>
      <c r="P369">
        <v>5</v>
      </c>
      <c r="Q369">
        <v>9</v>
      </c>
      <c r="R369">
        <v>8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0</v>
      </c>
      <c r="Y369">
        <v>2.6</v>
      </c>
      <c r="Z369">
        <v>3.75</v>
      </c>
      <c r="AA369">
        <v>2.4500000000000002</v>
      </c>
      <c r="AE369">
        <v>2.6</v>
      </c>
      <c r="AF369">
        <v>3.7</v>
      </c>
      <c r="AG369">
        <v>2.4500000000000002</v>
      </c>
      <c r="AH369">
        <v>2.69</v>
      </c>
      <c r="AI369">
        <v>3.83</v>
      </c>
      <c r="AJ369">
        <v>2.4900000000000002</v>
      </c>
      <c r="AN369">
        <v>2.68</v>
      </c>
      <c r="AO369">
        <v>4.04</v>
      </c>
      <c r="AP369">
        <v>2.4700000000000002</v>
      </c>
      <c r="AQ369">
        <v>2.69</v>
      </c>
      <c r="AR369">
        <v>4.04</v>
      </c>
      <c r="AS369">
        <v>2.5</v>
      </c>
      <c r="AT369">
        <v>2.63</v>
      </c>
      <c r="AU369">
        <v>3.82</v>
      </c>
      <c r="AV369">
        <v>2.46</v>
      </c>
      <c r="AW369">
        <v>2.74</v>
      </c>
      <c r="AX369">
        <v>3.95</v>
      </c>
      <c r="AY369">
        <v>2.52</v>
      </c>
      <c r="AZ369">
        <v>1.44</v>
      </c>
      <c r="BA369">
        <v>2.75</v>
      </c>
      <c r="BB369">
        <v>1.48</v>
      </c>
      <c r="BC369">
        <v>2.74</v>
      </c>
      <c r="BD369">
        <v>1.48</v>
      </c>
      <c r="BE369">
        <v>2.75</v>
      </c>
      <c r="BF369">
        <v>1.45</v>
      </c>
      <c r="BG369">
        <v>2.7</v>
      </c>
      <c r="BH369">
        <v>1.44</v>
      </c>
      <c r="BI369">
        <v>2.6</v>
      </c>
      <c r="BJ369">
        <v>0</v>
      </c>
      <c r="BK369">
        <v>2</v>
      </c>
      <c r="BL369">
        <v>1.9</v>
      </c>
      <c r="BM369">
        <v>2.0299999999999998</v>
      </c>
      <c r="BN369">
        <v>1.88</v>
      </c>
      <c r="BO369">
        <v>2.0299999999999998</v>
      </c>
      <c r="BP369">
        <v>1.9</v>
      </c>
      <c r="BQ369">
        <v>1.99</v>
      </c>
      <c r="BR369">
        <v>1.87</v>
      </c>
      <c r="BS369">
        <v>2.0499999999999998</v>
      </c>
      <c r="BT369">
        <v>1.89</v>
      </c>
      <c r="BU369">
        <v>2.15</v>
      </c>
      <c r="BV369">
        <v>3.8</v>
      </c>
      <c r="BW369">
        <v>3</v>
      </c>
      <c r="CA369">
        <v>2.25</v>
      </c>
      <c r="CB369">
        <v>3.9</v>
      </c>
      <c r="CC369">
        <v>2.9</v>
      </c>
      <c r="CD369">
        <v>2.2000000000000002</v>
      </c>
      <c r="CE369">
        <v>3.99</v>
      </c>
      <c r="CF369">
        <v>3.09</v>
      </c>
      <c r="CJ369">
        <v>2.31</v>
      </c>
      <c r="CK369">
        <v>3.91</v>
      </c>
      <c r="CL369">
        <v>2.91</v>
      </c>
      <c r="CM369">
        <v>2.31</v>
      </c>
      <c r="CN369">
        <v>4.12</v>
      </c>
      <c r="CO369">
        <v>3.09</v>
      </c>
      <c r="CP369">
        <v>2.2200000000000002</v>
      </c>
      <c r="CQ369">
        <v>3.89</v>
      </c>
      <c r="CR369">
        <v>2.97</v>
      </c>
      <c r="CS369">
        <v>2.3199999999999998</v>
      </c>
      <c r="CT369">
        <v>4</v>
      </c>
      <c r="CU369">
        <v>3.1</v>
      </c>
      <c r="CV369">
        <v>1.44</v>
      </c>
      <c r="CW369">
        <v>2.75</v>
      </c>
      <c r="CX369">
        <v>1.47</v>
      </c>
      <c r="CY369">
        <v>2.8</v>
      </c>
      <c r="CZ369">
        <v>1.5</v>
      </c>
      <c r="DA369">
        <v>2.9</v>
      </c>
      <c r="DB369">
        <v>1.46</v>
      </c>
      <c r="DC369">
        <v>2.74</v>
      </c>
      <c r="DD369">
        <v>1.52</v>
      </c>
      <c r="DE369">
        <v>2.88</v>
      </c>
      <c r="DF369">
        <v>-0.25</v>
      </c>
      <c r="DG369">
        <v>1.93</v>
      </c>
      <c r="DH369">
        <v>1.97</v>
      </c>
      <c r="DI369">
        <v>1.94</v>
      </c>
      <c r="DJ369">
        <v>1.98</v>
      </c>
      <c r="DK369">
        <v>2.0099999999999998</v>
      </c>
      <c r="DL369">
        <v>1.98</v>
      </c>
      <c r="DM369">
        <v>1.94</v>
      </c>
      <c r="DN369">
        <v>1.92</v>
      </c>
      <c r="DO369">
        <v>2.0299999999999998</v>
      </c>
      <c r="DP369">
        <v>1.96</v>
      </c>
    </row>
    <row r="370" spans="1:120" x14ac:dyDescent="0.3">
      <c r="A370" t="s">
        <v>120</v>
      </c>
      <c r="B370" t="s">
        <v>237</v>
      </c>
      <c r="C370" s="1">
        <v>0.83333333333333337</v>
      </c>
      <c r="D370" t="s">
        <v>149</v>
      </c>
      <c r="E370" t="s">
        <v>133</v>
      </c>
      <c r="F370">
        <v>4</v>
      </c>
      <c r="G370">
        <v>2</v>
      </c>
      <c r="H370" t="s">
        <v>124</v>
      </c>
      <c r="I370">
        <v>2</v>
      </c>
      <c r="J370">
        <v>1</v>
      </c>
      <c r="K370" t="s">
        <v>124</v>
      </c>
      <c r="L370" t="s">
        <v>233</v>
      </c>
      <c r="M370">
        <v>14</v>
      </c>
      <c r="N370">
        <v>12</v>
      </c>
      <c r="O370">
        <v>10</v>
      </c>
      <c r="P370">
        <v>3</v>
      </c>
      <c r="Q370">
        <v>14</v>
      </c>
      <c r="R370">
        <v>8</v>
      </c>
      <c r="S370">
        <v>0</v>
      </c>
      <c r="T370">
        <v>10</v>
      </c>
      <c r="U370">
        <v>1</v>
      </c>
      <c r="V370">
        <v>2</v>
      </c>
      <c r="W370">
        <v>0</v>
      </c>
      <c r="X370">
        <v>0</v>
      </c>
      <c r="Y370">
        <v>2.25</v>
      </c>
      <c r="Z370">
        <v>3.3</v>
      </c>
      <c r="AA370">
        <v>3.2</v>
      </c>
      <c r="AE370">
        <v>2.25</v>
      </c>
      <c r="AF370">
        <v>3.25</v>
      </c>
      <c r="AG370">
        <v>3.2</v>
      </c>
      <c r="AH370">
        <v>2.29</v>
      </c>
      <c r="AI370">
        <v>3.37</v>
      </c>
      <c r="AJ370">
        <v>3.34</v>
      </c>
      <c r="AN370">
        <v>2.31</v>
      </c>
      <c r="AO370">
        <v>3.38</v>
      </c>
      <c r="AP370">
        <v>3.36</v>
      </c>
      <c r="AQ370">
        <v>2.31</v>
      </c>
      <c r="AR370">
        <v>3.4</v>
      </c>
      <c r="AS370">
        <v>3.36</v>
      </c>
      <c r="AT370">
        <v>2.27</v>
      </c>
      <c r="AU370">
        <v>3.32</v>
      </c>
      <c r="AV370">
        <v>3.26</v>
      </c>
      <c r="AW370">
        <v>2.4</v>
      </c>
      <c r="AX370">
        <v>3.4</v>
      </c>
      <c r="AY370">
        <v>3.35</v>
      </c>
      <c r="AZ370">
        <v>2.02</v>
      </c>
      <c r="BA370">
        <v>1.88</v>
      </c>
      <c r="BB370">
        <v>2.0099999999999998</v>
      </c>
      <c r="BC370">
        <v>1.88</v>
      </c>
      <c r="BD370">
        <v>2.0499999999999998</v>
      </c>
      <c r="BE370">
        <v>1.89</v>
      </c>
      <c r="BF370">
        <v>1.99</v>
      </c>
      <c r="BG370">
        <v>1.83</v>
      </c>
      <c r="BH370">
        <v>1.07</v>
      </c>
      <c r="BI370">
        <v>1.1599999999999999</v>
      </c>
      <c r="BJ370">
        <v>-0.25</v>
      </c>
      <c r="BK370">
        <v>1.98</v>
      </c>
      <c r="BL370">
        <v>1.92</v>
      </c>
      <c r="BM370">
        <v>1.97</v>
      </c>
      <c r="BN370">
        <v>1.93</v>
      </c>
      <c r="BO370">
        <v>2</v>
      </c>
      <c r="BP370">
        <v>1.93</v>
      </c>
      <c r="BQ370">
        <v>1.93</v>
      </c>
      <c r="BR370">
        <v>1.9</v>
      </c>
      <c r="BS370">
        <v>2.04</v>
      </c>
      <c r="BT370">
        <v>1.92</v>
      </c>
      <c r="BU370">
        <v>2.35</v>
      </c>
      <c r="BV370">
        <v>3.3</v>
      </c>
      <c r="BW370">
        <v>3.1</v>
      </c>
      <c r="CA370">
        <v>2.2999999999999998</v>
      </c>
      <c r="CB370">
        <v>3.3</v>
      </c>
      <c r="CC370">
        <v>3</v>
      </c>
      <c r="CD370">
        <v>2.41</v>
      </c>
      <c r="CE370">
        <v>3.26</v>
      </c>
      <c r="CF370">
        <v>3.23</v>
      </c>
      <c r="CJ370">
        <v>2.31</v>
      </c>
      <c r="CK370">
        <v>3.37</v>
      </c>
      <c r="CL370">
        <v>3.33</v>
      </c>
      <c r="CM370">
        <v>2.44</v>
      </c>
      <c r="CN370">
        <v>3.5</v>
      </c>
      <c r="CO370">
        <v>3.33</v>
      </c>
      <c r="CP370">
        <v>2.37</v>
      </c>
      <c r="CQ370">
        <v>3.31</v>
      </c>
      <c r="CR370">
        <v>3.12</v>
      </c>
      <c r="CS370">
        <v>2.5</v>
      </c>
      <c r="CT370">
        <v>3.45</v>
      </c>
      <c r="CU370">
        <v>3.2</v>
      </c>
      <c r="CV370">
        <v>2.02</v>
      </c>
      <c r="CW370">
        <v>1.88</v>
      </c>
      <c r="CX370">
        <v>2</v>
      </c>
      <c r="CY370">
        <v>1.85</v>
      </c>
      <c r="CZ370">
        <v>2.02</v>
      </c>
      <c r="DA370">
        <v>1.98</v>
      </c>
      <c r="DB370">
        <v>1.93</v>
      </c>
      <c r="DC370">
        <v>1.9</v>
      </c>
      <c r="DD370">
        <v>1.97</v>
      </c>
      <c r="DE370">
        <v>2.02</v>
      </c>
      <c r="DF370">
        <v>-0.25</v>
      </c>
      <c r="DG370">
        <v>2.0499999999999998</v>
      </c>
      <c r="DH370">
        <v>1.85</v>
      </c>
      <c r="DI370">
        <v>2.0699999999999998</v>
      </c>
      <c r="DJ370">
        <v>1.86</v>
      </c>
      <c r="DK370">
        <v>2.11</v>
      </c>
      <c r="DL370">
        <v>1.9</v>
      </c>
      <c r="DM370">
        <v>2.0299999999999998</v>
      </c>
      <c r="DN370">
        <v>1.84</v>
      </c>
      <c r="DO370">
        <v>2.11</v>
      </c>
      <c r="DP370">
        <v>1.89</v>
      </c>
    </row>
    <row r="371" spans="1:120" x14ac:dyDescent="0.3">
      <c r="A371" t="s">
        <v>120</v>
      </c>
      <c r="B371" t="s">
        <v>237</v>
      </c>
      <c r="C371" s="1">
        <v>0.83333333333333337</v>
      </c>
      <c r="D371" t="s">
        <v>152</v>
      </c>
      <c r="E371" t="s">
        <v>142</v>
      </c>
      <c r="F371">
        <v>3</v>
      </c>
      <c r="G371">
        <v>1</v>
      </c>
      <c r="H371" t="s">
        <v>124</v>
      </c>
      <c r="I371">
        <v>2</v>
      </c>
      <c r="J371">
        <v>0</v>
      </c>
      <c r="K371" t="s">
        <v>124</v>
      </c>
      <c r="L371" t="s">
        <v>185</v>
      </c>
      <c r="M371">
        <v>12</v>
      </c>
      <c r="N371">
        <v>8</v>
      </c>
      <c r="O371">
        <v>5</v>
      </c>
      <c r="P371">
        <v>2</v>
      </c>
      <c r="Q371">
        <v>7</v>
      </c>
      <c r="R371">
        <v>13</v>
      </c>
      <c r="S371">
        <v>3</v>
      </c>
      <c r="T371">
        <v>1</v>
      </c>
      <c r="U371">
        <v>1</v>
      </c>
      <c r="V371">
        <v>3</v>
      </c>
      <c r="W371">
        <v>1</v>
      </c>
      <c r="X371">
        <v>1</v>
      </c>
      <c r="Y371">
        <v>1.55</v>
      </c>
      <c r="Z371">
        <v>4.33</v>
      </c>
      <c r="AA371">
        <v>5.75</v>
      </c>
      <c r="AE371">
        <v>1.5</v>
      </c>
      <c r="AF371">
        <v>4.33</v>
      </c>
      <c r="AG371">
        <v>5.5</v>
      </c>
      <c r="AH371">
        <v>1.57</v>
      </c>
      <c r="AI371">
        <v>4.5199999999999996</v>
      </c>
      <c r="AJ371">
        <v>5.6</v>
      </c>
      <c r="AN371">
        <v>1.58</v>
      </c>
      <c r="AO371">
        <v>4.68</v>
      </c>
      <c r="AP371">
        <v>5.6</v>
      </c>
      <c r="AQ371">
        <v>1.58</v>
      </c>
      <c r="AR371">
        <v>4.8</v>
      </c>
      <c r="AS371">
        <v>5.8</v>
      </c>
      <c r="AT371">
        <v>1.55</v>
      </c>
      <c r="AU371">
        <v>4.51</v>
      </c>
      <c r="AV371">
        <v>5.49</v>
      </c>
      <c r="AW371">
        <v>1.57</v>
      </c>
      <c r="AX371">
        <v>4.7</v>
      </c>
      <c r="AY371">
        <v>6.2</v>
      </c>
      <c r="AZ371">
        <v>1.53</v>
      </c>
      <c r="BA371">
        <v>2.5</v>
      </c>
      <c r="BB371">
        <v>1.55</v>
      </c>
      <c r="BC371">
        <v>2.57</v>
      </c>
      <c r="BD371">
        <v>1.55</v>
      </c>
      <c r="BE371">
        <v>2.6</v>
      </c>
      <c r="BF371">
        <v>1.51</v>
      </c>
      <c r="BG371">
        <v>2.52</v>
      </c>
      <c r="BH371">
        <v>1.04</v>
      </c>
      <c r="BI371">
        <v>2.66</v>
      </c>
      <c r="BJ371">
        <v>-1</v>
      </c>
      <c r="BK371">
        <v>1.91</v>
      </c>
      <c r="BL371">
        <v>1.99</v>
      </c>
      <c r="BM371">
        <v>1.94</v>
      </c>
      <c r="BN371">
        <v>1.96</v>
      </c>
      <c r="BO371">
        <v>1.94</v>
      </c>
      <c r="BP371">
        <v>2</v>
      </c>
      <c r="BQ371">
        <v>1.89</v>
      </c>
      <c r="BR371">
        <v>1.94</v>
      </c>
      <c r="BS371">
        <v>1.59</v>
      </c>
      <c r="BT371">
        <v>1.95</v>
      </c>
      <c r="BU371">
        <v>1.33</v>
      </c>
      <c r="BV371">
        <v>5.5</v>
      </c>
      <c r="BW371">
        <v>8</v>
      </c>
      <c r="CA371">
        <v>1.33</v>
      </c>
      <c r="CB371">
        <v>5.5</v>
      </c>
      <c r="CC371">
        <v>8</v>
      </c>
      <c r="CD371">
        <v>1.34</v>
      </c>
      <c r="CE371">
        <v>5.8</v>
      </c>
      <c r="CF371">
        <v>8.9</v>
      </c>
      <c r="CJ371">
        <v>1.36</v>
      </c>
      <c r="CK371">
        <v>5.64</v>
      </c>
      <c r="CL371">
        <v>8.64</v>
      </c>
      <c r="CM371">
        <v>1.38</v>
      </c>
      <c r="CN371">
        <v>5.8</v>
      </c>
      <c r="CO371">
        <v>9.1999999999999993</v>
      </c>
      <c r="CP371">
        <v>1.34</v>
      </c>
      <c r="CQ371">
        <v>5.59</v>
      </c>
      <c r="CR371">
        <v>8.5299999999999994</v>
      </c>
      <c r="CS371">
        <v>1.37</v>
      </c>
      <c r="CT371">
        <v>5.9</v>
      </c>
      <c r="CU371">
        <v>9.4</v>
      </c>
      <c r="CV371">
        <v>1.5</v>
      </c>
      <c r="CW371">
        <v>2.63</v>
      </c>
      <c r="CX371">
        <v>1.51</v>
      </c>
      <c r="CY371">
        <v>2.66</v>
      </c>
      <c r="CZ371">
        <v>1.51</v>
      </c>
      <c r="DA371">
        <v>2.8</v>
      </c>
      <c r="DB371">
        <v>1.49</v>
      </c>
      <c r="DC371">
        <v>2.66</v>
      </c>
      <c r="DD371">
        <v>1.53</v>
      </c>
      <c r="DE371">
        <v>2.88</v>
      </c>
      <c r="DF371">
        <v>-1.5</v>
      </c>
      <c r="DG371">
        <v>1.95</v>
      </c>
      <c r="DH371">
        <v>1.95</v>
      </c>
      <c r="DI371">
        <v>1.96</v>
      </c>
      <c r="DJ371">
        <v>1.96</v>
      </c>
      <c r="DK371">
        <v>1.96</v>
      </c>
      <c r="DL371">
        <v>2</v>
      </c>
      <c r="DM371">
        <v>1.92</v>
      </c>
      <c r="DN371">
        <v>1.93</v>
      </c>
      <c r="DO371">
        <v>2</v>
      </c>
      <c r="DP371">
        <v>1.99</v>
      </c>
    </row>
    <row r="372" spans="1:120" x14ac:dyDescent="0.3">
      <c r="A372" t="s">
        <v>120</v>
      </c>
      <c r="B372" t="s">
        <v>238</v>
      </c>
      <c r="C372" s="1">
        <v>0.66666666666666663</v>
      </c>
      <c r="D372" t="s">
        <v>142</v>
      </c>
      <c r="E372" t="s">
        <v>155</v>
      </c>
      <c r="F372">
        <v>2</v>
      </c>
      <c r="G372">
        <v>0</v>
      </c>
      <c r="H372" t="s">
        <v>124</v>
      </c>
      <c r="I372">
        <v>0</v>
      </c>
      <c r="J372">
        <v>0</v>
      </c>
      <c r="K372" t="s">
        <v>125</v>
      </c>
      <c r="L372" t="s">
        <v>167</v>
      </c>
      <c r="M372">
        <v>20</v>
      </c>
      <c r="N372">
        <v>3</v>
      </c>
      <c r="O372">
        <v>7</v>
      </c>
      <c r="P372">
        <v>0</v>
      </c>
      <c r="Q372">
        <v>19</v>
      </c>
      <c r="R372">
        <v>16</v>
      </c>
      <c r="S372">
        <v>6</v>
      </c>
      <c r="T372">
        <v>1</v>
      </c>
      <c r="U372">
        <v>0</v>
      </c>
      <c r="V372">
        <v>2</v>
      </c>
      <c r="W372">
        <v>0</v>
      </c>
      <c r="X372">
        <v>0</v>
      </c>
      <c r="Y372">
        <v>1.33</v>
      </c>
      <c r="Z372">
        <v>5.25</v>
      </c>
      <c r="AA372">
        <v>8.5</v>
      </c>
      <c r="AE372">
        <v>1.33</v>
      </c>
      <c r="AF372">
        <v>5.5</v>
      </c>
      <c r="AG372">
        <v>9</v>
      </c>
      <c r="AH372">
        <v>1.34</v>
      </c>
      <c r="AI372">
        <v>5.82</v>
      </c>
      <c r="AJ372">
        <v>8.3699999999999992</v>
      </c>
      <c r="AN372">
        <v>1.38</v>
      </c>
      <c r="AO372">
        <v>5.76</v>
      </c>
      <c r="AP372">
        <v>7.95</v>
      </c>
      <c r="AQ372">
        <v>1.38</v>
      </c>
      <c r="AR372">
        <v>6</v>
      </c>
      <c r="AS372">
        <v>9</v>
      </c>
      <c r="AT372">
        <v>1.33</v>
      </c>
      <c r="AU372">
        <v>5.61</v>
      </c>
      <c r="AV372">
        <v>8.35</v>
      </c>
      <c r="AW372">
        <v>1.37</v>
      </c>
      <c r="AX372">
        <v>5.8</v>
      </c>
      <c r="AY372">
        <v>9.6</v>
      </c>
      <c r="AZ372">
        <v>1.5</v>
      </c>
      <c r="BA372">
        <v>2.63</v>
      </c>
      <c r="BB372">
        <v>1.47</v>
      </c>
      <c r="BC372">
        <v>2.74</v>
      </c>
      <c r="BD372">
        <v>1.5</v>
      </c>
      <c r="BE372">
        <v>2.8</v>
      </c>
      <c r="BF372">
        <v>1.46</v>
      </c>
      <c r="BG372">
        <v>2.67</v>
      </c>
      <c r="BH372">
        <v>1.53</v>
      </c>
      <c r="BI372">
        <v>2.76</v>
      </c>
      <c r="BJ372">
        <v>-1.5</v>
      </c>
      <c r="BK372">
        <v>1.9</v>
      </c>
      <c r="BL372">
        <v>1.95</v>
      </c>
      <c r="BM372">
        <v>1.93</v>
      </c>
      <c r="BN372">
        <v>1.97</v>
      </c>
      <c r="BO372">
        <v>1.95</v>
      </c>
      <c r="BP372">
        <v>1.97</v>
      </c>
      <c r="BQ372">
        <v>1.9</v>
      </c>
      <c r="BR372">
        <v>1.93</v>
      </c>
      <c r="BS372">
        <v>1.37</v>
      </c>
      <c r="BT372">
        <v>1.76</v>
      </c>
      <c r="BU372">
        <v>1.33</v>
      </c>
      <c r="BV372">
        <v>5.5</v>
      </c>
      <c r="BW372">
        <v>8</v>
      </c>
      <c r="CA372">
        <v>1.33</v>
      </c>
      <c r="CB372">
        <v>5.5</v>
      </c>
      <c r="CC372">
        <v>9</v>
      </c>
      <c r="CD372">
        <v>1.34</v>
      </c>
      <c r="CE372">
        <v>5.67</v>
      </c>
      <c r="CF372">
        <v>9.01</v>
      </c>
      <c r="CJ372">
        <v>1.38</v>
      </c>
      <c r="CK372">
        <v>5.64</v>
      </c>
      <c r="CL372">
        <v>7.82</v>
      </c>
      <c r="CM372">
        <v>1.38</v>
      </c>
      <c r="CN372">
        <v>5.75</v>
      </c>
      <c r="CO372">
        <v>9.1</v>
      </c>
      <c r="CP372">
        <v>1.34</v>
      </c>
      <c r="CQ372">
        <v>5.6</v>
      </c>
      <c r="CR372">
        <v>8.5299999999999994</v>
      </c>
      <c r="CS372">
        <v>1.38</v>
      </c>
      <c r="CT372">
        <v>5.8</v>
      </c>
      <c r="CU372">
        <v>9.1999999999999993</v>
      </c>
      <c r="CV372">
        <v>1.5</v>
      </c>
      <c r="CW372">
        <v>2.63</v>
      </c>
      <c r="CX372">
        <v>1.5</v>
      </c>
      <c r="CY372">
        <v>2.67</v>
      </c>
      <c r="CZ372">
        <v>1.5</v>
      </c>
      <c r="DA372">
        <v>3</v>
      </c>
      <c r="DB372">
        <v>1.47</v>
      </c>
      <c r="DC372">
        <v>2.72</v>
      </c>
      <c r="DD372">
        <v>1.52</v>
      </c>
      <c r="DE372">
        <v>2.86</v>
      </c>
      <c r="DF372">
        <v>-1.5</v>
      </c>
      <c r="DG372">
        <v>1.93</v>
      </c>
      <c r="DH372">
        <v>1.93</v>
      </c>
      <c r="DI372">
        <v>1.96</v>
      </c>
      <c r="DJ372">
        <v>1.96</v>
      </c>
      <c r="DK372">
        <v>2</v>
      </c>
      <c r="DL372">
        <v>1.96</v>
      </c>
      <c r="DM372">
        <v>1.93</v>
      </c>
      <c r="DN372">
        <v>1.92</v>
      </c>
      <c r="DO372">
        <v>1.99</v>
      </c>
      <c r="DP372">
        <v>1.98</v>
      </c>
    </row>
    <row r="373" spans="1:120" x14ac:dyDescent="0.3">
      <c r="A373" t="s">
        <v>120</v>
      </c>
      <c r="B373" t="s">
        <v>238</v>
      </c>
      <c r="C373" s="1">
        <v>0.66666666666666663</v>
      </c>
      <c r="D373" t="s">
        <v>123</v>
      </c>
      <c r="E373" t="s">
        <v>152</v>
      </c>
      <c r="F373">
        <v>0</v>
      </c>
      <c r="G373">
        <v>2</v>
      </c>
      <c r="H373" t="s">
        <v>130</v>
      </c>
      <c r="I373">
        <v>0</v>
      </c>
      <c r="J373">
        <v>1</v>
      </c>
      <c r="K373" t="s">
        <v>130</v>
      </c>
      <c r="L373" t="s">
        <v>176</v>
      </c>
      <c r="M373">
        <v>13</v>
      </c>
      <c r="N373">
        <v>20</v>
      </c>
      <c r="O373">
        <v>3</v>
      </c>
      <c r="P373">
        <v>5</v>
      </c>
      <c r="Q373">
        <v>11</v>
      </c>
      <c r="R373">
        <v>5</v>
      </c>
      <c r="S373">
        <v>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5</v>
      </c>
      <c r="Z373">
        <v>4.2</v>
      </c>
      <c r="AA373">
        <v>1.6</v>
      </c>
      <c r="AE373">
        <v>5</v>
      </c>
      <c r="AF373">
        <v>4.2</v>
      </c>
      <c r="AG373">
        <v>1.6</v>
      </c>
      <c r="AH373">
        <v>5.54</v>
      </c>
      <c r="AI373">
        <v>4.1900000000000004</v>
      </c>
      <c r="AJ373">
        <v>1.62</v>
      </c>
      <c r="AN373">
        <v>5.14</v>
      </c>
      <c r="AO373">
        <v>4.59</v>
      </c>
      <c r="AP373">
        <v>1.63</v>
      </c>
      <c r="AQ373">
        <v>5.54</v>
      </c>
      <c r="AR373">
        <v>4.59</v>
      </c>
      <c r="AS373">
        <v>1.65</v>
      </c>
      <c r="AT373">
        <v>5.15</v>
      </c>
      <c r="AU373">
        <v>4.28</v>
      </c>
      <c r="AV373">
        <v>1.61</v>
      </c>
      <c r="AW373">
        <v>5.6</v>
      </c>
      <c r="AX373">
        <v>4.5999999999999996</v>
      </c>
      <c r="AY373">
        <v>1.64</v>
      </c>
      <c r="AZ373">
        <v>1.53</v>
      </c>
      <c r="BA373">
        <v>2.5</v>
      </c>
      <c r="BB373">
        <v>1.55</v>
      </c>
      <c r="BC373">
        <v>2.5499999999999998</v>
      </c>
      <c r="BD373">
        <v>1.56</v>
      </c>
      <c r="BE373">
        <v>2.63</v>
      </c>
      <c r="BF373">
        <v>1.51</v>
      </c>
      <c r="BG373">
        <v>2.52</v>
      </c>
      <c r="BH373">
        <v>1.56</v>
      </c>
      <c r="BI373">
        <v>2.66</v>
      </c>
      <c r="BJ373">
        <v>1</v>
      </c>
      <c r="BK373">
        <v>1.85</v>
      </c>
      <c r="BL373">
        <v>2</v>
      </c>
      <c r="BM373">
        <v>1.88</v>
      </c>
      <c r="BN373">
        <v>2.0299999999999998</v>
      </c>
      <c r="BO373">
        <v>1.9</v>
      </c>
      <c r="BP373">
        <v>2.04</v>
      </c>
      <c r="BQ373">
        <v>1.85</v>
      </c>
      <c r="BR373">
        <v>1.99</v>
      </c>
      <c r="BS373">
        <v>1.77</v>
      </c>
      <c r="BT373">
        <v>1.64</v>
      </c>
      <c r="BU373">
        <v>5.75</v>
      </c>
      <c r="BV373">
        <v>4.5</v>
      </c>
      <c r="BW373">
        <v>1.5</v>
      </c>
      <c r="CA373">
        <v>6</v>
      </c>
      <c r="CB373">
        <v>4.2</v>
      </c>
      <c r="CC373">
        <v>1.53</v>
      </c>
      <c r="CD373">
        <v>6.32</v>
      </c>
      <c r="CE373">
        <v>4.57</v>
      </c>
      <c r="CF373">
        <v>1.52</v>
      </c>
      <c r="CJ373">
        <v>6.24</v>
      </c>
      <c r="CK373">
        <v>4.6399999999999997</v>
      </c>
      <c r="CL373">
        <v>1.53</v>
      </c>
      <c r="CM373">
        <v>6.32</v>
      </c>
      <c r="CN373">
        <v>4.7</v>
      </c>
      <c r="CO373">
        <v>1.56</v>
      </c>
      <c r="CP373">
        <v>6.06</v>
      </c>
      <c r="CQ373">
        <v>4.53</v>
      </c>
      <c r="CR373">
        <v>1.52</v>
      </c>
      <c r="CS373">
        <v>6.6</v>
      </c>
      <c r="CT373">
        <v>4.8</v>
      </c>
      <c r="CU373">
        <v>1.56</v>
      </c>
      <c r="CV373">
        <v>1.57</v>
      </c>
      <c r="CW373">
        <v>2.38</v>
      </c>
      <c r="CX373">
        <v>1.59</v>
      </c>
      <c r="CY373">
        <v>2.4700000000000002</v>
      </c>
      <c r="CZ373">
        <v>1.61</v>
      </c>
      <c r="DA373">
        <v>2.6</v>
      </c>
      <c r="DB373">
        <v>1.56</v>
      </c>
      <c r="DC373">
        <v>2.44</v>
      </c>
      <c r="DD373">
        <v>1.61</v>
      </c>
      <c r="DE373">
        <v>2.6</v>
      </c>
      <c r="DF373">
        <v>1</v>
      </c>
      <c r="DG373">
        <v>2.0499999999999998</v>
      </c>
      <c r="DH373">
        <v>1.8</v>
      </c>
      <c r="DI373">
        <v>2.1</v>
      </c>
      <c r="DJ373">
        <v>1.84</v>
      </c>
      <c r="DK373">
        <v>2.14</v>
      </c>
      <c r="DL373">
        <v>1.85</v>
      </c>
      <c r="DM373">
        <v>2.0499999999999998</v>
      </c>
      <c r="DN373">
        <v>1.82</v>
      </c>
      <c r="DO373">
        <v>2.1</v>
      </c>
      <c r="DP373">
        <v>1.89</v>
      </c>
    </row>
    <row r="374" spans="1:120" x14ac:dyDescent="0.3">
      <c r="A374" t="s">
        <v>120</v>
      </c>
      <c r="B374" t="s">
        <v>238</v>
      </c>
      <c r="C374" s="1">
        <v>0.66666666666666663</v>
      </c>
      <c r="D374" t="s">
        <v>128</v>
      </c>
      <c r="E374" t="s">
        <v>144</v>
      </c>
      <c r="F374">
        <v>1</v>
      </c>
      <c r="G374">
        <v>3</v>
      </c>
      <c r="H374" t="s">
        <v>130</v>
      </c>
      <c r="I374">
        <v>0</v>
      </c>
      <c r="J374">
        <v>1</v>
      </c>
      <c r="K374" t="s">
        <v>130</v>
      </c>
      <c r="L374" t="s">
        <v>131</v>
      </c>
      <c r="M374">
        <v>14</v>
      </c>
      <c r="N374">
        <v>10</v>
      </c>
      <c r="O374">
        <v>4</v>
      </c>
      <c r="P374">
        <v>6</v>
      </c>
      <c r="Q374">
        <v>10</v>
      </c>
      <c r="R374">
        <v>9</v>
      </c>
      <c r="S374">
        <v>4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>
        <v>3.8</v>
      </c>
      <c r="AA374">
        <v>2.2000000000000002</v>
      </c>
      <c r="AE374">
        <v>3.1</v>
      </c>
      <c r="AF374">
        <v>3.6</v>
      </c>
      <c r="AG374">
        <v>2.2000000000000002</v>
      </c>
      <c r="AH374">
        <v>3.02</v>
      </c>
      <c r="AI374">
        <v>3.9</v>
      </c>
      <c r="AJ374">
        <v>2.2400000000000002</v>
      </c>
      <c r="AN374">
        <v>3.05</v>
      </c>
      <c r="AO374">
        <v>4.01</v>
      </c>
      <c r="AP374">
        <v>2.23</v>
      </c>
      <c r="AQ374">
        <v>3.1</v>
      </c>
      <c r="AR374">
        <v>4.01</v>
      </c>
      <c r="AS374">
        <v>2.2799999999999998</v>
      </c>
      <c r="AT374">
        <v>2.99</v>
      </c>
      <c r="AU374">
        <v>3.85</v>
      </c>
      <c r="AV374">
        <v>2.21</v>
      </c>
      <c r="AW374">
        <v>3.15</v>
      </c>
      <c r="AX374">
        <v>3.9</v>
      </c>
      <c r="AY374">
        <v>2.2799999999999998</v>
      </c>
      <c r="AZ374">
        <v>1.5</v>
      </c>
      <c r="BA374">
        <v>2.63</v>
      </c>
      <c r="BB374">
        <v>1.51</v>
      </c>
      <c r="BC374">
        <v>2.63</v>
      </c>
      <c r="BD374">
        <v>1.52</v>
      </c>
      <c r="BE374">
        <v>2.63</v>
      </c>
      <c r="BF374">
        <v>1.5</v>
      </c>
      <c r="BG374">
        <v>2.57</v>
      </c>
      <c r="BH374">
        <v>1.56</v>
      </c>
      <c r="BI374">
        <v>2.54</v>
      </c>
      <c r="BJ374">
        <v>0.25</v>
      </c>
      <c r="BK374">
        <v>1.9</v>
      </c>
      <c r="BL374">
        <v>1.95</v>
      </c>
      <c r="BM374">
        <v>1.93</v>
      </c>
      <c r="BN374">
        <v>1.98</v>
      </c>
      <c r="BO374">
        <v>1.93</v>
      </c>
      <c r="BP374">
        <v>1.98</v>
      </c>
      <c r="BQ374">
        <v>1.9</v>
      </c>
      <c r="BR374">
        <v>1.9</v>
      </c>
      <c r="BS374">
        <v>1.97</v>
      </c>
      <c r="BT374">
        <v>1.99</v>
      </c>
      <c r="BU374">
        <v>3.2</v>
      </c>
      <c r="BV374">
        <v>3.5</v>
      </c>
      <c r="BW374">
        <v>2.2000000000000002</v>
      </c>
      <c r="CA374">
        <v>3.25</v>
      </c>
      <c r="CB374">
        <v>3.5</v>
      </c>
      <c r="CC374">
        <v>2.2000000000000002</v>
      </c>
      <c r="CD374">
        <v>3.28</v>
      </c>
      <c r="CE374">
        <v>3.63</v>
      </c>
      <c r="CF374">
        <v>2.23</v>
      </c>
      <c r="CJ374">
        <v>3.25</v>
      </c>
      <c r="CK374">
        <v>3.65</v>
      </c>
      <c r="CL374">
        <v>2.23</v>
      </c>
      <c r="CM374">
        <v>3.28</v>
      </c>
      <c r="CN374">
        <v>3.72</v>
      </c>
      <c r="CO374">
        <v>2.2599999999999998</v>
      </c>
      <c r="CP374">
        <v>3.2</v>
      </c>
      <c r="CQ374">
        <v>3.59</v>
      </c>
      <c r="CR374">
        <v>2.2200000000000002</v>
      </c>
      <c r="CS374">
        <v>3.35</v>
      </c>
      <c r="CT374">
        <v>3.75</v>
      </c>
      <c r="CU374">
        <v>2.2799999999999998</v>
      </c>
      <c r="CV374">
        <v>1.73</v>
      </c>
      <c r="CW374">
        <v>2.1</v>
      </c>
      <c r="CX374">
        <v>1.75</v>
      </c>
      <c r="CY374">
        <v>2.16</v>
      </c>
      <c r="CZ374">
        <v>1.75</v>
      </c>
      <c r="DA374">
        <v>2.38</v>
      </c>
      <c r="DB374">
        <v>1.69</v>
      </c>
      <c r="DC374">
        <v>2.1800000000000002</v>
      </c>
      <c r="DD374">
        <v>1.75</v>
      </c>
      <c r="DE374">
        <v>2.2799999999999998</v>
      </c>
      <c r="DF374">
        <v>0.25</v>
      </c>
      <c r="DG374">
        <v>1.93</v>
      </c>
      <c r="DH374">
        <v>1.93</v>
      </c>
      <c r="DI374">
        <v>1.98</v>
      </c>
      <c r="DJ374">
        <v>1.94</v>
      </c>
      <c r="DK374">
        <v>1.99</v>
      </c>
      <c r="DL374">
        <v>1.95</v>
      </c>
      <c r="DM374">
        <v>1.94</v>
      </c>
      <c r="DN374">
        <v>1.88</v>
      </c>
      <c r="DO374">
        <v>2</v>
      </c>
      <c r="DP374">
        <v>1.97</v>
      </c>
    </row>
    <row r="375" spans="1:120" x14ac:dyDescent="0.3">
      <c r="A375" t="s">
        <v>120</v>
      </c>
      <c r="B375" t="s">
        <v>238</v>
      </c>
      <c r="C375" s="1">
        <v>0.66666666666666663</v>
      </c>
      <c r="D375" t="s">
        <v>129</v>
      </c>
      <c r="E375" t="s">
        <v>149</v>
      </c>
      <c r="F375">
        <v>1</v>
      </c>
      <c r="G375">
        <v>1</v>
      </c>
      <c r="H375" t="s">
        <v>125</v>
      </c>
      <c r="I375">
        <v>0</v>
      </c>
      <c r="J375">
        <v>1</v>
      </c>
      <c r="K375" t="s">
        <v>130</v>
      </c>
      <c r="L375" t="s">
        <v>163</v>
      </c>
      <c r="M375">
        <v>14</v>
      </c>
      <c r="N375">
        <v>8</v>
      </c>
      <c r="O375">
        <v>3</v>
      </c>
      <c r="P375">
        <v>5</v>
      </c>
      <c r="Q375">
        <v>7</v>
      </c>
      <c r="R375">
        <v>10</v>
      </c>
      <c r="S375">
        <v>11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1.4</v>
      </c>
      <c r="Z375">
        <v>6</v>
      </c>
      <c r="AA375">
        <v>5.75</v>
      </c>
      <c r="AE375">
        <v>1.4</v>
      </c>
      <c r="AF375">
        <v>5.5</v>
      </c>
      <c r="AG375">
        <v>6.5</v>
      </c>
      <c r="AH375">
        <v>1.42</v>
      </c>
      <c r="AI375">
        <v>5.68</v>
      </c>
      <c r="AJ375">
        <v>6.36</v>
      </c>
      <c r="AN375">
        <v>1.43</v>
      </c>
      <c r="AO375">
        <v>5.75</v>
      </c>
      <c r="AP375">
        <v>6.62</v>
      </c>
      <c r="AQ375">
        <v>1.43</v>
      </c>
      <c r="AR375">
        <v>6.1</v>
      </c>
      <c r="AS375">
        <v>6.62</v>
      </c>
      <c r="AT375">
        <v>1.4</v>
      </c>
      <c r="AU375">
        <v>5.65</v>
      </c>
      <c r="AV375">
        <v>6.27</v>
      </c>
      <c r="AW375">
        <v>1.44</v>
      </c>
      <c r="AX375">
        <v>6</v>
      </c>
      <c r="AY375">
        <v>7</v>
      </c>
      <c r="AZ375">
        <v>1.3</v>
      </c>
      <c r="BA375">
        <v>3.5</v>
      </c>
      <c r="BB375">
        <v>1.33</v>
      </c>
      <c r="BC375">
        <v>3.45</v>
      </c>
      <c r="BD375">
        <v>1.33</v>
      </c>
      <c r="BE375">
        <v>3.7</v>
      </c>
      <c r="BF375">
        <v>1.3</v>
      </c>
      <c r="BG375">
        <v>3.43</v>
      </c>
      <c r="BH375">
        <v>1.36</v>
      </c>
      <c r="BI375">
        <v>3.5</v>
      </c>
      <c r="BJ375">
        <v>-1.5</v>
      </c>
      <c r="BK375">
        <v>2</v>
      </c>
      <c r="BL375">
        <v>1.85</v>
      </c>
      <c r="BM375">
        <v>2.0499999999999998</v>
      </c>
      <c r="BN375">
        <v>1.87</v>
      </c>
      <c r="BO375">
        <v>2.08</v>
      </c>
      <c r="BP375">
        <v>1.87</v>
      </c>
      <c r="BQ375">
        <v>2.02</v>
      </c>
      <c r="BR375">
        <v>1.82</v>
      </c>
      <c r="BS375">
        <v>1.44</v>
      </c>
      <c r="BT375">
        <v>1.1399999999999999</v>
      </c>
      <c r="BU375">
        <v>1.36</v>
      </c>
      <c r="BV375">
        <v>6</v>
      </c>
      <c r="BW375">
        <v>6</v>
      </c>
      <c r="CA375">
        <v>1.36</v>
      </c>
      <c r="CB375">
        <v>5.5</v>
      </c>
      <c r="CC375">
        <v>6.5</v>
      </c>
      <c r="CD375">
        <v>1.38</v>
      </c>
      <c r="CE375">
        <v>6.04</v>
      </c>
      <c r="CF375">
        <v>7.14</v>
      </c>
      <c r="CJ375">
        <v>1.4</v>
      </c>
      <c r="CK375">
        <v>6.31</v>
      </c>
      <c r="CL375">
        <v>6.31</v>
      </c>
      <c r="CM375">
        <v>1.4</v>
      </c>
      <c r="CN375">
        <v>6.5</v>
      </c>
      <c r="CO375">
        <v>7.91</v>
      </c>
      <c r="CP375">
        <v>1.37</v>
      </c>
      <c r="CQ375">
        <v>5.95</v>
      </c>
      <c r="CR375">
        <v>6.99</v>
      </c>
      <c r="CS375">
        <v>1.39</v>
      </c>
      <c r="CT375">
        <v>6.4</v>
      </c>
      <c r="CU375">
        <v>7.6</v>
      </c>
      <c r="CV375">
        <v>1.3</v>
      </c>
      <c r="CW375">
        <v>3.5</v>
      </c>
      <c r="CX375">
        <v>1.33</v>
      </c>
      <c r="CY375">
        <v>3.48</v>
      </c>
      <c r="CZ375">
        <v>1.33</v>
      </c>
      <c r="DA375">
        <v>3.9</v>
      </c>
      <c r="DB375">
        <v>1.31</v>
      </c>
      <c r="DC375">
        <v>3.49</v>
      </c>
      <c r="DD375">
        <v>1.34</v>
      </c>
      <c r="DE375">
        <v>3.85</v>
      </c>
      <c r="DF375">
        <v>-1.5</v>
      </c>
      <c r="DG375">
        <v>1.93</v>
      </c>
      <c r="DH375">
        <v>1.93</v>
      </c>
      <c r="DI375">
        <v>1.95</v>
      </c>
      <c r="DJ375">
        <v>1.97</v>
      </c>
      <c r="DK375">
        <v>1.96</v>
      </c>
      <c r="DL375">
        <v>1.98</v>
      </c>
      <c r="DM375">
        <v>1.91</v>
      </c>
      <c r="DN375">
        <v>1.94</v>
      </c>
      <c r="DO375">
        <v>1.97</v>
      </c>
      <c r="DP375">
        <v>2.0099999999999998</v>
      </c>
    </row>
    <row r="376" spans="1:120" x14ac:dyDescent="0.3">
      <c r="A376" t="s">
        <v>120</v>
      </c>
      <c r="B376" t="s">
        <v>238</v>
      </c>
      <c r="C376" s="1">
        <v>0.66666666666666663</v>
      </c>
      <c r="D376" t="s">
        <v>122</v>
      </c>
      <c r="E376" t="s">
        <v>145</v>
      </c>
      <c r="F376">
        <v>2</v>
      </c>
      <c r="G376">
        <v>0</v>
      </c>
      <c r="H376" t="s">
        <v>124</v>
      </c>
      <c r="I376">
        <v>0</v>
      </c>
      <c r="J376">
        <v>0</v>
      </c>
      <c r="K376" t="s">
        <v>125</v>
      </c>
      <c r="L376" t="s">
        <v>185</v>
      </c>
      <c r="M376">
        <v>25</v>
      </c>
      <c r="N376">
        <v>6</v>
      </c>
      <c r="O376">
        <v>10</v>
      </c>
      <c r="P376">
        <v>1</v>
      </c>
      <c r="Q376">
        <v>10</v>
      </c>
      <c r="R376">
        <v>10</v>
      </c>
      <c r="S376">
        <v>4</v>
      </c>
      <c r="T376">
        <v>3</v>
      </c>
      <c r="U376">
        <v>2</v>
      </c>
      <c r="V376">
        <v>2</v>
      </c>
      <c r="W376">
        <v>0</v>
      </c>
      <c r="X376">
        <v>1</v>
      </c>
      <c r="Y376">
        <v>4.33</v>
      </c>
      <c r="Z376">
        <v>4.2</v>
      </c>
      <c r="AA376">
        <v>1.7</v>
      </c>
      <c r="AE376">
        <v>4.5</v>
      </c>
      <c r="AF376">
        <v>4</v>
      </c>
      <c r="AG376">
        <v>1.73</v>
      </c>
      <c r="AH376">
        <v>4.4000000000000004</v>
      </c>
      <c r="AI376">
        <v>4.26</v>
      </c>
      <c r="AJ376">
        <v>1.74</v>
      </c>
      <c r="AN376">
        <v>4.42</v>
      </c>
      <c r="AO376">
        <v>4.33</v>
      </c>
      <c r="AP376">
        <v>1.76</v>
      </c>
      <c r="AQ376">
        <v>4.5</v>
      </c>
      <c r="AR376">
        <v>4.33</v>
      </c>
      <c r="AS376">
        <v>1.76</v>
      </c>
      <c r="AT376">
        <v>4.37</v>
      </c>
      <c r="AU376">
        <v>4.16</v>
      </c>
      <c r="AV376">
        <v>1.73</v>
      </c>
      <c r="AW376">
        <v>4.7</v>
      </c>
      <c r="AX376">
        <v>4.3</v>
      </c>
      <c r="AY376">
        <v>1.79</v>
      </c>
      <c r="AZ376">
        <v>1.62</v>
      </c>
      <c r="BA376">
        <v>2.2999999999999998</v>
      </c>
      <c r="BB376">
        <v>1.62</v>
      </c>
      <c r="BC376">
        <v>2.38</v>
      </c>
      <c r="BD376">
        <v>1.65</v>
      </c>
      <c r="BE376">
        <v>2.4</v>
      </c>
      <c r="BF376">
        <v>1.6</v>
      </c>
      <c r="BG376">
        <v>2.35</v>
      </c>
      <c r="BH376">
        <v>1.62</v>
      </c>
      <c r="BI376">
        <v>2.48</v>
      </c>
      <c r="BJ376">
        <v>0.75</v>
      </c>
      <c r="BK376">
        <v>1.95</v>
      </c>
      <c r="BL376">
        <v>1.9</v>
      </c>
      <c r="BM376">
        <v>1.94</v>
      </c>
      <c r="BN376">
        <v>1.96</v>
      </c>
      <c r="BO376">
        <v>2</v>
      </c>
      <c r="BP376">
        <v>1.96</v>
      </c>
      <c r="BQ376">
        <v>1.92</v>
      </c>
      <c r="BR376">
        <v>1.9</v>
      </c>
      <c r="BS376">
        <v>2</v>
      </c>
      <c r="BT376">
        <v>1.98</v>
      </c>
      <c r="BU376">
        <v>4.5</v>
      </c>
      <c r="BV376">
        <v>4.33</v>
      </c>
      <c r="BW376">
        <v>1.67</v>
      </c>
      <c r="CA376">
        <v>4.5999999999999996</v>
      </c>
      <c r="CB376">
        <v>4.2</v>
      </c>
      <c r="CC376">
        <v>1.7</v>
      </c>
      <c r="CD376">
        <v>4.82</v>
      </c>
      <c r="CE376">
        <v>4.37</v>
      </c>
      <c r="CF376">
        <v>1.68</v>
      </c>
      <c r="CJ376">
        <v>4.38</v>
      </c>
      <c r="CK376">
        <v>4.42</v>
      </c>
      <c r="CL376">
        <v>1.74</v>
      </c>
      <c r="CM376">
        <v>5.21</v>
      </c>
      <c r="CN376">
        <v>4.42</v>
      </c>
      <c r="CO376">
        <v>1.74</v>
      </c>
      <c r="CP376">
        <v>4.74</v>
      </c>
      <c r="CQ376">
        <v>4.29</v>
      </c>
      <c r="CR376">
        <v>1.67</v>
      </c>
      <c r="CS376">
        <v>5</v>
      </c>
      <c r="CT376">
        <v>4.5</v>
      </c>
      <c r="CU376">
        <v>1.72</v>
      </c>
      <c r="CV376">
        <v>1.57</v>
      </c>
      <c r="CW376">
        <v>2.38</v>
      </c>
      <c r="CX376">
        <v>1.6</v>
      </c>
      <c r="CY376">
        <v>2.44</v>
      </c>
      <c r="CZ376">
        <v>1.61</v>
      </c>
      <c r="DA376">
        <v>2.6</v>
      </c>
      <c r="DB376">
        <v>1.57</v>
      </c>
      <c r="DC376">
        <v>2.42</v>
      </c>
      <c r="DD376">
        <v>1.62</v>
      </c>
      <c r="DE376">
        <v>2.56</v>
      </c>
      <c r="DF376">
        <v>0.75</v>
      </c>
      <c r="DG376">
        <v>2.0299999999999998</v>
      </c>
      <c r="DH376">
        <v>1.83</v>
      </c>
      <c r="DI376">
        <v>2.0699999999999998</v>
      </c>
      <c r="DJ376">
        <v>1.86</v>
      </c>
      <c r="DK376">
        <v>2.09</v>
      </c>
      <c r="DL376">
        <v>1.9</v>
      </c>
      <c r="DM376">
        <v>2.04</v>
      </c>
      <c r="DN376">
        <v>1.83</v>
      </c>
      <c r="DO376">
        <v>2.1</v>
      </c>
      <c r="DP376">
        <v>1.89</v>
      </c>
    </row>
    <row r="377" spans="1:120" x14ac:dyDescent="0.3">
      <c r="A377" t="s">
        <v>120</v>
      </c>
      <c r="B377" t="s">
        <v>238</v>
      </c>
      <c r="C377" s="1">
        <v>0.66666666666666663</v>
      </c>
      <c r="D377" t="s">
        <v>138</v>
      </c>
      <c r="E377" t="s">
        <v>135</v>
      </c>
      <c r="F377">
        <v>0</v>
      </c>
      <c r="G377">
        <v>1</v>
      </c>
      <c r="H377" t="s">
        <v>130</v>
      </c>
      <c r="I377">
        <v>0</v>
      </c>
      <c r="J377">
        <v>0</v>
      </c>
      <c r="K377" t="s">
        <v>125</v>
      </c>
      <c r="L377" t="s">
        <v>146</v>
      </c>
      <c r="M377">
        <v>17</v>
      </c>
      <c r="N377">
        <v>14</v>
      </c>
      <c r="O377">
        <v>6</v>
      </c>
      <c r="P377">
        <v>6</v>
      </c>
      <c r="Q377">
        <v>12</v>
      </c>
      <c r="R377">
        <v>9</v>
      </c>
      <c r="S377">
        <v>12</v>
      </c>
      <c r="T377">
        <v>3</v>
      </c>
      <c r="U377">
        <v>1</v>
      </c>
      <c r="V377">
        <v>4</v>
      </c>
      <c r="W377">
        <v>0</v>
      </c>
      <c r="X377">
        <v>0</v>
      </c>
      <c r="Y377">
        <v>1.33</v>
      </c>
      <c r="Z377">
        <v>5.5</v>
      </c>
      <c r="AA377">
        <v>8.5</v>
      </c>
      <c r="AE377">
        <v>1.3</v>
      </c>
      <c r="AF377">
        <v>5.5</v>
      </c>
      <c r="AG377">
        <v>9</v>
      </c>
      <c r="AH377">
        <v>1.33</v>
      </c>
      <c r="AI377">
        <v>5.85</v>
      </c>
      <c r="AJ377">
        <v>8.5500000000000007</v>
      </c>
      <c r="AN377">
        <v>1.36</v>
      </c>
      <c r="AO377">
        <v>5.7</v>
      </c>
      <c r="AP377">
        <v>8.85</v>
      </c>
      <c r="AQ377">
        <v>1.36</v>
      </c>
      <c r="AR377">
        <v>5.85</v>
      </c>
      <c r="AS377">
        <v>9.5</v>
      </c>
      <c r="AT377">
        <v>1.32</v>
      </c>
      <c r="AU377">
        <v>5.6</v>
      </c>
      <c r="AV377">
        <v>8.77</v>
      </c>
      <c r="AW377">
        <v>1.35</v>
      </c>
      <c r="AX377">
        <v>6.2</v>
      </c>
      <c r="AY377">
        <v>9.6</v>
      </c>
      <c r="AZ377">
        <v>1.53</v>
      </c>
      <c r="BA377">
        <v>2.5</v>
      </c>
      <c r="BB377">
        <v>1.52</v>
      </c>
      <c r="BC377">
        <v>2.62</v>
      </c>
      <c r="BD377">
        <v>1.53</v>
      </c>
      <c r="BE377">
        <v>2.65</v>
      </c>
      <c r="BF377">
        <v>1.5</v>
      </c>
      <c r="BG377">
        <v>2.5499999999999998</v>
      </c>
      <c r="BH377">
        <v>1.58</v>
      </c>
      <c r="BI377">
        <v>2.62</v>
      </c>
      <c r="BJ377">
        <v>-1.5</v>
      </c>
      <c r="BK377">
        <v>1.93</v>
      </c>
      <c r="BL377">
        <v>1.93</v>
      </c>
      <c r="BM377">
        <v>1.95</v>
      </c>
      <c r="BN377">
        <v>1.95</v>
      </c>
      <c r="BO377">
        <v>1.95</v>
      </c>
      <c r="BP377">
        <v>1.96</v>
      </c>
      <c r="BQ377">
        <v>1.9</v>
      </c>
      <c r="BR377">
        <v>1.93</v>
      </c>
      <c r="BS377">
        <v>1.85</v>
      </c>
      <c r="BT377">
        <v>2.0499999999999998</v>
      </c>
      <c r="BU377">
        <v>1.29</v>
      </c>
      <c r="BV377">
        <v>6</v>
      </c>
      <c r="BW377">
        <v>9.5</v>
      </c>
      <c r="CA377">
        <v>1.25</v>
      </c>
      <c r="CB377">
        <v>6</v>
      </c>
      <c r="CC377">
        <v>12</v>
      </c>
      <c r="CD377">
        <v>1.28</v>
      </c>
      <c r="CE377">
        <v>6.19</v>
      </c>
      <c r="CF377">
        <v>10.36</v>
      </c>
      <c r="CJ377">
        <v>1.3</v>
      </c>
      <c r="CK377">
        <v>6.11</v>
      </c>
      <c r="CL377">
        <v>10.199999999999999</v>
      </c>
      <c r="CM377">
        <v>1.3</v>
      </c>
      <c r="CN377">
        <v>6.6</v>
      </c>
      <c r="CO377">
        <v>12.5</v>
      </c>
      <c r="CP377">
        <v>1.27</v>
      </c>
      <c r="CQ377">
        <v>6.18</v>
      </c>
      <c r="CR377">
        <v>10.88</v>
      </c>
      <c r="CS377">
        <v>1.27</v>
      </c>
      <c r="CT377">
        <v>7</v>
      </c>
      <c r="CU377">
        <v>13</v>
      </c>
      <c r="CV377">
        <v>1.44</v>
      </c>
      <c r="CW377">
        <v>2.75</v>
      </c>
      <c r="CX377">
        <v>1.47</v>
      </c>
      <c r="CY377">
        <v>2.75</v>
      </c>
      <c r="CZ377">
        <v>1.5</v>
      </c>
      <c r="DA377">
        <v>2.81</v>
      </c>
      <c r="DB377">
        <v>1.47</v>
      </c>
      <c r="DC377">
        <v>2.71</v>
      </c>
      <c r="DD377">
        <v>1.5</v>
      </c>
      <c r="DE377">
        <v>2.94</v>
      </c>
      <c r="DF377">
        <v>-1.75</v>
      </c>
      <c r="DG377">
        <v>2</v>
      </c>
      <c r="DH377">
        <v>1.85</v>
      </c>
      <c r="DI377">
        <v>2.0099999999999998</v>
      </c>
      <c r="DJ377">
        <v>1.9</v>
      </c>
      <c r="DK377">
        <v>2.0099999999999998</v>
      </c>
      <c r="DL377">
        <v>1.95</v>
      </c>
      <c r="DM377">
        <v>1.95</v>
      </c>
      <c r="DN377">
        <v>1.91</v>
      </c>
      <c r="DO377">
        <v>1.93</v>
      </c>
      <c r="DP377">
        <v>2.0499999999999998</v>
      </c>
    </row>
    <row r="378" spans="1:120" x14ac:dyDescent="0.3">
      <c r="A378" t="s">
        <v>120</v>
      </c>
      <c r="B378" t="s">
        <v>238</v>
      </c>
      <c r="C378" s="1">
        <v>0.66666666666666663</v>
      </c>
      <c r="D378" t="s">
        <v>141</v>
      </c>
      <c r="E378" t="s">
        <v>151</v>
      </c>
      <c r="F378">
        <v>0</v>
      </c>
      <c r="G378">
        <v>1</v>
      </c>
      <c r="H378" t="s">
        <v>130</v>
      </c>
      <c r="I378">
        <v>0</v>
      </c>
      <c r="J378">
        <v>0</v>
      </c>
      <c r="K378" t="s">
        <v>125</v>
      </c>
      <c r="L378" t="s">
        <v>153</v>
      </c>
      <c r="M378">
        <v>10</v>
      </c>
      <c r="N378">
        <v>6</v>
      </c>
      <c r="O378">
        <v>2</v>
      </c>
      <c r="P378">
        <v>2</v>
      </c>
      <c r="Q378">
        <v>10</v>
      </c>
      <c r="R378">
        <v>11</v>
      </c>
      <c r="S378">
        <v>7</v>
      </c>
      <c r="T378">
        <v>4</v>
      </c>
      <c r="U378">
        <v>2</v>
      </c>
      <c r="V378">
        <v>2</v>
      </c>
      <c r="W378">
        <v>0</v>
      </c>
      <c r="X378">
        <v>0</v>
      </c>
      <c r="Y378">
        <v>3</v>
      </c>
      <c r="Z378">
        <v>3.75</v>
      </c>
      <c r="AA378">
        <v>2.2000000000000002</v>
      </c>
      <c r="AE378">
        <v>3.2</v>
      </c>
      <c r="AF378">
        <v>3.6</v>
      </c>
      <c r="AG378">
        <v>2.15</v>
      </c>
      <c r="AH378">
        <v>3.15</v>
      </c>
      <c r="AI378">
        <v>3.76</v>
      </c>
      <c r="AJ378">
        <v>2.2200000000000002</v>
      </c>
      <c r="AN378">
        <v>3.19</v>
      </c>
      <c r="AO378">
        <v>3.73</v>
      </c>
      <c r="AP378">
        <v>2.25</v>
      </c>
      <c r="AQ378">
        <v>3.2</v>
      </c>
      <c r="AR378">
        <v>3.85</v>
      </c>
      <c r="AS378">
        <v>2.25</v>
      </c>
      <c r="AT378">
        <v>3.09</v>
      </c>
      <c r="AU378">
        <v>3.72</v>
      </c>
      <c r="AV378">
        <v>2.2000000000000002</v>
      </c>
      <c r="AW378">
        <v>3.3</v>
      </c>
      <c r="AX378">
        <v>3.9</v>
      </c>
      <c r="AY378">
        <v>2.2400000000000002</v>
      </c>
      <c r="AZ378">
        <v>1.67</v>
      </c>
      <c r="BA378">
        <v>2.2000000000000002</v>
      </c>
      <c r="BB378">
        <v>1.68</v>
      </c>
      <c r="BC378">
        <v>2.25</v>
      </c>
      <c r="BD378">
        <v>1.72</v>
      </c>
      <c r="BE378">
        <v>2.2599999999999998</v>
      </c>
      <c r="BF378">
        <v>1.67</v>
      </c>
      <c r="BG378">
        <v>2.21</v>
      </c>
      <c r="BH378">
        <v>1.77</v>
      </c>
      <c r="BI378">
        <v>2.2799999999999998</v>
      </c>
      <c r="BJ378">
        <v>0.25</v>
      </c>
      <c r="BK378">
        <v>1.93</v>
      </c>
      <c r="BL378">
        <v>1.93</v>
      </c>
      <c r="BM378">
        <v>1.96</v>
      </c>
      <c r="BN378">
        <v>1.94</v>
      </c>
      <c r="BO378">
        <v>1.96</v>
      </c>
      <c r="BP378">
        <v>1.94</v>
      </c>
      <c r="BQ378">
        <v>1.92</v>
      </c>
      <c r="BR378">
        <v>1.87</v>
      </c>
      <c r="BS378">
        <v>2.0299999999999998</v>
      </c>
      <c r="BT378">
        <v>1.96</v>
      </c>
      <c r="BU378">
        <v>3.4</v>
      </c>
      <c r="BV378">
        <v>3.75</v>
      </c>
      <c r="BW378">
        <v>2</v>
      </c>
      <c r="CA378">
        <v>3.4</v>
      </c>
      <c r="CB378">
        <v>3.6</v>
      </c>
      <c r="CC378">
        <v>2.0499999999999998</v>
      </c>
      <c r="CD378">
        <v>3.5</v>
      </c>
      <c r="CE378">
        <v>3.87</v>
      </c>
      <c r="CF378">
        <v>2.0699999999999998</v>
      </c>
      <c r="CJ378">
        <v>3.5</v>
      </c>
      <c r="CK378">
        <v>3.86</v>
      </c>
      <c r="CL378">
        <v>2.06</v>
      </c>
      <c r="CM378">
        <v>3.55</v>
      </c>
      <c r="CN378">
        <v>3.9</v>
      </c>
      <c r="CO378">
        <v>2.11</v>
      </c>
      <c r="CP378">
        <v>3.44</v>
      </c>
      <c r="CQ378">
        <v>3.78</v>
      </c>
      <c r="CR378">
        <v>2.06</v>
      </c>
      <c r="CS378">
        <v>3.55</v>
      </c>
      <c r="CT378">
        <v>3.9</v>
      </c>
      <c r="CU378">
        <v>2.14</v>
      </c>
      <c r="CV378">
        <v>1.67</v>
      </c>
      <c r="CW378">
        <v>2.2000000000000002</v>
      </c>
      <c r="CX378">
        <v>1.7</v>
      </c>
      <c r="CY378">
        <v>2.2400000000000002</v>
      </c>
      <c r="CZ378">
        <v>1.71</v>
      </c>
      <c r="DA378">
        <v>2.2799999999999998</v>
      </c>
      <c r="DB378">
        <v>1.68</v>
      </c>
      <c r="DC378">
        <v>2.21</v>
      </c>
      <c r="DD378">
        <v>1.76</v>
      </c>
      <c r="DE378">
        <v>2.2799999999999998</v>
      </c>
      <c r="DF378">
        <v>0.5</v>
      </c>
      <c r="DG378">
        <v>1.8</v>
      </c>
      <c r="DH378">
        <v>2.0499999999999998</v>
      </c>
      <c r="DI378">
        <v>1.86</v>
      </c>
      <c r="DJ378">
        <v>2.08</v>
      </c>
      <c r="DK378">
        <v>1.86</v>
      </c>
      <c r="DL378">
        <v>2.08</v>
      </c>
      <c r="DM378">
        <v>1.81</v>
      </c>
      <c r="DN378">
        <v>2.0499999999999998</v>
      </c>
      <c r="DO378">
        <v>1.86</v>
      </c>
      <c r="DP378">
        <v>2.14</v>
      </c>
    </row>
    <row r="379" spans="1:120" x14ac:dyDescent="0.3">
      <c r="A379" t="s">
        <v>120</v>
      </c>
      <c r="B379" t="s">
        <v>238</v>
      </c>
      <c r="C379" s="1">
        <v>0.66666666666666663</v>
      </c>
      <c r="D379" t="s">
        <v>139</v>
      </c>
      <c r="E379" t="s">
        <v>132</v>
      </c>
      <c r="F379">
        <v>1</v>
      </c>
      <c r="G379">
        <v>2</v>
      </c>
      <c r="H379" t="s">
        <v>130</v>
      </c>
      <c r="I379">
        <v>0</v>
      </c>
      <c r="J379">
        <v>1</v>
      </c>
      <c r="K379" t="s">
        <v>130</v>
      </c>
      <c r="L379" t="s">
        <v>159</v>
      </c>
      <c r="M379">
        <v>7</v>
      </c>
      <c r="N379">
        <v>23</v>
      </c>
      <c r="O379">
        <v>2</v>
      </c>
      <c r="P379">
        <v>8</v>
      </c>
      <c r="Q379">
        <v>7</v>
      </c>
      <c r="R379">
        <v>8</v>
      </c>
      <c r="S379">
        <v>5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8.5</v>
      </c>
      <c r="Z379">
        <v>6</v>
      </c>
      <c r="AA379">
        <v>1.3</v>
      </c>
      <c r="AE379">
        <v>11</v>
      </c>
      <c r="AF379">
        <v>5.5</v>
      </c>
      <c r="AG379">
        <v>1.25</v>
      </c>
      <c r="AH379">
        <v>9.4600000000000009</v>
      </c>
      <c r="AI379">
        <v>5.85</v>
      </c>
      <c r="AJ379">
        <v>1.3</v>
      </c>
      <c r="AN379">
        <v>10.4</v>
      </c>
      <c r="AO379">
        <v>6.11</v>
      </c>
      <c r="AP379">
        <v>1.31</v>
      </c>
      <c r="AQ379">
        <v>11</v>
      </c>
      <c r="AR379">
        <v>6.11</v>
      </c>
      <c r="AS379">
        <v>1.31</v>
      </c>
      <c r="AT379">
        <v>9.4499999999999993</v>
      </c>
      <c r="AU379">
        <v>5.83</v>
      </c>
      <c r="AV379">
        <v>1.29</v>
      </c>
      <c r="AW379">
        <v>11.5</v>
      </c>
      <c r="AX379">
        <v>6.4</v>
      </c>
      <c r="AY379">
        <v>1.31</v>
      </c>
      <c r="AZ379">
        <v>1.5</v>
      </c>
      <c r="BA379">
        <v>2.63</v>
      </c>
      <c r="BB379">
        <v>1.5</v>
      </c>
      <c r="BC379">
        <v>2.67</v>
      </c>
      <c r="BD379">
        <v>1.5</v>
      </c>
      <c r="BE379">
        <v>2.8</v>
      </c>
      <c r="BF379">
        <v>1.47</v>
      </c>
      <c r="BG379">
        <v>2.64</v>
      </c>
      <c r="BH379">
        <v>1.52</v>
      </c>
      <c r="BI379">
        <v>2.78</v>
      </c>
      <c r="BJ379">
        <v>1.5</v>
      </c>
      <c r="BK379">
        <v>2.0299999999999998</v>
      </c>
      <c r="BL379">
        <v>1.83</v>
      </c>
      <c r="BM379">
        <v>2.06</v>
      </c>
      <c r="BN379">
        <v>1.83</v>
      </c>
      <c r="BO379">
        <v>2.06</v>
      </c>
      <c r="BP379">
        <v>1.86</v>
      </c>
      <c r="BQ379">
        <v>2.02</v>
      </c>
      <c r="BR379">
        <v>1.82</v>
      </c>
      <c r="BS379">
        <v>1.89</v>
      </c>
      <c r="BT379">
        <v>1.31</v>
      </c>
      <c r="BU379">
        <v>12</v>
      </c>
      <c r="BV379">
        <v>6</v>
      </c>
      <c r="BW379">
        <v>1.25</v>
      </c>
      <c r="CA379">
        <v>12</v>
      </c>
      <c r="CB379">
        <v>6</v>
      </c>
      <c r="CC379">
        <v>1.22</v>
      </c>
      <c r="CD379">
        <v>11.73</v>
      </c>
      <c r="CE379">
        <v>6.54</v>
      </c>
      <c r="CF379">
        <v>1.25</v>
      </c>
      <c r="CJ379">
        <v>12.2</v>
      </c>
      <c r="CK379">
        <v>6.11</v>
      </c>
      <c r="CL379">
        <v>1.28</v>
      </c>
      <c r="CM379">
        <v>12.2</v>
      </c>
      <c r="CN379">
        <v>6.8</v>
      </c>
      <c r="CO379">
        <v>1.28</v>
      </c>
      <c r="CP379">
        <v>11.73</v>
      </c>
      <c r="CQ379">
        <v>6.4</v>
      </c>
      <c r="CR379">
        <v>1.25</v>
      </c>
      <c r="CS379">
        <v>13</v>
      </c>
      <c r="CT379">
        <v>6.8</v>
      </c>
      <c r="CU379">
        <v>1.28</v>
      </c>
      <c r="CV379">
        <v>1.4</v>
      </c>
      <c r="CW379">
        <v>3</v>
      </c>
      <c r="CX379">
        <v>1.41</v>
      </c>
      <c r="CY379">
        <v>2.99</v>
      </c>
      <c r="CZ379">
        <v>1.41</v>
      </c>
      <c r="DA379">
        <v>3.05</v>
      </c>
      <c r="DB379">
        <v>1.4</v>
      </c>
      <c r="DC379">
        <v>2.97</v>
      </c>
      <c r="DD379">
        <v>1.45</v>
      </c>
      <c r="DE379">
        <v>3.15</v>
      </c>
      <c r="DF379">
        <v>1.75</v>
      </c>
      <c r="DG379">
        <v>2.0299999999999998</v>
      </c>
      <c r="DH379">
        <v>1.83</v>
      </c>
      <c r="DI379">
        <v>2.04</v>
      </c>
      <c r="DJ379">
        <v>1.87</v>
      </c>
      <c r="DK379">
        <v>2.0699999999999998</v>
      </c>
      <c r="DL379">
        <v>1.87</v>
      </c>
      <c r="DM379">
        <v>2.0299999999999998</v>
      </c>
      <c r="DN379">
        <v>1.83</v>
      </c>
      <c r="DO379">
        <v>2.06</v>
      </c>
      <c r="DP379">
        <v>1.89</v>
      </c>
    </row>
    <row r="380" spans="1:120" x14ac:dyDescent="0.3">
      <c r="A380" t="s">
        <v>120</v>
      </c>
      <c r="B380" t="s">
        <v>238</v>
      </c>
      <c r="C380" s="1">
        <v>0.66666666666666663</v>
      </c>
      <c r="D380" t="s">
        <v>156</v>
      </c>
      <c r="E380" t="s">
        <v>136</v>
      </c>
      <c r="F380">
        <v>1</v>
      </c>
      <c r="G380">
        <v>4</v>
      </c>
      <c r="H380" t="s">
        <v>130</v>
      </c>
      <c r="I380">
        <v>1</v>
      </c>
      <c r="J380">
        <v>0</v>
      </c>
      <c r="K380" t="s">
        <v>124</v>
      </c>
      <c r="L380" t="s">
        <v>126</v>
      </c>
      <c r="M380">
        <v>4</v>
      </c>
      <c r="N380">
        <v>23</v>
      </c>
      <c r="O380">
        <v>2</v>
      </c>
      <c r="P380">
        <v>8</v>
      </c>
      <c r="Q380">
        <v>13</v>
      </c>
      <c r="R380">
        <v>8</v>
      </c>
      <c r="S380">
        <v>2</v>
      </c>
      <c r="T380">
        <v>11</v>
      </c>
      <c r="U380">
        <v>3</v>
      </c>
      <c r="V380">
        <v>1</v>
      </c>
      <c r="W380">
        <v>0</v>
      </c>
      <c r="X380">
        <v>0</v>
      </c>
      <c r="Y380">
        <v>4.2</v>
      </c>
      <c r="Z380">
        <v>4.33</v>
      </c>
      <c r="AA380">
        <v>1.7</v>
      </c>
      <c r="AE380">
        <v>4.2</v>
      </c>
      <c r="AF380">
        <v>4.4000000000000004</v>
      </c>
      <c r="AG380">
        <v>1.7</v>
      </c>
      <c r="AH380">
        <v>4.33</v>
      </c>
      <c r="AI380">
        <v>4.5199999999999996</v>
      </c>
      <c r="AJ380">
        <v>1.71</v>
      </c>
      <c r="AN380">
        <v>4.38</v>
      </c>
      <c r="AO380">
        <v>4.54</v>
      </c>
      <c r="AP380">
        <v>1.73</v>
      </c>
      <c r="AQ380">
        <v>4.38</v>
      </c>
      <c r="AR380">
        <v>4.55</v>
      </c>
      <c r="AS380">
        <v>1.73</v>
      </c>
      <c r="AT380">
        <v>4.2300000000000004</v>
      </c>
      <c r="AU380">
        <v>4.43</v>
      </c>
      <c r="AV380">
        <v>1.71</v>
      </c>
      <c r="AW380">
        <v>4.4000000000000004</v>
      </c>
      <c r="AX380">
        <v>4.7</v>
      </c>
      <c r="AY380">
        <v>1.75</v>
      </c>
      <c r="AZ380">
        <v>1.33</v>
      </c>
      <c r="BA380">
        <v>3.4</v>
      </c>
      <c r="BB380">
        <v>1.34</v>
      </c>
      <c r="BC380">
        <v>3.38</v>
      </c>
      <c r="BD380">
        <v>1.34</v>
      </c>
      <c r="BE380">
        <v>3.55</v>
      </c>
      <c r="BF380">
        <v>1.32</v>
      </c>
      <c r="BG380">
        <v>3.34</v>
      </c>
      <c r="BH380">
        <v>1.35</v>
      </c>
      <c r="BI380">
        <v>3.65</v>
      </c>
      <c r="BJ380">
        <v>0.75</v>
      </c>
      <c r="BK380">
        <v>2</v>
      </c>
      <c r="BL380">
        <v>1.85</v>
      </c>
      <c r="BM380">
        <v>2.02</v>
      </c>
      <c r="BN380">
        <v>1.88</v>
      </c>
      <c r="BO380">
        <v>2.02</v>
      </c>
      <c r="BP380">
        <v>1.92</v>
      </c>
      <c r="BQ380">
        <v>1.97</v>
      </c>
      <c r="BR380">
        <v>1.85</v>
      </c>
      <c r="BS380">
        <v>1.64</v>
      </c>
      <c r="BT380">
        <v>1.75</v>
      </c>
      <c r="BU380">
        <v>3.7</v>
      </c>
      <c r="BV380">
        <v>4</v>
      </c>
      <c r="BW380">
        <v>1.85</v>
      </c>
      <c r="CA380">
        <v>3.75</v>
      </c>
      <c r="CB380">
        <v>3.9</v>
      </c>
      <c r="CC380">
        <v>1.87</v>
      </c>
      <c r="CD380">
        <v>3.83</v>
      </c>
      <c r="CE380">
        <v>4.0599999999999996</v>
      </c>
      <c r="CF380">
        <v>1.92</v>
      </c>
      <c r="CJ380">
        <v>3.63</v>
      </c>
      <c r="CK380">
        <v>4.12</v>
      </c>
      <c r="CL380">
        <v>1.95</v>
      </c>
      <c r="CM380">
        <v>3.9</v>
      </c>
      <c r="CN380">
        <v>4.1500000000000004</v>
      </c>
      <c r="CO380">
        <v>1.95</v>
      </c>
      <c r="CP380">
        <v>3.71</v>
      </c>
      <c r="CQ380">
        <v>4.0199999999999996</v>
      </c>
      <c r="CR380">
        <v>1.91</v>
      </c>
      <c r="CS380">
        <v>3.95</v>
      </c>
      <c r="CT380">
        <v>4.2</v>
      </c>
      <c r="CU380">
        <v>1.93</v>
      </c>
      <c r="CV380">
        <v>1.5</v>
      </c>
      <c r="CW380">
        <v>2.63</v>
      </c>
      <c r="CX380">
        <v>1.49</v>
      </c>
      <c r="CY380">
        <v>2.72</v>
      </c>
      <c r="CZ380">
        <v>1.51</v>
      </c>
      <c r="DA380">
        <v>2.8</v>
      </c>
      <c r="DB380">
        <v>1.47</v>
      </c>
      <c r="DC380">
        <v>2.69</v>
      </c>
      <c r="DD380">
        <v>1.51</v>
      </c>
      <c r="DE380">
        <v>2.92</v>
      </c>
      <c r="DF380">
        <v>0.5</v>
      </c>
      <c r="DG380">
        <v>1.95</v>
      </c>
      <c r="DH380">
        <v>1.9</v>
      </c>
      <c r="DI380">
        <v>2</v>
      </c>
      <c r="DJ380">
        <v>1.93</v>
      </c>
      <c r="DK380">
        <v>2.0099999999999998</v>
      </c>
      <c r="DL380">
        <v>1.93</v>
      </c>
      <c r="DM380">
        <v>1.95</v>
      </c>
      <c r="DN380">
        <v>1.89</v>
      </c>
      <c r="DO380">
        <v>2.06</v>
      </c>
      <c r="DP380">
        <v>1.93</v>
      </c>
    </row>
    <row r="381" spans="1:120" x14ac:dyDescent="0.3">
      <c r="A381" t="s">
        <v>120</v>
      </c>
      <c r="B381" t="s">
        <v>238</v>
      </c>
      <c r="C381" s="1">
        <v>0.66666666666666663</v>
      </c>
      <c r="D381" t="s">
        <v>133</v>
      </c>
      <c r="E381" t="s">
        <v>148</v>
      </c>
      <c r="F381">
        <v>1</v>
      </c>
      <c r="G381">
        <v>1</v>
      </c>
      <c r="H381" t="s">
        <v>125</v>
      </c>
      <c r="I381">
        <v>0</v>
      </c>
      <c r="J381">
        <v>1</v>
      </c>
      <c r="K381" t="s">
        <v>130</v>
      </c>
      <c r="L381" t="s">
        <v>140</v>
      </c>
      <c r="M381">
        <v>18</v>
      </c>
      <c r="N381">
        <v>13</v>
      </c>
      <c r="O381">
        <v>6</v>
      </c>
      <c r="P381">
        <v>7</v>
      </c>
      <c r="Q381">
        <v>7</v>
      </c>
      <c r="R381">
        <v>9</v>
      </c>
      <c r="S381">
        <v>8</v>
      </c>
      <c r="T381">
        <v>3</v>
      </c>
      <c r="U381">
        <v>2</v>
      </c>
      <c r="V381">
        <v>1</v>
      </c>
      <c r="W381">
        <v>0</v>
      </c>
      <c r="X381">
        <v>0</v>
      </c>
      <c r="Y381">
        <v>2.7</v>
      </c>
      <c r="Z381">
        <v>3.7</v>
      </c>
      <c r="AA381">
        <v>2.4500000000000002</v>
      </c>
      <c r="AE381">
        <v>2.75</v>
      </c>
      <c r="AF381">
        <v>3.6</v>
      </c>
      <c r="AG381">
        <v>2.4500000000000002</v>
      </c>
      <c r="AH381">
        <v>2.74</v>
      </c>
      <c r="AI381">
        <v>3.83</v>
      </c>
      <c r="AJ381">
        <v>2.4500000000000002</v>
      </c>
      <c r="AN381">
        <v>2.77</v>
      </c>
      <c r="AO381">
        <v>3.85</v>
      </c>
      <c r="AP381">
        <v>2.4700000000000002</v>
      </c>
      <c r="AQ381">
        <v>2.77</v>
      </c>
      <c r="AR381">
        <v>3.85</v>
      </c>
      <c r="AS381">
        <v>2.48</v>
      </c>
      <c r="AT381">
        <v>2.71</v>
      </c>
      <c r="AU381">
        <v>3.76</v>
      </c>
      <c r="AV381">
        <v>2.4300000000000002</v>
      </c>
      <c r="AW381">
        <v>2.86</v>
      </c>
      <c r="AX381">
        <v>3.85</v>
      </c>
      <c r="AY381">
        <v>2.54</v>
      </c>
      <c r="AZ381">
        <v>1.53</v>
      </c>
      <c r="BA381">
        <v>2.5</v>
      </c>
      <c r="BB381">
        <v>1.53</v>
      </c>
      <c r="BC381">
        <v>2.56</v>
      </c>
      <c r="BD381">
        <v>1.53</v>
      </c>
      <c r="BE381">
        <v>2.63</v>
      </c>
      <c r="BF381">
        <v>1.5</v>
      </c>
      <c r="BG381">
        <v>2.5499999999999998</v>
      </c>
      <c r="BH381">
        <v>1.55</v>
      </c>
      <c r="BI381">
        <v>2.74</v>
      </c>
      <c r="BJ381">
        <v>0</v>
      </c>
      <c r="BK381">
        <v>2.0299999999999998</v>
      </c>
      <c r="BL381">
        <v>1.83</v>
      </c>
      <c r="BM381">
        <v>2.0699999999999998</v>
      </c>
      <c r="BN381">
        <v>1.85</v>
      </c>
      <c r="BO381">
        <v>2.0699999999999998</v>
      </c>
      <c r="BP381">
        <v>1.85</v>
      </c>
      <c r="BQ381">
        <v>2.04</v>
      </c>
      <c r="BR381">
        <v>1.82</v>
      </c>
      <c r="BS381">
        <v>2.11</v>
      </c>
      <c r="BT381">
        <v>1.88</v>
      </c>
      <c r="BU381">
        <v>2.9</v>
      </c>
      <c r="BV381">
        <v>3.7</v>
      </c>
      <c r="BW381">
        <v>2.25</v>
      </c>
      <c r="CA381">
        <v>2.9</v>
      </c>
      <c r="CB381">
        <v>3.6</v>
      </c>
      <c r="CC381">
        <v>2.2999999999999998</v>
      </c>
      <c r="CD381">
        <v>3</v>
      </c>
      <c r="CE381">
        <v>3.82</v>
      </c>
      <c r="CF381">
        <v>2.31</v>
      </c>
      <c r="CJ381">
        <v>2.98</v>
      </c>
      <c r="CK381">
        <v>3.8</v>
      </c>
      <c r="CL381">
        <v>2.31</v>
      </c>
      <c r="CM381">
        <v>3</v>
      </c>
      <c r="CN381">
        <v>3.82</v>
      </c>
      <c r="CO381">
        <v>2.4500000000000002</v>
      </c>
      <c r="CP381">
        <v>2.91</v>
      </c>
      <c r="CQ381">
        <v>3.74</v>
      </c>
      <c r="CR381">
        <v>2.3199999999999998</v>
      </c>
      <c r="CS381">
        <v>3.05</v>
      </c>
      <c r="CT381">
        <v>3.8</v>
      </c>
      <c r="CU381">
        <v>2.42</v>
      </c>
      <c r="CV381">
        <v>1.5</v>
      </c>
      <c r="CW381">
        <v>2.63</v>
      </c>
      <c r="CX381">
        <v>1.52</v>
      </c>
      <c r="CY381">
        <v>2.63</v>
      </c>
      <c r="CZ381">
        <v>1.52</v>
      </c>
      <c r="DA381">
        <v>2.63</v>
      </c>
      <c r="DB381">
        <v>1.5</v>
      </c>
      <c r="DC381">
        <v>2.6</v>
      </c>
      <c r="DD381">
        <v>1.54</v>
      </c>
      <c r="DE381">
        <v>2.78</v>
      </c>
      <c r="DF381">
        <v>0.25</v>
      </c>
      <c r="DG381">
        <v>1.85</v>
      </c>
      <c r="DH381">
        <v>2</v>
      </c>
      <c r="DI381">
        <v>1.9</v>
      </c>
      <c r="DJ381">
        <v>2.0299999999999998</v>
      </c>
      <c r="DK381">
        <v>1.9</v>
      </c>
      <c r="DL381">
        <v>2.0499999999999998</v>
      </c>
      <c r="DM381">
        <v>1.85</v>
      </c>
      <c r="DN381">
        <v>1.97</v>
      </c>
      <c r="DO381">
        <v>1.89</v>
      </c>
      <c r="DP381">
        <v>2.1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A92F-D032-4C3E-A691-9C87E2795A10}">
  <dimension ref="A3:W384"/>
  <sheetViews>
    <sheetView zoomScale="82" workbookViewId="0">
      <selection activeCell="I9" sqref="I9"/>
    </sheetView>
  </sheetViews>
  <sheetFormatPr defaultColWidth="14.77734375" defaultRowHeight="27.9" customHeight="1" x14ac:dyDescent="0.3"/>
  <cols>
    <col min="1" max="1" width="12.21875" customWidth="1"/>
    <col min="4" max="16" width="8.77734375" customWidth="1"/>
  </cols>
  <sheetData>
    <row r="3" spans="1:23" ht="27.9" customHeight="1" x14ac:dyDescent="0.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</row>
    <row r="4" spans="1:23" ht="38.4" customHeight="1" x14ac:dyDescent="0.3">
      <c r="A4" s="5" t="s">
        <v>1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84"/>
      <c r="W4" s="84"/>
    </row>
    <row r="5" spans="1:23" ht="27.9" customHeight="1" x14ac:dyDescent="0.3">
      <c r="A5" s="3">
        <v>45520</v>
      </c>
      <c r="B5" s="4" t="s">
        <v>122</v>
      </c>
      <c r="C5" s="4" t="s">
        <v>123</v>
      </c>
      <c r="D5" s="4">
        <v>1</v>
      </c>
      <c r="E5" s="4">
        <v>0</v>
      </c>
      <c r="F5" s="4" t="s">
        <v>124</v>
      </c>
      <c r="G5" s="4">
        <v>0</v>
      </c>
      <c r="H5" s="4">
        <v>0</v>
      </c>
      <c r="I5" s="4">
        <v>14</v>
      </c>
      <c r="J5" s="4">
        <v>10</v>
      </c>
      <c r="K5" s="4">
        <v>5</v>
      </c>
      <c r="L5" s="4">
        <v>2</v>
      </c>
      <c r="M5" s="4">
        <v>12</v>
      </c>
      <c r="N5" s="4">
        <v>10</v>
      </c>
      <c r="O5" s="4">
        <v>7</v>
      </c>
      <c r="P5" s="4">
        <v>8</v>
      </c>
      <c r="Q5" s="84"/>
      <c r="W5" s="84"/>
    </row>
    <row r="6" spans="1:23" ht="27.9" customHeight="1" x14ac:dyDescent="0.3">
      <c r="A6" s="3">
        <v>45521</v>
      </c>
      <c r="B6" s="4" t="s">
        <v>128</v>
      </c>
      <c r="C6" s="4" t="s">
        <v>129</v>
      </c>
      <c r="D6" s="4">
        <v>0</v>
      </c>
      <c r="E6" s="4">
        <v>2</v>
      </c>
      <c r="F6" s="4" t="s">
        <v>130</v>
      </c>
      <c r="G6" s="4">
        <v>0</v>
      </c>
      <c r="H6" s="4">
        <v>0</v>
      </c>
      <c r="I6" s="4">
        <v>7</v>
      </c>
      <c r="J6" s="4">
        <v>18</v>
      </c>
      <c r="K6" s="4">
        <v>2</v>
      </c>
      <c r="L6" s="4">
        <v>5</v>
      </c>
      <c r="M6" s="4">
        <v>9</v>
      </c>
      <c r="N6" s="4">
        <v>18</v>
      </c>
      <c r="O6" s="4">
        <v>2</v>
      </c>
      <c r="P6" s="4">
        <v>10</v>
      </c>
      <c r="Q6" s="84"/>
      <c r="W6" s="84"/>
    </row>
    <row r="7" spans="1:23" ht="27.9" customHeight="1" x14ac:dyDescent="0.3">
      <c r="A7" s="3">
        <v>45521</v>
      </c>
      <c r="B7" s="4" t="s">
        <v>132</v>
      </c>
      <c r="C7" s="4" t="s">
        <v>133</v>
      </c>
      <c r="D7" s="4">
        <v>2</v>
      </c>
      <c r="E7" s="4">
        <v>0</v>
      </c>
      <c r="F7" s="4" t="s">
        <v>124</v>
      </c>
      <c r="G7" s="4">
        <v>1</v>
      </c>
      <c r="H7" s="4">
        <v>0</v>
      </c>
      <c r="I7" s="4">
        <v>18</v>
      </c>
      <c r="J7" s="4">
        <v>9</v>
      </c>
      <c r="K7" s="4">
        <v>6</v>
      </c>
      <c r="L7" s="4">
        <v>3</v>
      </c>
      <c r="M7" s="4">
        <v>17</v>
      </c>
      <c r="N7" s="4">
        <v>14</v>
      </c>
      <c r="O7" s="4">
        <v>8</v>
      </c>
      <c r="P7" s="4">
        <v>2</v>
      </c>
      <c r="Q7" s="84"/>
      <c r="W7" s="84"/>
    </row>
    <row r="8" spans="1:23" ht="27.9" customHeight="1" x14ac:dyDescent="0.3">
      <c r="A8" s="3">
        <v>45521</v>
      </c>
      <c r="B8" s="4" t="s">
        <v>135</v>
      </c>
      <c r="C8" s="4" t="s">
        <v>136</v>
      </c>
      <c r="D8" s="4">
        <v>0</v>
      </c>
      <c r="E8" s="4">
        <v>3</v>
      </c>
      <c r="F8" s="4" t="s">
        <v>130</v>
      </c>
      <c r="G8" s="4">
        <v>0</v>
      </c>
      <c r="H8" s="4">
        <v>1</v>
      </c>
      <c r="I8" s="4">
        <v>9</v>
      </c>
      <c r="J8" s="4">
        <v>10</v>
      </c>
      <c r="K8" s="4">
        <v>1</v>
      </c>
      <c r="L8" s="4">
        <v>5</v>
      </c>
      <c r="M8" s="4">
        <v>8</v>
      </c>
      <c r="N8" s="4">
        <v>8</v>
      </c>
      <c r="O8" s="4">
        <v>1</v>
      </c>
      <c r="P8" s="4">
        <v>5</v>
      </c>
      <c r="Q8" s="84"/>
      <c r="W8" s="84"/>
    </row>
    <row r="9" spans="1:23" ht="27.9" customHeight="1" x14ac:dyDescent="0.3">
      <c r="A9" s="3">
        <v>45521</v>
      </c>
      <c r="B9" s="4" t="s">
        <v>138</v>
      </c>
      <c r="C9" s="4" t="s">
        <v>139</v>
      </c>
      <c r="D9" s="4">
        <v>1</v>
      </c>
      <c r="E9" s="4">
        <v>0</v>
      </c>
      <c r="F9" s="4" t="s">
        <v>124</v>
      </c>
      <c r="G9" s="4">
        <v>1</v>
      </c>
      <c r="H9" s="4">
        <v>0</v>
      </c>
      <c r="I9" s="4">
        <v>3</v>
      </c>
      <c r="J9" s="4">
        <v>19</v>
      </c>
      <c r="K9" s="4">
        <v>1</v>
      </c>
      <c r="L9" s="4">
        <v>4</v>
      </c>
      <c r="M9" s="4">
        <v>15</v>
      </c>
      <c r="N9" s="4">
        <v>16</v>
      </c>
      <c r="O9" s="4">
        <v>3</v>
      </c>
      <c r="P9" s="4">
        <v>12</v>
      </c>
      <c r="Q9" s="84"/>
      <c r="W9" s="84"/>
    </row>
    <row r="10" spans="1:23" ht="27.9" customHeight="1" x14ac:dyDescent="0.3">
      <c r="A10" s="3">
        <v>45521</v>
      </c>
      <c r="B10" s="4" t="s">
        <v>141</v>
      </c>
      <c r="C10" s="4" t="s">
        <v>142</v>
      </c>
      <c r="D10" s="4">
        <v>1</v>
      </c>
      <c r="E10" s="4">
        <v>1</v>
      </c>
      <c r="F10" s="4" t="s">
        <v>125</v>
      </c>
      <c r="G10" s="4">
        <v>1</v>
      </c>
      <c r="H10" s="4">
        <v>0</v>
      </c>
      <c r="I10" s="4">
        <v>14</v>
      </c>
      <c r="J10" s="4">
        <v>13</v>
      </c>
      <c r="K10" s="4">
        <v>8</v>
      </c>
      <c r="L10" s="4">
        <v>4</v>
      </c>
      <c r="M10" s="4">
        <v>17</v>
      </c>
      <c r="N10" s="4">
        <v>8</v>
      </c>
      <c r="O10" s="4">
        <v>2</v>
      </c>
      <c r="P10" s="4">
        <v>6</v>
      </c>
      <c r="Q10" s="84"/>
      <c r="W10" s="84"/>
    </row>
    <row r="11" spans="1:23" ht="27.9" customHeight="1" x14ac:dyDescent="0.3">
      <c r="A11" s="3">
        <v>45521</v>
      </c>
      <c r="B11" s="4" t="s">
        <v>144</v>
      </c>
      <c r="C11" s="4" t="s">
        <v>145</v>
      </c>
      <c r="D11" s="4">
        <v>1</v>
      </c>
      <c r="E11" s="4">
        <v>2</v>
      </c>
      <c r="F11" s="4" t="s">
        <v>130</v>
      </c>
      <c r="G11" s="4">
        <v>1</v>
      </c>
      <c r="H11" s="4">
        <v>1</v>
      </c>
      <c r="I11" s="4">
        <v>14</v>
      </c>
      <c r="J11" s="4">
        <v>15</v>
      </c>
      <c r="K11" s="4">
        <v>3</v>
      </c>
      <c r="L11" s="4">
        <v>3</v>
      </c>
      <c r="M11" s="4">
        <v>18</v>
      </c>
      <c r="N11" s="4">
        <v>11</v>
      </c>
      <c r="O11" s="4">
        <v>5</v>
      </c>
      <c r="P11" s="4">
        <v>3</v>
      </c>
      <c r="Q11" s="84"/>
      <c r="W11" s="84"/>
    </row>
    <row r="12" spans="1:23" ht="27.9" customHeight="1" x14ac:dyDescent="0.3">
      <c r="A12" s="3">
        <v>45522</v>
      </c>
      <c r="B12" s="4" t="s">
        <v>148</v>
      </c>
      <c r="C12" s="4" t="s">
        <v>149</v>
      </c>
      <c r="D12" s="4">
        <v>2</v>
      </c>
      <c r="E12" s="4">
        <v>1</v>
      </c>
      <c r="F12" s="4" t="s">
        <v>124</v>
      </c>
      <c r="G12" s="4">
        <v>1</v>
      </c>
      <c r="H12" s="4">
        <v>0</v>
      </c>
      <c r="I12" s="4">
        <v>9</v>
      </c>
      <c r="J12" s="4">
        <v>14</v>
      </c>
      <c r="K12" s="4">
        <v>5</v>
      </c>
      <c r="L12" s="4">
        <v>6</v>
      </c>
      <c r="M12" s="4">
        <v>6</v>
      </c>
      <c r="N12" s="4">
        <v>15</v>
      </c>
      <c r="O12" s="4">
        <v>4</v>
      </c>
      <c r="P12" s="4">
        <v>7</v>
      </c>
      <c r="Q12" s="84"/>
      <c r="W12" s="84"/>
    </row>
    <row r="13" spans="1:23" ht="27.9" customHeight="1" x14ac:dyDescent="0.3">
      <c r="A13" s="3">
        <v>45522</v>
      </c>
      <c r="B13" s="4" t="s">
        <v>151</v>
      </c>
      <c r="C13" s="4" t="s">
        <v>152</v>
      </c>
      <c r="D13" s="4">
        <v>0</v>
      </c>
      <c r="E13" s="4">
        <v>2</v>
      </c>
      <c r="F13" s="4" t="s">
        <v>130</v>
      </c>
      <c r="G13" s="4">
        <v>0</v>
      </c>
      <c r="H13" s="4">
        <v>1</v>
      </c>
      <c r="I13" s="4">
        <v>10</v>
      </c>
      <c r="J13" s="4">
        <v>11</v>
      </c>
      <c r="K13" s="4">
        <v>3</v>
      </c>
      <c r="L13" s="4">
        <v>5</v>
      </c>
      <c r="M13" s="4">
        <v>12</v>
      </c>
      <c r="N13" s="4">
        <v>9</v>
      </c>
      <c r="O13" s="4">
        <v>4</v>
      </c>
      <c r="P13" s="4">
        <v>3</v>
      </c>
      <c r="Q13" s="84"/>
      <c r="W13" s="84"/>
    </row>
    <row r="14" spans="1:23" ht="27.9" customHeight="1" x14ac:dyDescent="0.3">
      <c r="A14" s="3">
        <v>45523</v>
      </c>
      <c r="B14" s="4" t="s">
        <v>155</v>
      </c>
      <c r="C14" s="4" t="s">
        <v>156</v>
      </c>
      <c r="D14" s="4">
        <v>1</v>
      </c>
      <c r="E14" s="4">
        <v>1</v>
      </c>
      <c r="F14" s="4" t="s">
        <v>125</v>
      </c>
      <c r="G14" s="4">
        <v>0</v>
      </c>
      <c r="H14" s="4">
        <v>1</v>
      </c>
      <c r="I14" s="4">
        <v>7</v>
      </c>
      <c r="J14" s="4">
        <v>15</v>
      </c>
      <c r="K14" s="4">
        <v>3</v>
      </c>
      <c r="L14" s="4">
        <v>7</v>
      </c>
      <c r="M14" s="4">
        <v>11</v>
      </c>
      <c r="N14" s="4">
        <v>12</v>
      </c>
      <c r="O14" s="4">
        <v>2</v>
      </c>
      <c r="P14" s="4">
        <v>13</v>
      </c>
      <c r="Q14" s="84"/>
      <c r="W14" s="84"/>
    </row>
    <row r="15" spans="1:23" ht="27.9" customHeight="1" x14ac:dyDescent="0.3">
      <c r="A15" s="3">
        <v>45528</v>
      </c>
      <c r="B15" s="4" t="s">
        <v>136</v>
      </c>
      <c r="C15" s="4" t="s">
        <v>122</v>
      </c>
      <c r="D15" s="4">
        <v>2</v>
      </c>
      <c r="E15" s="4">
        <v>1</v>
      </c>
      <c r="F15" s="4" t="s">
        <v>124</v>
      </c>
      <c r="G15" s="4">
        <v>1</v>
      </c>
      <c r="H15" s="4">
        <v>0</v>
      </c>
      <c r="I15" s="4">
        <v>14</v>
      </c>
      <c r="J15" s="4">
        <v>11</v>
      </c>
      <c r="K15" s="4">
        <v>5</v>
      </c>
      <c r="L15" s="4">
        <v>4</v>
      </c>
      <c r="M15" s="4">
        <v>9</v>
      </c>
      <c r="N15" s="4">
        <v>13</v>
      </c>
      <c r="O15" s="4">
        <v>4</v>
      </c>
      <c r="P15" s="4">
        <v>4</v>
      </c>
      <c r="Q15" s="84"/>
      <c r="W15" s="84"/>
    </row>
    <row r="16" spans="1:23" ht="27.9" customHeight="1" x14ac:dyDescent="0.3">
      <c r="A16" s="3">
        <v>45528</v>
      </c>
      <c r="B16" s="4" t="s">
        <v>149</v>
      </c>
      <c r="C16" s="4" t="s">
        <v>144</v>
      </c>
      <c r="D16" s="4">
        <v>0</v>
      </c>
      <c r="E16" s="4">
        <v>2</v>
      </c>
      <c r="F16" s="4" t="s">
        <v>130</v>
      </c>
      <c r="G16" s="4">
        <v>0</v>
      </c>
      <c r="H16" s="4">
        <v>0</v>
      </c>
      <c r="I16" s="4">
        <v>14</v>
      </c>
      <c r="J16" s="4">
        <v>18</v>
      </c>
      <c r="K16" s="4">
        <v>2</v>
      </c>
      <c r="L16" s="4">
        <v>3</v>
      </c>
      <c r="M16" s="4">
        <v>9</v>
      </c>
      <c r="N16" s="4">
        <v>17</v>
      </c>
      <c r="O16" s="4">
        <v>3</v>
      </c>
      <c r="P16" s="4">
        <v>3</v>
      </c>
      <c r="Q16" s="84"/>
      <c r="W16" s="84"/>
    </row>
    <row r="17" spans="1:23" ht="27.9" customHeight="1" x14ac:dyDescent="0.3">
      <c r="A17" s="3">
        <v>45528</v>
      </c>
      <c r="B17" s="4" t="s">
        <v>123</v>
      </c>
      <c r="C17" s="4" t="s">
        <v>155</v>
      </c>
      <c r="D17" s="4">
        <v>2</v>
      </c>
      <c r="E17" s="4">
        <v>1</v>
      </c>
      <c r="F17" s="4" t="s">
        <v>124</v>
      </c>
      <c r="G17" s="4">
        <v>1</v>
      </c>
      <c r="H17" s="4">
        <v>1</v>
      </c>
      <c r="I17" s="4">
        <v>18</v>
      </c>
      <c r="J17" s="4">
        <v>10</v>
      </c>
      <c r="K17" s="4">
        <v>6</v>
      </c>
      <c r="L17" s="4">
        <v>4</v>
      </c>
      <c r="M17" s="4">
        <v>14</v>
      </c>
      <c r="N17" s="4">
        <v>13</v>
      </c>
      <c r="O17" s="4">
        <v>7</v>
      </c>
      <c r="P17" s="4">
        <v>5</v>
      </c>
      <c r="Q17" s="84"/>
      <c r="W17" s="84"/>
    </row>
    <row r="18" spans="1:23" ht="27.9" customHeight="1" x14ac:dyDescent="0.3">
      <c r="A18" s="3">
        <v>45528</v>
      </c>
      <c r="B18" s="4" t="s">
        <v>152</v>
      </c>
      <c r="C18" s="4" t="s">
        <v>128</v>
      </c>
      <c r="D18" s="4">
        <v>4</v>
      </c>
      <c r="E18" s="4">
        <v>1</v>
      </c>
      <c r="F18" s="4" t="s">
        <v>124</v>
      </c>
      <c r="G18" s="4">
        <v>3</v>
      </c>
      <c r="H18" s="4">
        <v>1</v>
      </c>
      <c r="I18" s="4">
        <v>14</v>
      </c>
      <c r="J18" s="4">
        <v>1</v>
      </c>
      <c r="K18" s="4">
        <v>5</v>
      </c>
      <c r="L18" s="4">
        <v>1</v>
      </c>
      <c r="M18" s="4">
        <v>4</v>
      </c>
      <c r="N18" s="4">
        <v>15</v>
      </c>
      <c r="O18" s="4">
        <v>10</v>
      </c>
      <c r="P18" s="4">
        <v>1</v>
      </c>
      <c r="Q18" s="84"/>
      <c r="W18" s="84"/>
    </row>
    <row r="19" spans="1:23" ht="27.9" customHeight="1" x14ac:dyDescent="0.3">
      <c r="A19" s="3">
        <v>45528</v>
      </c>
      <c r="B19" s="4" t="s">
        <v>139</v>
      </c>
      <c r="C19" s="4" t="s">
        <v>141</v>
      </c>
      <c r="D19" s="4">
        <v>0</v>
      </c>
      <c r="E19" s="4">
        <v>1</v>
      </c>
      <c r="F19" s="4" t="s">
        <v>130</v>
      </c>
      <c r="G19" s="4">
        <v>0</v>
      </c>
      <c r="H19" s="4">
        <v>0</v>
      </c>
      <c r="I19" s="4">
        <v>5</v>
      </c>
      <c r="J19" s="4">
        <v>23</v>
      </c>
      <c r="K19" s="4">
        <v>1</v>
      </c>
      <c r="L19" s="4">
        <v>8</v>
      </c>
      <c r="M19" s="4">
        <v>14</v>
      </c>
      <c r="N19" s="4">
        <v>14</v>
      </c>
      <c r="O19" s="4">
        <v>4</v>
      </c>
      <c r="P19" s="4">
        <v>10</v>
      </c>
      <c r="Q19" s="84"/>
      <c r="W19" s="84"/>
    </row>
    <row r="20" spans="1:23" ht="27.9" customHeight="1" x14ac:dyDescent="0.3">
      <c r="A20" s="3">
        <v>45528</v>
      </c>
      <c r="B20" s="4" t="s">
        <v>156</v>
      </c>
      <c r="C20" s="4" t="s">
        <v>135</v>
      </c>
      <c r="D20" s="4">
        <v>4</v>
      </c>
      <c r="E20" s="4">
        <v>0</v>
      </c>
      <c r="F20" s="4" t="s">
        <v>124</v>
      </c>
      <c r="G20" s="4">
        <v>2</v>
      </c>
      <c r="H20" s="4">
        <v>0</v>
      </c>
      <c r="I20" s="4">
        <v>13</v>
      </c>
      <c r="J20" s="4">
        <v>10</v>
      </c>
      <c r="K20" s="4">
        <v>7</v>
      </c>
      <c r="L20" s="4">
        <v>1</v>
      </c>
      <c r="M20" s="4">
        <v>11</v>
      </c>
      <c r="N20" s="4">
        <v>15</v>
      </c>
      <c r="O20" s="4">
        <v>12</v>
      </c>
      <c r="P20" s="4">
        <v>5</v>
      </c>
      <c r="Q20" s="84"/>
      <c r="R20" s="84"/>
      <c r="S20" s="84"/>
      <c r="T20" s="84"/>
      <c r="U20" s="84"/>
      <c r="V20" s="84"/>
      <c r="W20" s="84"/>
    </row>
    <row r="21" spans="1:23" ht="27.9" customHeight="1" x14ac:dyDescent="0.3">
      <c r="A21" s="3">
        <v>45528</v>
      </c>
      <c r="B21" s="4" t="s">
        <v>145</v>
      </c>
      <c r="C21" s="4" t="s">
        <v>132</v>
      </c>
      <c r="D21" s="4">
        <v>0</v>
      </c>
      <c r="E21" s="4">
        <v>2</v>
      </c>
      <c r="F21" s="4" t="s">
        <v>130</v>
      </c>
      <c r="G21" s="4">
        <v>0</v>
      </c>
      <c r="H21" s="4">
        <v>0</v>
      </c>
      <c r="I21" s="4">
        <v>11</v>
      </c>
      <c r="J21" s="4">
        <v>9</v>
      </c>
      <c r="K21" s="4">
        <v>3</v>
      </c>
      <c r="L21" s="4">
        <v>4</v>
      </c>
      <c r="M21" s="4">
        <v>8</v>
      </c>
      <c r="N21" s="4">
        <v>15</v>
      </c>
      <c r="O21" s="4">
        <v>4</v>
      </c>
      <c r="P21" s="4">
        <v>1</v>
      </c>
    </row>
    <row r="22" spans="1:23" ht="27.9" customHeight="1" x14ac:dyDescent="0.3">
      <c r="A22" s="3">
        <v>45529</v>
      </c>
      <c r="B22" s="4" t="s">
        <v>142</v>
      </c>
      <c r="C22" s="4" t="s">
        <v>138</v>
      </c>
      <c r="D22" s="4">
        <v>1</v>
      </c>
      <c r="E22" s="4">
        <v>1</v>
      </c>
      <c r="F22" s="4" t="s">
        <v>125</v>
      </c>
      <c r="G22" s="4">
        <v>1</v>
      </c>
      <c r="H22" s="4">
        <v>0</v>
      </c>
      <c r="I22" s="4">
        <v>16</v>
      </c>
      <c r="J22" s="4">
        <v>14</v>
      </c>
      <c r="K22" s="4">
        <v>4</v>
      </c>
      <c r="L22" s="4">
        <v>5</v>
      </c>
      <c r="M22" s="4">
        <v>19</v>
      </c>
      <c r="N22" s="4">
        <v>8</v>
      </c>
      <c r="O22" s="4">
        <v>8</v>
      </c>
      <c r="P22" s="4">
        <v>9</v>
      </c>
    </row>
    <row r="23" spans="1:23" ht="27.9" customHeight="1" x14ac:dyDescent="0.3">
      <c r="A23" s="3">
        <v>45529</v>
      </c>
      <c r="B23" s="4" t="s">
        <v>133</v>
      </c>
      <c r="C23" s="4" t="s">
        <v>151</v>
      </c>
      <c r="D23" s="4">
        <v>2</v>
      </c>
      <c r="E23" s="4">
        <v>6</v>
      </c>
      <c r="F23" s="4" t="s">
        <v>130</v>
      </c>
      <c r="G23" s="4">
        <v>2</v>
      </c>
      <c r="H23" s="4">
        <v>2</v>
      </c>
      <c r="I23" s="4">
        <v>12</v>
      </c>
      <c r="J23" s="4">
        <v>14</v>
      </c>
      <c r="K23" s="4">
        <v>4</v>
      </c>
      <c r="L23" s="4">
        <v>8</v>
      </c>
      <c r="M23" s="4">
        <v>13</v>
      </c>
      <c r="N23" s="4">
        <v>13</v>
      </c>
      <c r="O23" s="4">
        <v>5</v>
      </c>
      <c r="P23" s="4">
        <v>5</v>
      </c>
    </row>
    <row r="24" spans="1:23" ht="27.9" customHeight="1" x14ac:dyDescent="0.3">
      <c r="A24" s="3">
        <v>45529</v>
      </c>
      <c r="B24" s="4" t="s">
        <v>129</v>
      </c>
      <c r="C24" s="4" t="s">
        <v>148</v>
      </c>
      <c r="D24" s="4">
        <v>2</v>
      </c>
      <c r="E24" s="4">
        <v>0</v>
      </c>
      <c r="F24" s="4" t="s">
        <v>124</v>
      </c>
      <c r="G24" s="4">
        <v>1</v>
      </c>
      <c r="H24" s="4">
        <v>0</v>
      </c>
      <c r="I24" s="4">
        <v>19</v>
      </c>
      <c r="J24" s="4">
        <v>8</v>
      </c>
      <c r="K24" s="4">
        <v>8</v>
      </c>
      <c r="L24" s="4">
        <v>2</v>
      </c>
      <c r="M24" s="4">
        <v>10</v>
      </c>
      <c r="N24" s="4">
        <v>7</v>
      </c>
      <c r="O24" s="4">
        <v>9</v>
      </c>
      <c r="P24" s="4">
        <v>4</v>
      </c>
    </row>
    <row r="25" spans="1:23" ht="27.9" customHeight="1" x14ac:dyDescent="0.3">
      <c r="A25" s="3">
        <v>45535</v>
      </c>
      <c r="B25" s="4" t="s">
        <v>132</v>
      </c>
      <c r="C25" s="4" t="s">
        <v>136</v>
      </c>
      <c r="D25" s="4">
        <v>1</v>
      </c>
      <c r="E25" s="4">
        <v>1</v>
      </c>
      <c r="F25" s="4" t="s">
        <v>125</v>
      </c>
      <c r="G25" s="4">
        <v>1</v>
      </c>
      <c r="H25" s="4">
        <v>0</v>
      </c>
      <c r="I25" s="4">
        <v>11</v>
      </c>
      <c r="J25" s="4">
        <v>22</v>
      </c>
      <c r="K25" s="4">
        <v>7</v>
      </c>
      <c r="L25" s="4">
        <v>4</v>
      </c>
      <c r="M25" s="4">
        <v>12</v>
      </c>
      <c r="N25" s="4">
        <v>7</v>
      </c>
      <c r="O25" s="4">
        <v>3</v>
      </c>
      <c r="P25" s="4">
        <v>7</v>
      </c>
    </row>
    <row r="26" spans="1:23" ht="27.9" customHeight="1" x14ac:dyDescent="0.3">
      <c r="A26" s="3">
        <v>45535</v>
      </c>
      <c r="B26" s="4" t="s">
        <v>148</v>
      </c>
      <c r="C26" s="4" t="s">
        <v>139</v>
      </c>
      <c r="D26" s="4">
        <v>3</v>
      </c>
      <c r="E26" s="4">
        <v>1</v>
      </c>
      <c r="F26" s="4" t="s">
        <v>124</v>
      </c>
      <c r="G26" s="4">
        <v>1</v>
      </c>
      <c r="H26" s="4">
        <v>0</v>
      </c>
      <c r="I26" s="4">
        <v>20</v>
      </c>
      <c r="J26" s="4">
        <v>18</v>
      </c>
      <c r="K26" s="4">
        <v>7</v>
      </c>
      <c r="L26" s="4">
        <v>6</v>
      </c>
      <c r="M26" s="4">
        <v>10</v>
      </c>
      <c r="N26" s="4">
        <v>7</v>
      </c>
      <c r="O26" s="4">
        <v>2</v>
      </c>
      <c r="P26" s="4">
        <v>8</v>
      </c>
    </row>
    <row r="27" spans="1:23" ht="27.9" customHeight="1" x14ac:dyDescent="0.3">
      <c r="A27" s="3">
        <v>45535</v>
      </c>
      <c r="B27" s="4" t="s">
        <v>135</v>
      </c>
      <c r="C27" s="4" t="s">
        <v>142</v>
      </c>
      <c r="D27" s="4">
        <v>2</v>
      </c>
      <c r="E27" s="4">
        <v>3</v>
      </c>
      <c r="F27" s="4" t="s">
        <v>130</v>
      </c>
      <c r="G27" s="4">
        <v>0</v>
      </c>
      <c r="H27" s="4">
        <v>0</v>
      </c>
      <c r="I27" s="4">
        <v>18</v>
      </c>
      <c r="J27" s="4">
        <v>17</v>
      </c>
      <c r="K27" s="4">
        <v>8</v>
      </c>
      <c r="L27" s="4">
        <v>7</v>
      </c>
      <c r="M27" s="4">
        <v>6</v>
      </c>
      <c r="N27" s="4">
        <v>1</v>
      </c>
      <c r="O27" s="4">
        <v>8</v>
      </c>
      <c r="P27" s="4">
        <v>4</v>
      </c>
    </row>
    <row r="28" spans="1:23" ht="27.9" customHeight="1" x14ac:dyDescent="0.3">
      <c r="A28" s="3">
        <v>45535</v>
      </c>
      <c r="B28" s="4" t="s">
        <v>128</v>
      </c>
      <c r="C28" s="4" t="s">
        <v>123</v>
      </c>
      <c r="D28" s="4">
        <v>1</v>
      </c>
      <c r="E28" s="4">
        <v>1</v>
      </c>
      <c r="F28" s="4" t="s">
        <v>125</v>
      </c>
      <c r="G28" s="4">
        <v>1</v>
      </c>
      <c r="H28" s="4">
        <v>1</v>
      </c>
      <c r="I28" s="4">
        <v>11</v>
      </c>
      <c r="J28" s="4">
        <v>9</v>
      </c>
      <c r="K28" s="4">
        <v>4</v>
      </c>
      <c r="L28" s="4">
        <v>4</v>
      </c>
      <c r="M28" s="4">
        <v>15</v>
      </c>
      <c r="N28" s="4">
        <v>15</v>
      </c>
      <c r="O28" s="4">
        <v>8</v>
      </c>
      <c r="P28" s="4">
        <v>6</v>
      </c>
    </row>
    <row r="29" spans="1:23" ht="27.9" customHeight="1" x14ac:dyDescent="0.3">
      <c r="A29" s="3">
        <v>45535</v>
      </c>
      <c r="B29" s="4" t="s">
        <v>155</v>
      </c>
      <c r="C29" s="4" t="s">
        <v>145</v>
      </c>
      <c r="D29" s="4">
        <v>1</v>
      </c>
      <c r="E29" s="4">
        <v>2</v>
      </c>
      <c r="F29" s="4" t="s">
        <v>130</v>
      </c>
      <c r="G29" s="4">
        <v>0</v>
      </c>
      <c r="H29" s="4">
        <v>1</v>
      </c>
      <c r="I29" s="4">
        <v>9</v>
      </c>
      <c r="J29" s="4">
        <v>10</v>
      </c>
      <c r="K29" s="4">
        <v>3</v>
      </c>
      <c r="L29" s="4">
        <v>5</v>
      </c>
      <c r="M29" s="4">
        <v>13</v>
      </c>
      <c r="N29" s="4">
        <v>21</v>
      </c>
      <c r="O29" s="4">
        <v>1</v>
      </c>
      <c r="P29" s="4">
        <v>4</v>
      </c>
    </row>
    <row r="30" spans="1:23" ht="27.9" customHeight="1" x14ac:dyDescent="0.3">
      <c r="A30" s="3">
        <v>45535</v>
      </c>
      <c r="B30" s="4" t="s">
        <v>141</v>
      </c>
      <c r="C30" s="4" t="s">
        <v>133</v>
      </c>
      <c r="D30" s="4">
        <v>1</v>
      </c>
      <c r="E30" s="4">
        <v>1</v>
      </c>
      <c r="F30" s="4" t="s">
        <v>125</v>
      </c>
      <c r="G30" s="4">
        <v>1</v>
      </c>
      <c r="H30" s="4">
        <v>1</v>
      </c>
      <c r="I30" s="4">
        <v>16</v>
      </c>
      <c r="J30" s="4">
        <v>11</v>
      </c>
      <c r="K30" s="4">
        <v>5</v>
      </c>
      <c r="L30" s="4">
        <v>3</v>
      </c>
      <c r="M30" s="4">
        <v>15</v>
      </c>
      <c r="N30" s="4">
        <v>18</v>
      </c>
      <c r="O30" s="4">
        <v>7</v>
      </c>
      <c r="P30" s="4">
        <v>3</v>
      </c>
    </row>
    <row r="31" spans="1:23" ht="27.9" customHeight="1" x14ac:dyDescent="0.3">
      <c r="A31" s="3">
        <v>45535</v>
      </c>
      <c r="B31" s="4" t="s">
        <v>144</v>
      </c>
      <c r="C31" s="4" t="s">
        <v>152</v>
      </c>
      <c r="D31" s="4">
        <v>1</v>
      </c>
      <c r="E31" s="4">
        <v>3</v>
      </c>
      <c r="F31" s="4" t="s">
        <v>130</v>
      </c>
      <c r="G31" s="4">
        <v>1</v>
      </c>
      <c r="H31" s="4">
        <v>2</v>
      </c>
      <c r="I31" s="4">
        <v>10</v>
      </c>
      <c r="J31" s="4">
        <v>23</v>
      </c>
      <c r="K31" s="4">
        <v>2</v>
      </c>
      <c r="L31" s="4">
        <v>8</v>
      </c>
      <c r="M31" s="4">
        <v>10</v>
      </c>
      <c r="N31" s="4">
        <v>3</v>
      </c>
      <c r="O31" s="4">
        <v>3</v>
      </c>
      <c r="P31" s="4">
        <v>11</v>
      </c>
    </row>
    <row r="32" spans="1:23" ht="27.9" customHeight="1" x14ac:dyDescent="0.3">
      <c r="A32" s="3">
        <v>45536</v>
      </c>
      <c r="B32" s="4" t="s">
        <v>151</v>
      </c>
      <c r="C32" s="4" t="s">
        <v>149</v>
      </c>
      <c r="D32" s="4">
        <v>1</v>
      </c>
      <c r="E32" s="4">
        <v>1</v>
      </c>
      <c r="F32" s="4" t="s">
        <v>125</v>
      </c>
      <c r="G32" s="4">
        <v>1</v>
      </c>
      <c r="H32" s="4">
        <v>0</v>
      </c>
      <c r="I32" s="4">
        <v>13</v>
      </c>
      <c r="J32" s="4">
        <v>9</v>
      </c>
      <c r="K32" s="4">
        <v>7</v>
      </c>
      <c r="L32" s="4">
        <v>3</v>
      </c>
      <c r="M32" s="4">
        <v>9</v>
      </c>
      <c r="N32" s="4">
        <v>13</v>
      </c>
      <c r="O32" s="4">
        <v>4</v>
      </c>
      <c r="P32" s="4">
        <v>5</v>
      </c>
    </row>
    <row r="33" spans="1:16" ht="27.9" customHeight="1" x14ac:dyDescent="0.3">
      <c r="A33" s="3">
        <v>45536</v>
      </c>
      <c r="B33" s="4" t="s">
        <v>138</v>
      </c>
      <c r="C33" s="4" t="s">
        <v>156</v>
      </c>
      <c r="D33" s="4">
        <v>2</v>
      </c>
      <c r="E33" s="4">
        <v>1</v>
      </c>
      <c r="F33" s="4" t="s">
        <v>124</v>
      </c>
      <c r="G33" s="4">
        <v>1</v>
      </c>
      <c r="H33" s="4">
        <v>0</v>
      </c>
      <c r="I33" s="4">
        <v>9</v>
      </c>
      <c r="J33" s="4">
        <v>20</v>
      </c>
      <c r="K33" s="4">
        <v>3</v>
      </c>
      <c r="L33" s="4">
        <v>6</v>
      </c>
      <c r="M33" s="4">
        <v>16</v>
      </c>
      <c r="N33" s="4">
        <v>13</v>
      </c>
      <c r="O33" s="4">
        <v>7</v>
      </c>
      <c r="P33" s="4">
        <v>12</v>
      </c>
    </row>
    <row r="34" spans="1:16" ht="27.9" customHeight="1" x14ac:dyDescent="0.3">
      <c r="A34" s="3">
        <v>45536</v>
      </c>
      <c r="B34" s="4" t="s">
        <v>122</v>
      </c>
      <c r="C34" s="4" t="s">
        <v>129</v>
      </c>
      <c r="D34" s="4">
        <v>0</v>
      </c>
      <c r="E34" s="4">
        <v>3</v>
      </c>
      <c r="F34" s="4" t="s">
        <v>130</v>
      </c>
      <c r="G34" s="4">
        <v>0</v>
      </c>
      <c r="H34" s="4">
        <v>2</v>
      </c>
      <c r="I34" s="4">
        <v>8</v>
      </c>
      <c r="J34" s="4">
        <v>11</v>
      </c>
      <c r="K34" s="4">
        <v>3</v>
      </c>
      <c r="L34" s="4">
        <v>3</v>
      </c>
      <c r="M34" s="4">
        <v>7</v>
      </c>
      <c r="N34" s="4">
        <v>7</v>
      </c>
      <c r="O34" s="4">
        <v>5</v>
      </c>
      <c r="P34" s="4">
        <v>2</v>
      </c>
    </row>
    <row r="35" spans="1:16" ht="27.9" customHeight="1" x14ac:dyDescent="0.3">
      <c r="A35" s="3">
        <v>45549</v>
      </c>
      <c r="B35" s="4" t="s">
        <v>139</v>
      </c>
      <c r="C35" s="4" t="s">
        <v>122</v>
      </c>
      <c r="D35" s="4">
        <v>0</v>
      </c>
      <c r="E35" s="4">
        <v>3</v>
      </c>
      <c r="F35" s="4" t="s">
        <v>130</v>
      </c>
      <c r="G35" s="4">
        <v>0</v>
      </c>
      <c r="H35" s="4">
        <v>2</v>
      </c>
      <c r="I35" s="4">
        <v>6</v>
      </c>
      <c r="J35" s="4">
        <v>20</v>
      </c>
      <c r="K35" s="4">
        <v>4</v>
      </c>
      <c r="L35" s="4">
        <v>10</v>
      </c>
      <c r="M35" s="4">
        <v>11</v>
      </c>
      <c r="N35" s="4">
        <v>14</v>
      </c>
      <c r="O35" s="4">
        <v>0</v>
      </c>
      <c r="P35" s="4">
        <v>7</v>
      </c>
    </row>
    <row r="36" spans="1:16" ht="27.9" customHeight="1" x14ac:dyDescent="0.3">
      <c r="A36" s="3">
        <v>45549</v>
      </c>
      <c r="B36" s="4" t="s">
        <v>136</v>
      </c>
      <c r="C36" s="4" t="s">
        <v>128</v>
      </c>
      <c r="D36" s="4">
        <v>0</v>
      </c>
      <c r="E36" s="4">
        <v>0</v>
      </c>
      <c r="F36" s="4" t="s">
        <v>125</v>
      </c>
      <c r="G36" s="4">
        <v>0</v>
      </c>
      <c r="H36" s="4">
        <v>0</v>
      </c>
      <c r="I36" s="4">
        <v>21</v>
      </c>
      <c r="J36" s="4">
        <v>6</v>
      </c>
      <c r="K36" s="4">
        <v>6</v>
      </c>
      <c r="L36" s="4">
        <v>1</v>
      </c>
      <c r="M36" s="4">
        <v>14</v>
      </c>
      <c r="N36" s="4">
        <v>16</v>
      </c>
      <c r="O36" s="4">
        <v>9</v>
      </c>
      <c r="P36" s="4">
        <v>2</v>
      </c>
    </row>
    <row r="37" spans="1:16" ht="27.9" customHeight="1" x14ac:dyDescent="0.3">
      <c r="A37" s="3">
        <v>45549</v>
      </c>
      <c r="B37" s="4" t="s">
        <v>149</v>
      </c>
      <c r="C37" s="4" t="s">
        <v>155</v>
      </c>
      <c r="D37" s="4">
        <v>2</v>
      </c>
      <c r="E37" s="4">
        <v>2</v>
      </c>
      <c r="F37" s="4" t="s">
        <v>125</v>
      </c>
      <c r="G37" s="4">
        <v>0</v>
      </c>
      <c r="H37" s="4">
        <v>1</v>
      </c>
      <c r="I37" s="4">
        <v>20</v>
      </c>
      <c r="J37" s="4">
        <v>9</v>
      </c>
      <c r="K37" s="4">
        <v>4</v>
      </c>
      <c r="L37" s="4">
        <v>4</v>
      </c>
      <c r="M37" s="4">
        <v>11</v>
      </c>
      <c r="N37" s="4">
        <v>15</v>
      </c>
      <c r="O37" s="4">
        <v>5</v>
      </c>
      <c r="P37" s="4">
        <v>2</v>
      </c>
    </row>
    <row r="38" spans="1:16" ht="27.9" customHeight="1" x14ac:dyDescent="0.3">
      <c r="A38" s="3">
        <v>45549</v>
      </c>
      <c r="B38" s="4" t="s">
        <v>123</v>
      </c>
      <c r="C38" s="4" t="s">
        <v>144</v>
      </c>
      <c r="D38" s="4">
        <v>1</v>
      </c>
      <c r="E38" s="4">
        <v>1</v>
      </c>
      <c r="F38" s="4" t="s">
        <v>125</v>
      </c>
      <c r="G38" s="4">
        <v>1</v>
      </c>
      <c r="H38" s="4">
        <v>0</v>
      </c>
      <c r="I38" s="4">
        <v>21</v>
      </c>
      <c r="J38" s="4">
        <v>11</v>
      </c>
      <c r="K38" s="4">
        <v>5</v>
      </c>
      <c r="L38" s="4">
        <v>3</v>
      </c>
      <c r="M38" s="4">
        <v>15</v>
      </c>
      <c r="N38" s="4">
        <v>18</v>
      </c>
      <c r="O38" s="4">
        <v>3</v>
      </c>
      <c r="P38" s="4">
        <v>2</v>
      </c>
    </row>
    <row r="39" spans="1:16" ht="27.9" customHeight="1" x14ac:dyDescent="0.3">
      <c r="A39" s="3">
        <v>45549</v>
      </c>
      <c r="B39" s="4" t="s">
        <v>129</v>
      </c>
      <c r="C39" s="4" t="s">
        <v>141</v>
      </c>
      <c r="D39" s="4">
        <v>0</v>
      </c>
      <c r="E39" s="4">
        <v>1</v>
      </c>
      <c r="F39" s="4" t="s">
        <v>130</v>
      </c>
      <c r="G39" s="4">
        <v>0</v>
      </c>
      <c r="H39" s="4">
        <v>0</v>
      </c>
      <c r="I39" s="4">
        <v>14</v>
      </c>
      <c r="J39" s="4">
        <v>5</v>
      </c>
      <c r="K39" s="4">
        <v>5</v>
      </c>
      <c r="L39" s="4">
        <v>3</v>
      </c>
      <c r="M39" s="4">
        <v>15</v>
      </c>
      <c r="N39" s="4">
        <v>6</v>
      </c>
      <c r="O39" s="4">
        <v>7</v>
      </c>
      <c r="P39" s="4">
        <v>2</v>
      </c>
    </row>
    <row r="40" spans="1:16" ht="27.9" customHeight="1" x14ac:dyDescent="0.3">
      <c r="A40" s="3">
        <v>45549</v>
      </c>
      <c r="B40" s="4" t="s">
        <v>152</v>
      </c>
      <c r="C40" s="4" t="s">
        <v>148</v>
      </c>
      <c r="D40" s="4">
        <v>2</v>
      </c>
      <c r="E40" s="4">
        <v>1</v>
      </c>
      <c r="F40" s="4" t="s">
        <v>124</v>
      </c>
      <c r="G40" s="4">
        <v>2</v>
      </c>
      <c r="H40" s="4">
        <v>1</v>
      </c>
      <c r="I40" s="4">
        <v>18</v>
      </c>
      <c r="J40" s="4">
        <v>8</v>
      </c>
      <c r="K40" s="4">
        <v>7</v>
      </c>
      <c r="L40" s="4">
        <v>5</v>
      </c>
      <c r="M40" s="4">
        <v>9</v>
      </c>
      <c r="N40" s="4">
        <v>3</v>
      </c>
      <c r="O40" s="4">
        <v>12</v>
      </c>
      <c r="P40" s="4">
        <v>3</v>
      </c>
    </row>
    <row r="41" spans="1:16" ht="27.9" customHeight="1" x14ac:dyDescent="0.3">
      <c r="A41" s="3">
        <v>45549</v>
      </c>
      <c r="B41" s="4" t="s">
        <v>145</v>
      </c>
      <c r="C41" s="4" t="s">
        <v>135</v>
      </c>
      <c r="D41" s="4">
        <v>3</v>
      </c>
      <c r="E41" s="4">
        <v>2</v>
      </c>
      <c r="F41" s="4" t="s">
        <v>124</v>
      </c>
      <c r="G41" s="4">
        <v>1</v>
      </c>
      <c r="H41" s="4">
        <v>2</v>
      </c>
      <c r="I41" s="4">
        <v>17</v>
      </c>
      <c r="J41" s="4">
        <v>6</v>
      </c>
      <c r="K41" s="4">
        <v>8</v>
      </c>
      <c r="L41" s="4">
        <v>2</v>
      </c>
      <c r="M41" s="4">
        <v>10</v>
      </c>
      <c r="N41" s="4">
        <v>12</v>
      </c>
      <c r="O41" s="4">
        <v>6</v>
      </c>
      <c r="P41" s="4">
        <v>2</v>
      </c>
    </row>
    <row r="42" spans="1:16" ht="27.9" customHeight="1" x14ac:dyDescent="0.3">
      <c r="A42" s="3">
        <v>45549</v>
      </c>
      <c r="B42" s="4" t="s">
        <v>142</v>
      </c>
      <c r="C42" s="4" t="s">
        <v>151</v>
      </c>
      <c r="D42" s="4">
        <v>0</v>
      </c>
      <c r="E42" s="4">
        <v>1</v>
      </c>
      <c r="F42" s="4" t="s">
        <v>130</v>
      </c>
      <c r="G42" s="4">
        <v>0</v>
      </c>
      <c r="H42" s="4">
        <v>0</v>
      </c>
      <c r="I42" s="4">
        <v>19</v>
      </c>
      <c r="J42" s="4">
        <v>10</v>
      </c>
      <c r="K42" s="4">
        <v>7</v>
      </c>
      <c r="L42" s="4">
        <v>3</v>
      </c>
      <c r="M42" s="4">
        <v>16</v>
      </c>
      <c r="N42" s="4">
        <v>9</v>
      </c>
      <c r="O42" s="4">
        <v>6</v>
      </c>
      <c r="P42" s="4">
        <v>3</v>
      </c>
    </row>
    <row r="43" spans="1:16" ht="27.9" customHeight="1" x14ac:dyDescent="0.3">
      <c r="A43" s="3">
        <v>45550</v>
      </c>
      <c r="B43" s="4" t="s">
        <v>156</v>
      </c>
      <c r="C43" s="4" t="s">
        <v>132</v>
      </c>
      <c r="D43" s="4">
        <v>0</v>
      </c>
      <c r="E43" s="4">
        <v>1</v>
      </c>
      <c r="F43" s="4" t="s">
        <v>130</v>
      </c>
      <c r="G43" s="4">
        <v>0</v>
      </c>
      <c r="H43" s="4">
        <v>0</v>
      </c>
      <c r="I43" s="4">
        <v>15</v>
      </c>
      <c r="J43" s="4">
        <v>7</v>
      </c>
      <c r="K43" s="4">
        <v>5</v>
      </c>
      <c r="L43" s="4">
        <v>4</v>
      </c>
      <c r="M43" s="4">
        <v>13</v>
      </c>
      <c r="N43" s="4">
        <v>10</v>
      </c>
      <c r="O43" s="4">
        <v>7</v>
      </c>
      <c r="P43" s="4">
        <v>6</v>
      </c>
    </row>
    <row r="44" spans="1:16" ht="27.9" customHeight="1" x14ac:dyDescent="0.3">
      <c r="A44" s="3">
        <v>45550</v>
      </c>
      <c r="B44" s="4" t="s">
        <v>133</v>
      </c>
      <c r="C44" s="4" t="s">
        <v>138</v>
      </c>
      <c r="D44" s="4">
        <v>1</v>
      </c>
      <c r="E44" s="4">
        <v>2</v>
      </c>
      <c r="F44" s="4" t="s">
        <v>130</v>
      </c>
      <c r="G44" s="4">
        <v>1</v>
      </c>
      <c r="H44" s="4">
        <v>0</v>
      </c>
      <c r="I44" s="4">
        <v>12</v>
      </c>
      <c r="J44" s="4">
        <v>14</v>
      </c>
      <c r="K44" s="4">
        <v>5</v>
      </c>
      <c r="L44" s="4">
        <v>6</v>
      </c>
      <c r="M44" s="4">
        <v>17</v>
      </c>
      <c r="N44" s="4">
        <v>6</v>
      </c>
      <c r="O44" s="4">
        <v>4</v>
      </c>
      <c r="P44" s="4">
        <v>7</v>
      </c>
    </row>
    <row r="45" spans="1:16" ht="27.9" customHeight="1" x14ac:dyDescent="0.3">
      <c r="A45" s="3">
        <v>45556</v>
      </c>
      <c r="B45" s="4" t="s">
        <v>144</v>
      </c>
      <c r="C45" s="4" t="s">
        <v>151</v>
      </c>
      <c r="D45" s="4">
        <v>0</v>
      </c>
      <c r="E45" s="4">
        <v>3</v>
      </c>
      <c r="F45" s="4" t="s">
        <v>130</v>
      </c>
      <c r="G45" s="4">
        <v>0</v>
      </c>
      <c r="H45" s="4">
        <v>2</v>
      </c>
      <c r="I45" s="4">
        <v>15</v>
      </c>
      <c r="J45" s="4">
        <v>12</v>
      </c>
      <c r="K45" s="4">
        <v>7</v>
      </c>
      <c r="L45" s="4">
        <v>5</v>
      </c>
      <c r="M45" s="4">
        <v>17</v>
      </c>
      <c r="N45" s="4">
        <v>9</v>
      </c>
      <c r="O45" s="4">
        <v>6</v>
      </c>
      <c r="P45" s="4">
        <v>5</v>
      </c>
    </row>
    <row r="46" spans="1:16" ht="27.9" customHeight="1" x14ac:dyDescent="0.3">
      <c r="A46" s="3">
        <v>45556</v>
      </c>
      <c r="B46" s="4" t="s">
        <v>145</v>
      </c>
      <c r="C46" s="4" t="s">
        <v>133</v>
      </c>
      <c r="D46" s="4">
        <v>3</v>
      </c>
      <c r="E46" s="4">
        <v>1</v>
      </c>
      <c r="F46" s="4" t="s">
        <v>124</v>
      </c>
      <c r="G46" s="4">
        <v>0</v>
      </c>
      <c r="H46" s="4">
        <v>1</v>
      </c>
      <c r="I46" s="4">
        <v>9</v>
      </c>
      <c r="J46" s="4">
        <v>10</v>
      </c>
      <c r="K46" s="4">
        <v>4</v>
      </c>
      <c r="L46" s="4">
        <v>4</v>
      </c>
      <c r="M46" s="4">
        <v>11</v>
      </c>
      <c r="N46" s="4">
        <v>16</v>
      </c>
      <c r="O46" s="4">
        <v>6</v>
      </c>
      <c r="P46" s="4">
        <v>5</v>
      </c>
    </row>
    <row r="47" spans="1:16" ht="27.9" customHeight="1" x14ac:dyDescent="0.3">
      <c r="A47" s="3">
        <v>45556</v>
      </c>
      <c r="B47" s="4" t="s">
        <v>123</v>
      </c>
      <c r="C47" s="4" t="s">
        <v>138</v>
      </c>
      <c r="D47" s="4">
        <v>3</v>
      </c>
      <c r="E47" s="4">
        <v>1</v>
      </c>
      <c r="F47" s="4" t="s">
        <v>124</v>
      </c>
      <c r="G47" s="4">
        <v>2</v>
      </c>
      <c r="H47" s="4">
        <v>0</v>
      </c>
      <c r="I47" s="4">
        <v>22</v>
      </c>
      <c r="J47" s="4">
        <v>15</v>
      </c>
      <c r="K47" s="4">
        <v>11</v>
      </c>
      <c r="L47" s="4">
        <v>4</v>
      </c>
      <c r="M47" s="4">
        <v>16</v>
      </c>
      <c r="N47" s="4">
        <v>8</v>
      </c>
      <c r="O47" s="4">
        <v>6</v>
      </c>
      <c r="P47" s="4">
        <v>0</v>
      </c>
    </row>
    <row r="48" spans="1:16" ht="27.9" customHeight="1" x14ac:dyDescent="0.3">
      <c r="A48" s="3">
        <v>45556</v>
      </c>
      <c r="B48" s="4" t="s">
        <v>155</v>
      </c>
      <c r="C48" s="4" t="s">
        <v>135</v>
      </c>
      <c r="D48" s="4">
        <v>1</v>
      </c>
      <c r="E48" s="4">
        <v>1</v>
      </c>
      <c r="F48" s="4" t="s">
        <v>125</v>
      </c>
      <c r="G48" s="4">
        <v>0</v>
      </c>
      <c r="H48" s="4">
        <v>1</v>
      </c>
      <c r="I48" s="4">
        <v>12</v>
      </c>
      <c r="J48" s="4">
        <v>16</v>
      </c>
      <c r="K48" s="4">
        <v>2</v>
      </c>
      <c r="L48" s="4">
        <v>5</v>
      </c>
      <c r="M48" s="4">
        <v>11</v>
      </c>
      <c r="N48" s="4">
        <v>12</v>
      </c>
      <c r="O48" s="4">
        <v>6</v>
      </c>
      <c r="P48" s="4">
        <v>1</v>
      </c>
    </row>
    <row r="49" spans="1:16" ht="27.9" customHeight="1" x14ac:dyDescent="0.3">
      <c r="A49" s="3">
        <v>45556</v>
      </c>
      <c r="B49" s="4" t="s">
        <v>129</v>
      </c>
      <c r="C49" s="4" t="s">
        <v>142</v>
      </c>
      <c r="D49" s="4">
        <v>3</v>
      </c>
      <c r="E49" s="4">
        <v>0</v>
      </c>
      <c r="F49" s="4" t="s">
        <v>124</v>
      </c>
      <c r="G49" s="4">
        <v>3</v>
      </c>
      <c r="H49" s="4">
        <v>0</v>
      </c>
      <c r="I49" s="4">
        <v>19</v>
      </c>
      <c r="J49" s="4">
        <v>19</v>
      </c>
      <c r="K49" s="4">
        <v>13</v>
      </c>
      <c r="L49" s="4">
        <v>6</v>
      </c>
      <c r="M49" s="4">
        <v>10</v>
      </c>
      <c r="N49" s="4">
        <v>12</v>
      </c>
      <c r="O49" s="4">
        <v>3</v>
      </c>
      <c r="P49" s="4">
        <v>9</v>
      </c>
    </row>
    <row r="50" spans="1:16" ht="27.9" customHeight="1" x14ac:dyDescent="0.3">
      <c r="A50" s="3">
        <v>45556</v>
      </c>
      <c r="B50" s="4" t="s">
        <v>139</v>
      </c>
      <c r="C50" s="4" t="s">
        <v>128</v>
      </c>
      <c r="D50" s="4">
        <v>1</v>
      </c>
      <c r="E50" s="4">
        <v>1</v>
      </c>
      <c r="F50" s="4" t="s">
        <v>125</v>
      </c>
      <c r="G50" s="4">
        <v>1</v>
      </c>
      <c r="H50" s="4">
        <v>0</v>
      </c>
      <c r="I50" s="4">
        <v>11</v>
      </c>
      <c r="J50" s="4">
        <v>13</v>
      </c>
      <c r="K50" s="4">
        <v>3</v>
      </c>
      <c r="L50" s="4">
        <v>6</v>
      </c>
      <c r="M50" s="4">
        <v>16</v>
      </c>
      <c r="N50" s="4">
        <v>16</v>
      </c>
      <c r="O50" s="4">
        <v>2</v>
      </c>
      <c r="P50" s="4">
        <v>10</v>
      </c>
    </row>
    <row r="51" spans="1:16" ht="27.9" customHeight="1" x14ac:dyDescent="0.3">
      <c r="A51" s="3">
        <v>45556</v>
      </c>
      <c r="B51" s="4" t="s">
        <v>156</v>
      </c>
      <c r="C51" s="4" t="s">
        <v>148</v>
      </c>
      <c r="D51" s="4">
        <v>3</v>
      </c>
      <c r="E51" s="4">
        <v>1</v>
      </c>
      <c r="F51" s="4" t="s">
        <v>124</v>
      </c>
      <c r="G51" s="4">
        <v>2</v>
      </c>
      <c r="H51" s="4">
        <v>1</v>
      </c>
      <c r="I51" s="4">
        <v>23</v>
      </c>
      <c r="J51" s="4">
        <v>6</v>
      </c>
      <c r="K51" s="4">
        <v>10</v>
      </c>
      <c r="L51" s="4">
        <v>6</v>
      </c>
      <c r="M51" s="4">
        <v>11</v>
      </c>
      <c r="N51" s="4">
        <v>9</v>
      </c>
      <c r="O51" s="4">
        <v>9</v>
      </c>
      <c r="P51" s="4">
        <v>4</v>
      </c>
    </row>
    <row r="52" spans="1:16" ht="27.9" customHeight="1" x14ac:dyDescent="0.3">
      <c r="A52" s="3">
        <v>45556</v>
      </c>
      <c r="B52" s="4" t="s">
        <v>149</v>
      </c>
      <c r="C52" s="4" t="s">
        <v>122</v>
      </c>
      <c r="D52" s="4">
        <v>0</v>
      </c>
      <c r="E52" s="4">
        <v>0</v>
      </c>
      <c r="F52" s="4" t="s">
        <v>125</v>
      </c>
      <c r="G52" s="4">
        <v>0</v>
      </c>
      <c r="H52" s="4">
        <v>0</v>
      </c>
      <c r="I52" s="4">
        <v>9</v>
      </c>
      <c r="J52" s="4">
        <v>15</v>
      </c>
      <c r="K52" s="4">
        <v>4</v>
      </c>
      <c r="L52" s="4">
        <v>6</v>
      </c>
      <c r="M52" s="4">
        <v>7</v>
      </c>
      <c r="N52" s="4">
        <v>12</v>
      </c>
      <c r="O52" s="4">
        <v>4</v>
      </c>
      <c r="P52" s="4">
        <v>11</v>
      </c>
    </row>
    <row r="53" spans="1:16" ht="27.9" customHeight="1" x14ac:dyDescent="0.3">
      <c r="A53" s="3">
        <v>45557</v>
      </c>
      <c r="B53" s="4" t="s">
        <v>136</v>
      </c>
      <c r="C53" s="4" t="s">
        <v>141</v>
      </c>
      <c r="D53" s="4">
        <v>2</v>
      </c>
      <c r="E53" s="4">
        <v>2</v>
      </c>
      <c r="F53" s="4" t="s">
        <v>125</v>
      </c>
      <c r="G53" s="4">
        <v>2</v>
      </c>
      <c r="H53" s="4">
        <v>1</v>
      </c>
      <c r="I53" s="4">
        <v>14</v>
      </c>
      <c r="J53" s="4">
        <v>4</v>
      </c>
      <c r="K53" s="4">
        <v>3</v>
      </c>
      <c r="L53" s="4">
        <v>3</v>
      </c>
      <c r="M53" s="4">
        <v>12</v>
      </c>
      <c r="N53" s="4">
        <v>11</v>
      </c>
      <c r="O53" s="4">
        <v>9</v>
      </c>
      <c r="P53" s="4">
        <v>1</v>
      </c>
    </row>
    <row r="54" spans="1:16" ht="27.9" customHeight="1" x14ac:dyDescent="0.3">
      <c r="A54" s="3">
        <v>45557</v>
      </c>
      <c r="B54" s="4" t="s">
        <v>152</v>
      </c>
      <c r="C54" s="4" t="s">
        <v>132</v>
      </c>
      <c r="D54" s="4">
        <v>2</v>
      </c>
      <c r="E54" s="4">
        <v>2</v>
      </c>
      <c r="F54" s="4" t="s">
        <v>125</v>
      </c>
      <c r="G54" s="4">
        <v>1</v>
      </c>
      <c r="H54" s="4">
        <v>2</v>
      </c>
      <c r="I54" s="4">
        <v>33</v>
      </c>
      <c r="J54" s="4">
        <v>5</v>
      </c>
      <c r="K54" s="4">
        <v>11</v>
      </c>
      <c r="L54" s="4">
        <v>3</v>
      </c>
      <c r="M54" s="4">
        <v>7</v>
      </c>
      <c r="N54" s="4">
        <v>10</v>
      </c>
      <c r="O54" s="4">
        <v>8</v>
      </c>
      <c r="P54" s="4">
        <v>2</v>
      </c>
    </row>
    <row r="55" spans="1:16" ht="27.9" customHeight="1" x14ac:dyDescent="0.3">
      <c r="A55" s="3">
        <v>45563</v>
      </c>
      <c r="B55" s="4" t="s">
        <v>138</v>
      </c>
      <c r="C55" s="4" t="s">
        <v>152</v>
      </c>
      <c r="D55" s="4">
        <v>1</v>
      </c>
      <c r="E55" s="4">
        <v>1</v>
      </c>
      <c r="F55" s="4" t="s">
        <v>125</v>
      </c>
      <c r="G55" s="4">
        <v>0</v>
      </c>
      <c r="H55" s="4">
        <v>1</v>
      </c>
      <c r="I55" s="4">
        <v>11</v>
      </c>
      <c r="J55" s="4">
        <v>16</v>
      </c>
      <c r="K55" s="4">
        <v>4</v>
      </c>
      <c r="L55" s="4">
        <v>6</v>
      </c>
      <c r="M55" s="4">
        <v>14</v>
      </c>
      <c r="N55" s="4">
        <v>10</v>
      </c>
      <c r="O55" s="4">
        <v>5</v>
      </c>
      <c r="P55" s="4">
        <v>6</v>
      </c>
    </row>
    <row r="56" spans="1:16" ht="27.9" customHeight="1" x14ac:dyDescent="0.3">
      <c r="A56" s="3">
        <v>45563</v>
      </c>
      <c r="B56" s="4" t="s">
        <v>132</v>
      </c>
      <c r="C56" s="4" t="s">
        <v>155</v>
      </c>
      <c r="D56" s="4">
        <v>4</v>
      </c>
      <c r="E56" s="4">
        <v>2</v>
      </c>
      <c r="F56" s="4" t="s">
        <v>124</v>
      </c>
      <c r="G56" s="4">
        <v>2</v>
      </c>
      <c r="H56" s="4">
        <v>0</v>
      </c>
      <c r="I56" s="4">
        <v>36</v>
      </c>
      <c r="J56" s="4">
        <v>5</v>
      </c>
      <c r="K56" s="4">
        <v>16</v>
      </c>
      <c r="L56" s="4">
        <v>3</v>
      </c>
      <c r="M56" s="4">
        <v>11</v>
      </c>
      <c r="N56" s="4">
        <v>6</v>
      </c>
      <c r="O56" s="4">
        <v>17</v>
      </c>
      <c r="P56" s="4">
        <v>0</v>
      </c>
    </row>
    <row r="57" spans="1:16" ht="27.9" customHeight="1" x14ac:dyDescent="0.3">
      <c r="A57" s="3">
        <v>45563</v>
      </c>
      <c r="B57" s="4" t="s">
        <v>148</v>
      </c>
      <c r="C57" s="4" t="s">
        <v>144</v>
      </c>
      <c r="D57" s="4">
        <v>1</v>
      </c>
      <c r="E57" s="4">
        <v>1</v>
      </c>
      <c r="F57" s="4" t="s">
        <v>125</v>
      </c>
      <c r="G57" s="4">
        <v>1</v>
      </c>
      <c r="H57" s="4">
        <v>0</v>
      </c>
      <c r="I57" s="4">
        <v>8</v>
      </c>
      <c r="J57" s="4">
        <v>19</v>
      </c>
      <c r="K57" s="4">
        <v>3</v>
      </c>
      <c r="L57" s="4">
        <v>3</v>
      </c>
      <c r="M57" s="4">
        <v>2</v>
      </c>
      <c r="N57" s="4">
        <v>11</v>
      </c>
      <c r="O57" s="4">
        <v>7</v>
      </c>
      <c r="P57" s="4">
        <v>7</v>
      </c>
    </row>
    <row r="58" spans="1:16" ht="27.9" customHeight="1" x14ac:dyDescent="0.3">
      <c r="A58" s="3">
        <v>45563</v>
      </c>
      <c r="B58" s="4" t="s">
        <v>151</v>
      </c>
      <c r="C58" s="4" t="s">
        <v>136</v>
      </c>
      <c r="D58" s="4">
        <v>4</v>
      </c>
      <c r="E58" s="4">
        <v>2</v>
      </c>
      <c r="F58" s="4" t="s">
        <v>124</v>
      </c>
      <c r="G58" s="4">
        <v>4</v>
      </c>
      <c r="H58" s="4">
        <v>2</v>
      </c>
      <c r="I58" s="4">
        <v>15</v>
      </c>
      <c r="J58" s="4">
        <v>15</v>
      </c>
      <c r="K58" s="4">
        <v>7</v>
      </c>
      <c r="L58" s="4">
        <v>5</v>
      </c>
      <c r="M58" s="4">
        <v>11</v>
      </c>
      <c r="N58" s="4">
        <v>8</v>
      </c>
      <c r="O58" s="4">
        <v>8</v>
      </c>
      <c r="P58" s="4">
        <v>2</v>
      </c>
    </row>
    <row r="59" spans="1:16" ht="27.9" customHeight="1" x14ac:dyDescent="0.3">
      <c r="A59" s="3">
        <v>45563</v>
      </c>
      <c r="B59" s="4" t="s">
        <v>135</v>
      </c>
      <c r="C59" s="4" t="s">
        <v>149</v>
      </c>
      <c r="D59" s="4">
        <v>2</v>
      </c>
      <c r="E59" s="4">
        <v>1</v>
      </c>
      <c r="F59" s="4" t="s">
        <v>124</v>
      </c>
      <c r="G59" s="4">
        <v>0</v>
      </c>
      <c r="H59" s="4">
        <v>1</v>
      </c>
      <c r="I59" s="4">
        <v>8</v>
      </c>
      <c r="J59" s="4">
        <v>17</v>
      </c>
      <c r="K59" s="4">
        <v>2</v>
      </c>
      <c r="L59" s="4">
        <v>5</v>
      </c>
      <c r="M59" s="4">
        <v>13</v>
      </c>
      <c r="N59" s="4">
        <v>11</v>
      </c>
      <c r="O59" s="4">
        <v>5</v>
      </c>
      <c r="P59" s="4">
        <v>8</v>
      </c>
    </row>
    <row r="60" spans="1:16" ht="27.9" customHeight="1" x14ac:dyDescent="0.3">
      <c r="A60" s="3">
        <v>45563</v>
      </c>
      <c r="B60" s="4" t="s">
        <v>141</v>
      </c>
      <c r="C60" s="4" t="s">
        <v>123</v>
      </c>
      <c r="D60" s="4">
        <v>0</v>
      </c>
      <c r="E60" s="4">
        <v>1</v>
      </c>
      <c r="F60" s="4" t="s">
        <v>130</v>
      </c>
      <c r="G60" s="4">
        <v>0</v>
      </c>
      <c r="H60" s="4">
        <v>0</v>
      </c>
      <c r="I60" s="4">
        <v>11</v>
      </c>
      <c r="J60" s="4">
        <v>14</v>
      </c>
      <c r="K60" s="4">
        <v>1</v>
      </c>
      <c r="L60" s="4">
        <v>2</v>
      </c>
      <c r="M60" s="4">
        <v>11</v>
      </c>
      <c r="N60" s="4">
        <v>15</v>
      </c>
      <c r="O60" s="4">
        <v>6</v>
      </c>
      <c r="P60" s="4">
        <v>5</v>
      </c>
    </row>
    <row r="61" spans="1:16" ht="27.9" customHeight="1" x14ac:dyDescent="0.3">
      <c r="A61" s="3">
        <v>45563</v>
      </c>
      <c r="B61" s="4" t="s">
        <v>133</v>
      </c>
      <c r="C61" s="4" t="s">
        <v>129</v>
      </c>
      <c r="D61" s="4">
        <v>1</v>
      </c>
      <c r="E61" s="4">
        <v>2</v>
      </c>
      <c r="F61" s="4" t="s">
        <v>130</v>
      </c>
      <c r="G61" s="4">
        <v>0</v>
      </c>
      <c r="H61" s="4">
        <v>1</v>
      </c>
      <c r="I61" s="4">
        <v>8</v>
      </c>
      <c r="J61" s="4">
        <v>10</v>
      </c>
      <c r="K61" s="4">
        <v>3</v>
      </c>
      <c r="L61" s="4">
        <v>6</v>
      </c>
      <c r="M61" s="4">
        <v>16</v>
      </c>
      <c r="N61" s="4">
        <v>8</v>
      </c>
      <c r="O61" s="4">
        <v>2</v>
      </c>
      <c r="P61" s="4">
        <v>10</v>
      </c>
    </row>
    <row r="62" spans="1:16" ht="27.9" customHeight="1" x14ac:dyDescent="0.3">
      <c r="A62" s="3">
        <v>45564</v>
      </c>
      <c r="B62" s="4" t="s">
        <v>128</v>
      </c>
      <c r="C62" s="4" t="s">
        <v>145</v>
      </c>
      <c r="D62" s="4">
        <v>2</v>
      </c>
      <c r="E62" s="4">
        <v>2</v>
      </c>
      <c r="F62" s="4" t="s">
        <v>125</v>
      </c>
      <c r="G62" s="4">
        <v>1</v>
      </c>
      <c r="H62" s="4">
        <v>2</v>
      </c>
      <c r="I62" s="4">
        <v>15</v>
      </c>
      <c r="J62" s="4">
        <v>7</v>
      </c>
      <c r="K62" s="4">
        <v>5</v>
      </c>
      <c r="L62" s="4">
        <v>3</v>
      </c>
      <c r="M62" s="4">
        <v>10</v>
      </c>
      <c r="N62" s="4">
        <v>14</v>
      </c>
      <c r="O62" s="4">
        <v>10</v>
      </c>
      <c r="P62" s="4">
        <v>0</v>
      </c>
    </row>
    <row r="63" spans="1:16" ht="27.9" customHeight="1" x14ac:dyDescent="0.3">
      <c r="A63" s="3">
        <v>45564</v>
      </c>
      <c r="B63" s="4" t="s">
        <v>122</v>
      </c>
      <c r="C63" s="4" t="s">
        <v>156</v>
      </c>
      <c r="D63" s="4">
        <v>0</v>
      </c>
      <c r="E63" s="4">
        <v>3</v>
      </c>
      <c r="F63" s="4" t="s">
        <v>130</v>
      </c>
      <c r="G63" s="4">
        <v>0</v>
      </c>
      <c r="H63" s="4">
        <v>1</v>
      </c>
      <c r="I63" s="4">
        <v>11</v>
      </c>
      <c r="J63" s="4">
        <v>24</v>
      </c>
      <c r="K63" s="4">
        <v>2</v>
      </c>
      <c r="L63" s="4">
        <v>10</v>
      </c>
      <c r="M63" s="4">
        <v>16</v>
      </c>
      <c r="N63" s="4">
        <v>14</v>
      </c>
      <c r="O63" s="4">
        <v>5</v>
      </c>
      <c r="P63" s="4">
        <v>3</v>
      </c>
    </row>
    <row r="64" spans="1:16" ht="27.9" customHeight="1" x14ac:dyDescent="0.3">
      <c r="A64" s="3">
        <v>45565</v>
      </c>
      <c r="B64" s="4" t="s">
        <v>142</v>
      </c>
      <c r="C64" s="4" t="s">
        <v>139</v>
      </c>
      <c r="D64" s="4">
        <v>3</v>
      </c>
      <c r="E64" s="4">
        <v>1</v>
      </c>
      <c r="F64" s="4" t="s">
        <v>124</v>
      </c>
      <c r="G64" s="4">
        <v>3</v>
      </c>
      <c r="H64" s="4">
        <v>0</v>
      </c>
      <c r="I64" s="4">
        <v>14</v>
      </c>
      <c r="J64" s="4">
        <v>9</v>
      </c>
      <c r="K64" s="4">
        <v>6</v>
      </c>
      <c r="L64" s="4">
        <v>3</v>
      </c>
      <c r="M64" s="4">
        <v>19</v>
      </c>
      <c r="N64" s="4">
        <v>12</v>
      </c>
      <c r="O64" s="4">
        <v>7</v>
      </c>
      <c r="P64" s="4">
        <v>4</v>
      </c>
    </row>
    <row r="65" spans="1:16" ht="27.9" customHeight="1" x14ac:dyDescent="0.3">
      <c r="A65" s="3">
        <v>45570</v>
      </c>
      <c r="B65" s="4" t="s">
        <v>149</v>
      </c>
      <c r="C65" s="4" t="s">
        <v>129</v>
      </c>
      <c r="D65" s="4">
        <v>0</v>
      </c>
      <c r="E65" s="4">
        <v>1</v>
      </c>
      <c r="F65" s="4" t="s">
        <v>130</v>
      </c>
      <c r="G65" s="4">
        <v>0</v>
      </c>
      <c r="H65" s="4">
        <v>1</v>
      </c>
      <c r="I65" s="4">
        <v>9</v>
      </c>
      <c r="J65" s="4">
        <v>16</v>
      </c>
      <c r="K65" s="4">
        <v>5</v>
      </c>
      <c r="L65" s="4">
        <v>4</v>
      </c>
      <c r="M65" s="4">
        <v>7</v>
      </c>
      <c r="N65" s="4">
        <v>15</v>
      </c>
      <c r="O65" s="4">
        <v>3</v>
      </c>
      <c r="P65" s="4">
        <v>8</v>
      </c>
    </row>
    <row r="66" spans="1:16" ht="27.9" customHeight="1" x14ac:dyDescent="0.3">
      <c r="A66" s="3">
        <v>45570</v>
      </c>
      <c r="B66" s="4" t="s">
        <v>132</v>
      </c>
      <c r="C66" s="4" t="s">
        <v>139</v>
      </c>
      <c r="D66" s="4">
        <v>3</v>
      </c>
      <c r="E66" s="4">
        <v>1</v>
      </c>
      <c r="F66" s="4" t="s">
        <v>124</v>
      </c>
      <c r="G66" s="4">
        <v>0</v>
      </c>
      <c r="H66" s="4">
        <v>0</v>
      </c>
      <c r="I66" s="4">
        <v>29</v>
      </c>
      <c r="J66" s="4">
        <v>8</v>
      </c>
      <c r="K66" s="4">
        <v>6</v>
      </c>
      <c r="L66" s="4">
        <v>2</v>
      </c>
      <c r="M66" s="4">
        <v>10</v>
      </c>
      <c r="N66" s="4">
        <v>9</v>
      </c>
      <c r="O66" s="4">
        <v>13</v>
      </c>
      <c r="P66" s="4">
        <v>1</v>
      </c>
    </row>
    <row r="67" spans="1:16" ht="27.9" customHeight="1" x14ac:dyDescent="0.3">
      <c r="A67" s="3">
        <v>45570</v>
      </c>
      <c r="B67" s="4" t="s">
        <v>148</v>
      </c>
      <c r="C67" s="4" t="s">
        <v>133</v>
      </c>
      <c r="D67" s="4">
        <v>5</v>
      </c>
      <c r="E67" s="4">
        <v>3</v>
      </c>
      <c r="F67" s="4" t="s">
        <v>124</v>
      </c>
      <c r="G67" s="4">
        <v>4</v>
      </c>
      <c r="H67" s="4">
        <v>2</v>
      </c>
      <c r="I67" s="4">
        <v>19</v>
      </c>
      <c r="J67" s="4">
        <v>17</v>
      </c>
      <c r="K67" s="4">
        <v>12</v>
      </c>
      <c r="L67" s="4">
        <v>6</v>
      </c>
      <c r="M67" s="4">
        <v>9</v>
      </c>
      <c r="N67" s="4">
        <v>10</v>
      </c>
      <c r="O67" s="4">
        <v>10</v>
      </c>
      <c r="P67" s="4">
        <v>3</v>
      </c>
    </row>
    <row r="68" spans="1:16" ht="27.9" customHeight="1" x14ac:dyDescent="0.3">
      <c r="A68" s="3">
        <v>45570</v>
      </c>
      <c r="B68" s="4" t="s">
        <v>155</v>
      </c>
      <c r="C68" s="4" t="s">
        <v>142</v>
      </c>
      <c r="D68" s="4">
        <v>1</v>
      </c>
      <c r="E68" s="4">
        <v>0</v>
      </c>
      <c r="F68" s="4" t="s">
        <v>124</v>
      </c>
      <c r="G68" s="4">
        <v>1</v>
      </c>
      <c r="H68" s="4">
        <v>0</v>
      </c>
      <c r="I68" s="4">
        <v>6</v>
      </c>
      <c r="J68" s="4">
        <v>17</v>
      </c>
      <c r="K68" s="4">
        <v>2</v>
      </c>
      <c r="L68" s="4">
        <v>2</v>
      </c>
      <c r="M68" s="4">
        <v>12</v>
      </c>
      <c r="N68" s="4">
        <v>14</v>
      </c>
      <c r="O68" s="4">
        <v>0</v>
      </c>
      <c r="P68" s="4">
        <v>9</v>
      </c>
    </row>
    <row r="69" spans="1:16" ht="27.9" customHeight="1" x14ac:dyDescent="0.3">
      <c r="A69" s="3">
        <v>45570</v>
      </c>
      <c r="B69" s="4" t="s">
        <v>152</v>
      </c>
      <c r="C69" s="4" t="s">
        <v>123</v>
      </c>
      <c r="D69" s="4">
        <v>3</v>
      </c>
      <c r="E69" s="4">
        <v>2</v>
      </c>
      <c r="F69" s="4" t="s">
        <v>124</v>
      </c>
      <c r="G69" s="4">
        <v>1</v>
      </c>
      <c r="H69" s="4">
        <v>1</v>
      </c>
      <c r="I69" s="4">
        <v>20</v>
      </c>
      <c r="J69" s="4">
        <v>11</v>
      </c>
      <c r="K69" s="4">
        <v>7</v>
      </c>
      <c r="L69" s="4">
        <v>4</v>
      </c>
      <c r="M69" s="4">
        <v>4</v>
      </c>
      <c r="N69" s="4">
        <v>10</v>
      </c>
      <c r="O69" s="4">
        <v>8</v>
      </c>
      <c r="P69" s="4">
        <v>3</v>
      </c>
    </row>
    <row r="70" spans="1:16" ht="27.9" customHeight="1" x14ac:dyDescent="0.3">
      <c r="A70" s="3">
        <v>45570</v>
      </c>
      <c r="B70" s="4" t="s">
        <v>144</v>
      </c>
      <c r="C70" s="4" t="s">
        <v>128</v>
      </c>
      <c r="D70" s="4">
        <v>4</v>
      </c>
      <c r="E70" s="4">
        <v>1</v>
      </c>
      <c r="F70" s="4" t="s">
        <v>124</v>
      </c>
      <c r="G70" s="4">
        <v>2</v>
      </c>
      <c r="H70" s="4">
        <v>1</v>
      </c>
      <c r="I70" s="4">
        <v>23</v>
      </c>
      <c r="J70" s="4">
        <v>9</v>
      </c>
      <c r="K70" s="4">
        <v>13</v>
      </c>
      <c r="L70" s="4">
        <v>2</v>
      </c>
      <c r="M70" s="4">
        <v>12</v>
      </c>
      <c r="N70" s="4">
        <v>6</v>
      </c>
      <c r="O70" s="4">
        <v>5</v>
      </c>
      <c r="P70" s="4">
        <v>5</v>
      </c>
    </row>
    <row r="71" spans="1:16" ht="27.9" customHeight="1" x14ac:dyDescent="0.3">
      <c r="A71" s="3">
        <v>45570</v>
      </c>
      <c r="B71" s="4" t="s">
        <v>135</v>
      </c>
      <c r="C71" s="4" t="s">
        <v>138</v>
      </c>
      <c r="D71" s="4">
        <v>0</v>
      </c>
      <c r="E71" s="4">
        <v>0</v>
      </c>
      <c r="F71" s="4" t="s">
        <v>125</v>
      </c>
      <c r="G71" s="4">
        <v>0</v>
      </c>
      <c r="H71" s="4">
        <v>0</v>
      </c>
      <c r="I71" s="4">
        <v>8</v>
      </c>
      <c r="J71" s="4">
        <v>14</v>
      </c>
      <c r="K71" s="4">
        <v>2</v>
      </c>
      <c r="L71" s="4">
        <v>3</v>
      </c>
      <c r="M71" s="4">
        <v>12</v>
      </c>
      <c r="N71" s="4">
        <v>8</v>
      </c>
      <c r="O71" s="4">
        <v>0</v>
      </c>
      <c r="P71" s="4">
        <v>10</v>
      </c>
    </row>
    <row r="72" spans="1:16" ht="27.9" customHeight="1" x14ac:dyDescent="0.3">
      <c r="A72" s="3">
        <v>45571</v>
      </c>
      <c r="B72" s="4" t="s">
        <v>145</v>
      </c>
      <c r="C72" s="4" t="s">
        <v>122</v>
      </c>
      <c r="D72" s="4">
        <v>0</v>
      </c>
      <c r="E72" s="4">
        <v>0</v>
      </c>
      <c r="F72" s="4" t="s">
        <v>125</v>
      </c>
      <c r="G72" s="4">
        <v>0</v>
      </c>
      <c r="H72" s="4">
        <v>0</v>
      </c>
      <c r="I72" s="4">
        <v>11</v>
      </c>
      <c r="J72" s="4">
        <v>10</v>
      </c>
      <c r="K72" s="4">
        <v>1</v>
      </c>
      <c r="L72" s="4">
        <v>4</v>
      </c>
      <c r="M72" s="4">
        <v>12</v>
      </c>
      <c r="N72" s="4">
        <v>11</v>
      </c>
      <c r="O72" s="4">
        <v>6</v>
      </c>
      <c r="P72" s="4">
        <v>3</v>
      </c>
    </row>
    <row r="73" spans="1:16" ht="27.9" customHeight="1" x14ac:dyDescent="0.3">
      <c r="A73" s="3">
        <v>45571</v>
      </c>
      <c r="B73" s="4" t="s">
        <v>151</v>
      </c>
      <c r="C73" s="4" t="s">
        <v>141</v>
      </c>
      <c r="D73" s="4">
        <v>1</v>
      </c>
      <c r="E73" s="4">
        <v>1</v>
      </c>
      <c r="F73" s="4" t="s">
        <v>125</v>
      </c>
      <c r="G73" s="4">
        <v>0</v>
      </c>
      <c r="H73" s="4">
        <v>0</v>
      </c>
      <c r="I73" s="4">
        <v>22</v>
      </c>
      <c r="J73" s="4">
        <v>16</v>
      </c>
      <c r="K73" s="4">
        <v>8</v>
      </c>
      <c r="L73" s="4">
        <v>9</v>
      </c>
      <c r="M73" s="4">
        <v>12</v>
      </c>
      <c r="N73" s="4">
        <v>11</v>
      </c>
      <c r="O73" s="4">
        <v>11</v>
      </c>
      <c r="P73" s="4">
        <v>3</v>
      </c>
    </row>
    <row r="74" spans="1:16" ht="27.9" customHeight="1" x14ac:dyDescent="0.3">
      <c r="A74" s="3">
        <v>45571</v>
      </c>
      <c r="B74" s="4" t="s">
        <v>136</v>
      </c>
      <c r="C74" s="4" t="s">
        <v>156</v>
      </c>
      <c r="D74" s="4">
        <v>3</v>
      </c>
      <c r="E74" s="4">
        <v>2</v>
      </c>
      <c r="F74" s="4" t="s">
        <v>124</v>
      </c>
      <c r="G74" s="4">
        <v>0</v>
      </c>
      <c r="H74" s="4">
        <v>2</v>
      </c>
      <c r="I74" s="4">
        <v>11</v>
      </c>
      <c r="J74" s="4">
        <v>13</v>
      </c>
      <c r="K74" s="4">
        <v>4</v>
      </c>
      <c r="L74" s="4">
        <v>3</v>
      </c>
      <c r="M74" s="4">
        <v>14</v>
      </c>
      <c r="N74" s="4">
        <v>10</v>
      </c>
      <c r="O74" s="4">
        <v>4</v>
      </c>
      <c r="P74" s="4">
        <v>7</v>
      </c>
    </row>
    <row r="75" spans="1:16" ht="27.9" customHeight="1" x14ac:dyDescent="0.3">
      <c r="A75" s="3">
        <v>45584</v>
      </c>
      <c r="B75" s="4" t="s">
        <v>156</v>
      </c>
      <c r="C75" s="4" t="s">
        <v>144</v>
      </c>
      <c r="D75" s="4">
        <v>4</v>
      </c>
      <c r="E75" s="4">
        <v>1</v>
      </c>
      <c r="F75" s="4" t="s">
        <v>124</v>
      </c>
      <c r="G75" s="4">
        <v>1</v>
      </c>
      <c r="H75" s="4">
        <v>1</v>
      </c>
      <c r="I75" s="4">
        <v>22</v>
      </c>
      <c r="J75" s="4">
        <v>11</v>
      </c>
      <c r="K75" s="4">
        <v>7</v>
      </c>
      <c r="L75" s="4">
        <v>4</v>
      </c>
      <c r="M75" s="4">
        <v>10</v>
      </c>
      <c r="N75" s="4">
        <v>15</v>
      </c>
      <c r="O75" s="4">
        <v>13</v>
      </c>
      <c r="P75" s="4">
        <v>5</v>
      </c>
    </row>
    <row r="76" spans="1:16" ht="27.9" customHeight="1" x14ac:dyDescent="0.3">
      <c r="A76" s="3">
        <v>45584</v>
      </c>
      <c r="B76" s="4" t="s">
        <v>123</v>
      </c>
      <c r="C76" s="4" t="s">
        <v>145</v>
      </c>
      <c r="D76" s="4">
        <v>1</v>
      </c>
      <c r="E76" s="4">
        <v>3</v>
      </c>
      <c r="F76" s="4" t="s">
        <v>130</v>
      </c>
      <c r="G76" s="4">
        <v>1</v>
      </c>
      <c r="H76" s="4">
        <v>1</v>
      </c>
      <c r="I76" s="4">
        <v>10</v>
      </c>
      <c r="J76" s="4">
        <v>14</v>
      </c>
      <c r="K76" s="4">
        <v>4</v>
      </c>
      <c r="L76" s="4">
        <v>5</v>
      </c>
      <c r="M76" s="4">
        <v>8</v>
      </c>
      <c r="N76" s="4">
        <v>11</v>
      </c>
      <c r="O76" s="4">
        <v>6</v>
      </c>
      <c r="P76" s="4">
        <v>11</v>
      </c>
    </row>
    <row r="77" spans="1:16" ht="27.9" customHeight="1" x14ac:dyDescent="0.3">
      <c r="A77" s="3">
        <v>45584</v>
      </c>
      <c r="B77" s="4" t="s">
        <v>128</v>
      </c>
      <c r="C77" s="4" t="s">
        <v>135</v>
      </c>
      <c r="D77" s="4">
        <v>0</v>
      </c>
      <c r="E77" s="4">
        <v>2</v>
      </c>
      <c r="F77" s="4" t="s">
        <v>130</v>
      </c>
      <c r="G77" s="4">
        <v>0</v>
      </c>
      <c r="H77" s="4">
        <v>2</v>
      </c>
      <c r="I77" s="4">
        <v>13</v>
      </c>
      <c r="J77" s="4">
        <v>11</v>
      </c>
      <c r="K77" s="4">
        <v>2</v>
      </c>
      <c r="L77" s="4">
        <v>8</v>
      </c>
      <c r="M77" s="4">
        <v>12</v>
      </c>
      <c r="N77" s="4">
        <v>10</v>
      </c>
      <c r="O77" s="4">
        <v>5</v>
      </c>
      <c r="P77" s="4">
        <v>8</v>
      </c>
    </row>
    <row r="78" spans="1:16" ht="27.9" customHeight="1" x14ac:dyDescent="0.3">
      <c r="A78" s="3">
        <v>45584</v>
      </c>
      <c r="B78" s="4" t="s">
        <v>122</v>
      </c>
      <c r="C78" s="4" t="s">
        <v>148</v>
      </c>
      <c r="D78" s="4">
        <v>2</v>
      </c>
      <c r="E78" s="4">
        <v>1</v>
      </c>
      <c r="F78" s="4" t="s">
        <v>124</v>
      </c>
      <c r="G78" s="4">
        <v>0</v>
      </c>
      <c r="H78" s="4">
        <v>1</v>
      </c>
      <c r="I78" s="4">
        <v>23</v>
      </c>
      <c r="J78" s="4">
        <v>8</v>
      </c>
      <c r="K78" s="4">
        <v>11</v>
      </c>
      <c r="L78" s="4">
        <v>2</v>
      </c>
      <c r="M78" s="4">
        <v>14</v>
      </c>
      <c r="N78" s="4">
        <v>5</v>
      </c>
      <c r="O78" s="4">
        <v>9</v>
      </c>
      <c r="P78" s="4">
        <v>2</v>
      </c>
    </row>
    <row r="79" spans="1:16" ht="27.9" customHeight="1" x14ac:dyDescent="0.3">
      <c r="A79" s="3">
        <v>45584</v>
      </c>
      <c r="B79" s="4" t="s">
        <v>138</v>
      </c>
      <c r="C79" s="4" t="s">
        <v>136</v>
      </c>
      <c r="D79" s="4">
        <v>0</v>
      </c>
      <c r="E79" s="4">
        <v>1</v>
      </c>
      <c r="F79" s="4" t="s">
        <v>130</v>
      </c>
      <c r="G79" s="4">
        <v>0</v>
      </c>
      <c r="H79" s="4">
        <v>1</v>
      </c>
      <c r="I79" s="4">
        <v>21</v>
      </c>
      <c r="J79" s="4">
        <v>10</v>
      </c>
      <c r="K79" s="4">
        <v>6</v>
      </c>
      <c r="L79" s="4">
        <v>5</v>
      </c>
      <c r="M79" s="4">
        <v>11</v>
      </c>
      <c r="N79" s="4">
        <v>9</v>
      </c>
      <c r="O79" s="4">
        <v>9</v>
      </c>
      <c r="P79" s="4">
        <v>4</v>
      </c>
    </row>
    <row r="80" spans="1:16" ht="27.9" customHeight="1" x14ac:dyDescent="0.3">
      <c r="A80" s="3">
        <v>45584</v>
      </c>
      <c r="B80" s="4" t="s">
        <v>139</v>
      </c>
      <c r="C80" s="4" t="s">
        <v>155</v>
      </c>
      <c r="D80" s="4">
        <v>2</v>
      </c>
      <c r="E80" s="4">
        <v>3</v>
      </c>
      <c r="F80" s="4" t="s">
        <v>130</v>
      </c>
      <c r="G80" s="4">
        <v>2</v>
      </c>
      <c r="H80" s="4">
        <v>0</v>
      </c>
      <c r="I80" s="4">
        <v>14</v>
      </c>
      <c r="J80" s="4">
        <v>18</v>
      </c>
      <c r="K80" s="4">
        <v>7</v>
      </c>
      <c r="L80" s="4">
        <v>4</v>
      </c>
      <c r="M80" s="4">
        <v>10</v>
      </c>
      <c r="N80" s="4">
        <v>10</v>
      </c>
      <c r="O80" s="4">
        <v>10</v>
      </c>
      <c r="P80" s="4">
        <v>6</v>
      </c>
    </row>
    <row r="81" spans="1:16" ht="27.9" customHeight="1" x14ac:dyDescent="0.3">
      <c r="A81" s="3">
        <v>45584</v>
      </c>
      <c r="B81" s="4" t="s">
        <v>142</v>
      </c>
      <c r="C81" s="4" t="s">
        <v>132</v>
      </c>
      <c r="D81" s="4">
        <v>2</v>
      </c>
      <c r="E81" s="4">
        <v>0</v>
      </c>
      <c r="F81" s="4" t="s">
        <v>124</v>
      </c>
      <c r="G81" s="4">
        <v>0</v>
      </c>
      <c r="H81" s="4">
        <v>0</v>
      </c>
      <c r="I81" s="4">
        <v>13</v>
      </c>
      <c r="J81" s="4">
        <v>6</v>
      </c>
      <c r="K81" s="4">
        <v>4</v>
      </c>
      <c r="L81" s="4">
        <v>1</v>
      </c>
      <c r="M81" s="4">
        <v>12</v>
      </c>
      <c r="N81" s="4">
        <v>11</v>
      </c>
      <c r="O81" s="4">
        <v>7</v>
      </c>
      <c r="P81" s="4">
        <v>4</v>
      </c>
    </row>
    <row r="82" spans="1:16" ht="27.9" customHeight="1" x14ac:dyDescent="0.3">
      <c r="A82" s="3">
        <v>45585</v>
      </c>
      <c r="B82" s="4" t="s">
        <v>133</v>
      </c>
      <c r="C82" s="4" t="s">
        <v>152</v>
      </c>
      <c r="D82" s="4">
        <v>1</v>
      </c>
      <c r="E82" s="4">
        <v>2</v>
      </c>
      <c r="F82" s="4" t="s">
        <v>130</v>
      </c>
      <c r="G82" s="4">
        <v>1</v>
      </c>
      <c r="H82" s="4">
        <v>1</v>
      </c>
      <c r="I82" s="4">
        <v>3</v>
      </c>
      <c r="J82" s="4">
        <v>22</v>
      </c>
      <c r="K82" s="4">
        <v>2</v>
      </c>
      <c r="L82" s="4">
        <v>7</v>
      </c>
      <c r="M82" s="4">
        <v>8</v>
      </c>
      <c r="N82" s="4">
        <v>5</v>
      </c>
      <c r="O82" s="4">
        <v>1</v>
      </c>
      <c r="P82" s="4">
        <v>18</v>
      </c>
    </row>
    <row r="83" spans="1:16" ht="27.9" customHeight="1" x14ac:dyDescent="0.3">
      <c r="A83" s="3">
        <v>45585</v>
      </c>
      <c r="B83" s="4" t="s">
        <v>129</v>
      </c>
      <c r="C83" s="4" t="s">
        <v>151</v>
      </c>
      <c r="D83" s="4">
        <v>2</v>
      </c>
      <c r="E83" s="4">
        <v>1</v>
      </c>
      <c r="F83" s="4" t="s">
        <v>124</v>
      </c>
      <c r="G83" s="4">
        <v>1</v>
      </c>
      <c r="H83" s="4">
        <v>0</v>
      </c>
      <c r="I83" s="4">
        <v>9</v>
      </c>
      <c r="J83" s="4">
        <v>12</v>
      </c>
      <c r="K83" s="4">
        <v>5</v>
      </c>
      <c r="L83" s="4">
        <v>2</v>
      </c>
      <c r="M83" s="4">
        <v>12</v>
      </c>
      <c r="N83" s="4">
        <v>13</v>
      </c>
      <c r="O83" s="4">
        <v>1</v>
      </c>
      <c r="P83" s="4">
        <v>6</v>
      </c>
    </row>
    <row r="84" spans="1:16" ht="27.9" customHeight="1" x14ac:dyDescent="0.3">
      <c r="A84" s="3">
        <v>45586</v>
      </c>
      <c r="B84" s="4" t="s">
        <v>141</v>
      </c>
      <c r="C84" s="4" t="s">
        <v>149</v>
      </c>
      <c r="D84" s="4">
        <v>1</v>
      </c>
      <c r="E84" s="4">
        <v>0</v>
      </c>
      <c r="F84" s="4" t="s">
        <v>124</v>
      </c>
      <c r="G84" s="4">
        <v>0</v>
      </c>
      <c r="H84" s="4">
        <v>0</v>
      </c>
      <c r="I84" s="4">
        <v>20</v>
      </c>
      <c r="J84" s="4">
        <v>20</v>
      </c>
      <c r="K84" s="4">
        <v>6</v>
      </c>
      <c r="L84" s="4">
        <v>7</v>
      </c>
      <c r="M84" s="4">
        <v>9</v>
      </c>
      <c r="N84" s="4">
        <v>12</v>
      </c>
      <c r="O84" s="4">
        <v>6</v>
      </c>
      <c r="P84" s="4">
        <v>6</v>
      </c>
    </row>
    <row r="85" spans="1:16" ht="27.9" customHeight="1" x14ac:dyDescent="0.3">
      <c r="A85" s="3">
        <v>45590</v>
      </c>
      <c r="B85" s="4" t="s">
        <v>155</v>
      </c>
      <c r="C85" s="4" t="s">
        <v>141</v>
      </c>
      <c r="D85" s="4">
        <v>1</v>
      </c>
      <c r="E85" s="4">
        <v>3</v>
      </c>
      <c r="F85" s="4" t="s">
        <v>130</v>
      </c>
      <c r="G85" s="4">
        <v>1</v>
      </c>
      <c r="H85" s="4">
        <v>1</v>
      </c>
      <c r="I85" s="4">
        <v>11</v>
      </c>
      <c r="J85" s="4">
        <v>20</v>
      </c>
      <c r="K85" s="4">
        <v>1</v>
      </c>
      <c r="L85" s="4">
        <v>5</v>
      </c>
      <c r="M85" s="4">
        <v>16</v>
      </c>
      <c r="N85" s="4">
        <v>9</v>
      </c>
      <c r="O85" s="4">
        <v>6</v>
      </c>
      <c r="P85" s="4">
        <v>7</v>
      </c>
    </row>
    <row r="86" spans="1:16" ht="27.9" customHeight="1" x14ac:dyDescent="0.3">
      <c r="A86" s="3">
        <v>45591</v>
      </c>
      <c r="B86" s="4" t="s">
        <v>145</v>
      </c>
      <c r="C86" s="4" t="s">
        <v>142</v>
      </c>
      <c r="D86" s="4">
        <v>1</v>
      </c>
      <c r="E86" s="4">
        <v>1</v>
      </c>
      <c r="F86" s="4" t="s">
        <v>125</v>
      </c>
      <c r="G86" s="4">
        <v>0</v>
      </c>
      <c r="H86" s="4">
        <v>0</v>
      </c>
      <c r="I86" s="4">
        <v>18</v>
      </c>
      <c r="J86" s="4">
        <v>11</v>
      </c>
      <c r="K86" s="4">
        <v>8</v>
      </c>
      <c r="L86" s="4">
        <v>3</v>
      </c>
      <c r="M86" s="4">
        <v>12</v>
      </c>
      <c r="N86" s="4">
        <v>14</v>
      </c>
      <c r="O86" s="4">
        <v>9</v>
      </c>
      <c r="P86" s="4">
        <v>7</v>
      </c>
    </row>
    <row r="87" spans="1:16" ht="27.9" customHeight="1" x14ac:dyDescent="0.3">
      <c r="A87" s="3">
        <v>45591</v>
      </c>
      <c r="B87" s="4" t="s">
        <v>148</v>
      </c>
      <c r="C87" s="4" t="s">
        <v>128</v>
      </c>
      <c r="D87" s="4">
        <v>4</v>
      </c>
      <c r="E87" s="4">
        <v>3</v>
      </c>
      <c r="F87" s="4" t="s">
        <v>124</v>
      </c>
      <c r="G87" s="4">
        <v>2</v>
      </c>
      <c r="H87" s="4">
        <v>2</v>
      </c>
      <c r="I87" s="4">
        <v>20</v>
      </c>
      <c r="J87" s="4">
        <v>11</v>
      </c>
      <c r="K87" s="4">
        <v>9</v>
      </c>
      <c r="L87" s="4">
        <v>5</v>
      </c>
      <c r="M87" s="4">
        <v>7</v>
      </c>
      <c r="N87" s="4">
        <v>10</v>
      </c>
      <c r="O87" s="4">
        <v>5</v>
      </c>
      <c r="P87" s="4">
        <v>5</v>
      </c>
    </row>
    <row r="88" spans="1:16" ht="27.9" customHeight="1" x14ac:dyDescent="0.3">
      <c r="A88" s="3">
        <v>45591</v>
      </c>
      <c r="B88" s="4" t="s">
        <v>136</v>
      </c>
      <c r="C88" s="4" t="s">
        <v>133</v>
      </c>
      <c r="D88" s="4">
        <v>2</v>
      </c>
      <c r="E88" s="4">
        <v>2</v>
      </c>
      <c r="F88" s="4" t="s">
        <v>125</v>
      </c>
      <c r="G88" s="4">
        <v>1</v>
      </c>
      <c r="H88" s="4">
        <v>0</v>
      </c>
      <c r="I88" s="4">
        <v>19</v>
      </c>
      <c r="J88" s="4">
        <v>14</v>
      </c>
      <c r="K88" s="4">
        <v>6</v>
      </c>
      <c r="L88" s="4">
        <v>7</v>
      </c>
      <c r="M88" s="4">
        <v>12</v>
      </c>
      <c r="N88" s="4">
        <v>10</v>
      </c>
      <c r="O88" s="4">
        <v>9</v>
      </c>
      <c r="P88" s="4">
        <v>6</v>
      </c>
    </row>
    <row r="89" spans="1:16" ht="27.9" customHeight="1" x14ac:dyDescent="0.3">
      <c r="A89" s="3">
        <v>45591</v>
      </c>
      <c r="B89" s="4" t="s">
        <v>152</v>
      </c>
      <c r="C89" s="4" t="s">
        <v>139</v>
      </c>
      <c r="D89" s="4">
        <v>1</v>
      </c>
      <c r="E89" s="4">
        <v>0</v>
      </c>
      <c r="F89" s="4" t="s">
        <v>124</v>
      </c>
      <c r="G89" s="4">
        <v>1</v>
      </c>
      <c r="H89" s="4">
        <v>0</v>
      </c>
      <c r="I89" s="4">
        <v>22</v>
      </c>
      <c r="J89" s="4">
        <v>5</v>
      </c>
      <c r="K89" s="4">
        <v>8</v>
      </c>
      <c r="L89" s="4">
        <v>2</v>
      </c>
      <c r="M89" s="4">
        <v>9</v>
      </c>
      <c r="N89" s="4">
        <v>9</v>
      </c>
      <c r="O89" s="4">
        <v>12</v>
      </c>
      <c r="P89" s="4">
        <v>1</v>
      </c>
    </row>
    <row r="90" spans="1:16" ht="27.9" customHeight="1" x14ac:dyDescent="0.3">
      <c r="A90" s="3">
        <v>45591</v>
      </c>
      <c r="B90" s="4" t="s">
        <v>135</v>
      </c>
      <c r="C90" s="4" t="s">
        <v>123</v>
      </c>
      <c r="D90" s="4">
        <v>1</v>
      </c>
      <c r="E90" s="4">
        <v>1</v>
      </c>
      <c r="F90" s="4" t="s">
        <v>125</v>
      </c>
      <c r="G90" s="4">
        <v>0</v>
      </c>
      <c r="H90" s="4">
        <v>0</v>
      </c>
      <c r="I90" s="4">
        <v>10</v>
      </c>
      <c r="J90" s="4">
        <v>14</v>
      </c>
      <c r="K90" s="4">
        <v>5</v>
      </c>
      <c r="L90" s="4">
        <v>3</v>
      </c>
      <c r="M90" s="4">
        <v>8</v>
      </c>
      <c r="N90" s="4">
        <v>8</v>
      </c>
      <c r="O90" s="4">
        <v>4</v>
      </c>
      <c r="P90" s="4">
        <v>2</v>
      </c>
    </row>
    <row r="91" spans="1:16" ht="27.9" customHeight="1" x14ac:dyDescent="0.3">
      <c r="A91" s="3">
        <v>45592</v>
      </c>
      <c r="B91" s="4" t="s">
        <v>151</v>
      </c>
      <c r="C91" s="4" t="s">
        <v>138</v>
      </c>
      <c r="D91" s="4">
        <v>2</v>
      </c>
      <c r="E91" s="4">
        <v>1</v>
      </c>
      <c r="F91" s="4" t="s">
        <v>124</v>
      </c>
      <c r="G91" s="4">
        <v>1</v>
      </c>
      <c r="H91" s="4">
        <v>1</v>
      </c>
      <c r="I91" s="4">
        <v>17</v>
      </c>
      <c r="J91" s="4">
        <v>11</v>
      </c>
      <c r="K91" s="4">
        <v>7</v>
      </c>
      <c r="L91" s="4">
        <v>3</v>
      </c>
      <c r="M91" s="4">
        <v>13</v>
      </c>
      <c r="N91" s="4">
        <v>16</v>
      </c>
      <c r="O91" s="4">
        <v>7</v>
      </c>
      <c r="P91" s="4">
        <v>4</v>
      </c>
    </row>
    <row r="92" spans="1:16" ht="27.9" customHeight="1" x14ac:dyDescent="0.3">
      <c r="A92" s="3">
        <v>45592</v>
      </c>
      <c r="B92" s="4" t="s">
        <v>149</v>
      </c>
      <c r="C92" s="4" t="s">
        <v>156</v>
      </c>
      <c r="D92" s="4">
        <v>1</v>
      </c>
      <c r="E92" s="4">
        <v>0</v>
      </c>
      <c r="F92" s="4" t="s">
        <v>124</v>
      </c>
      <c r="G92" s="4">
        <v>1</v>
      </c>
      <c r="H92" s="4">
        <v>0</v>
      </c>
      <c r="I92" s="4">
        <v>14</v>
      </c>
      <c r="J92" s="4">
        <v>11</v>
      </c>
      <c r="K92" s="4">
        <v>6</v>
      </c>
      <c r="L92" s="4">
        <v>3</v>
      </c>
      <c r="M92" s="4">
        <v>16</v>
      </c>
      <c r="N92" s="4">
        <v>12</v>
      </c>
      <c r="O92" s="4">
        <v>8</v>
      </c>
      <c r="P92" s="4">
        <v>8</v>
      </c>
    </row>
    <row r="93" spans="1:16" ht="27.9" customHeight="1" x14ac:dyDescent="0.3">
      <c r="A93" s="3">
        <v>45592</v>
      </c>
      <c r="B93" s="4" t="s">
        <v>144</v>
      </c>
      <c r="C93" s="4" t="s">
        <v>122</v>
      </c>
      <c r="D93" s="4">
        <v>2</v>
      </c>
      <c r="E93" s="4">
        <v>1</v>
      </c>
      <c r="F93" s="4" t="s">
        <v>124</v>
      </c>
      <c r="G93" s="4">
        <v>0</v>
      </c>
      <c r="H93" s="4">
        <v>0</v>
      </c>
      <c r="I93" s="4">
        <v>12</v>
      </c>
      <c r="J93" s="4">
        <v>18</v>
      </c>
      <c r="K93" s="4">
        <v>3</v>
      </c>
      <c r="L93" s="4">
        <v>5</v>
      </c>
      <c r="M93" s="4">
        <v>6</v>
      </c>
      <c r="N93" s="4">
        <v>7</v>
      </c>
      <c r="O93" s="4">
        <v>6</v>
      </c>
      <c r="P93" s="4">
        <v>5</v>
      </c>
    </row>
    <row r="94" spans="1:16" ht="27.9" customHeight="1" x14ac:dyDescent="0.3">
      <c r="A94" s="3">
        <v>45592</v>
      </c>
      <c r="B94" s="4" t="s">
        <v>132</v>
      </c>
      <c r="C94" s="4" t="s">
        <v>129</v>
      </c>
      <c r="D94" s="4">
        <v>2</v>
      </c>
      <c r="E94" s="4">
        <v>2</v>
      </c>
      <c r="F94" s="4" t="s">
        <v>125</v>
      </c>
      <c r="G94" s="4">
        <v>2</v>
      </c>
      <c r="H94" s="4">
        <v>1</v>
      </c>
      <c r="I94" s="4">
        <v>9</v>
      </c>
      <c r="J94" s="4">
        <v>9</v>
      </c>
      <c r="K94" s="4">
        <v>3</v>
      </c>
      <c r="L94" s="4">
        <v>4</v>
      </c>
      <c r="M94" s="4">
        <v>14</v>
      </c>
      <c r="N94" s="4">
        <v>14</v>
      </c>
      <c r="O94" s="4">
        <v>1</v>
      </c>
      <c r="P94" s="4">
        <v>3</v>
      </c>
    </row>
    <row r="95" spans="1:16" ht="27.9" customHeight="1" x14ac:dyDescent="0.3">
      <c r="A95" s="3">
        <v>45598</v>
      </c>
      <c r="B95" s="4" t="s">
        <v>138</v>
      </c>
      <c r="C95" s="4" t="s">
        <v>132</v>
      </c>
      <c r="D95" s="4">
        <v>1</v>
      </c>
      <c r="E95" s="4">
        <v>0</v>
      </c>
      <c r="F95" s="4" t="s">
        <v>124</v>
      </c>
      <c r="G95" s="4">
        <v>1</v>
      </c>
      <c r="H95" s="4">
        <v>0</v>
      </c>
      <c r="I95" s="4">
        <v>9</v>
      </c>
      <c r="J95" s="4">
        <v>10</v>
      </c>
      <c r="K95" s="4">
        <v>4</v>
      </c>
      <c r="L95" s="4">
        <v>1</v>
      </c>
      <c r="M95" s="4">
        <v>16</v>
      </c>
      <c r="N95" s="4">
        <v>18</v>
      </c>
      <c r="O95" s="4">
        <v>4</v>
      </c>
      <c r="P95" s="4">
        <v>6</v>
      </c>
    </row>
    <row r="96" spans="1:16" ht="27.9" customHeight="1" x14ac:dyDescent="0.3">
      <c r="A96" s="3">
        <v>45598</v>
      </c>
      <c r="B96" s="4" t="s">
        <v>142</v>
      </c>
      <c r="C96" s="4" t="s">
        <v>152</v>
      </c>
      <c r="D96" s="4">
        <v>2</v>
      </c>
      <c r="E96" s="4">
        <v>1</v>
      </c>
      <c r="F96" s="4" t="s">
        <v>124</v>
      </c>
      <c r="G96" s="4">
        <v>1</v>
      </c>
      <c r="H96" s="4">
        <v>0</v>
      </c>
      <c r="I96" s="4">
        <v>12</v>
      </c>
      <c r="J96" s="4">
        <v>18</v>
      </c>
      <c r="K96" s="4">
        <v>6</v>
      </c>
      <c r="L96" s="4">
        <v>4</v>
      </c>
      <c r="M96" s="4">
        <v>11</v>
      </c>
      <c r="N96" s="4">
        <v>6</v>
      </c>
      <c r="O96" s="4">
        <v>3</v>
      </c>
      <c r="P96" s="4">
        <v>10</v>
      </c>
    </row>
    <row r="97" spans="1:16" ht="27.9" customHeight="1" x14ac:dyDescent="0.3">
      <c r="A97" s="3">
        <v>45598</v>
      </c>
      <c r="B97" s="4" t="s">
        <v>128</v>
      </c>
      <c r="C97" s="4" t="s">
        <v>155</v>
      </c>
      <c r="D97" s="4">
        <v>1</v>
      </c>
      <c r="E97" s="4">
        <v>1</v>
      </c>
      <c r="F97" s="4" t="s">
        <v>125</v>
      </c>
      <c r="G97" s="4">
        <v>0</v>
      </c>
      <c r="H97" s="4">
        <v>0</v>
      </c>
      <c r="I97" s="4">
        <v>14</v>
      </c>
      <c r="J97" s="4">
        <v>20</v>
      </c>
      <c r="K97" s="4">
        <v>2</v>
      </c>
      <c r="L97" s="4">
        <v>6</v>
      </c>
      <c r="M97" s="4">
        <v>11</v>
      </c>
      <c r="N97" s="4">
        <v>10</v>
      </c>
      <c r="O97" s="4">
        <v>4</v>
      </c>
      <c r="P97" s="4">
        <v>6</v>
      </c>
    </row>
    <row r="98" spans="1:16" ht="27.9" customHeight="1" x14ac:dyDescent="0.3">
      <c r="A98" s="3">
        <v>45598</v>
      </c>
      <c r="B98" s="4" t="s">
        <v>129</v>
      </c>
      <c r="C98" s="4" t="s">
        <v>136</v>
      </c>
      <c r="D98" s="4">
        <v>2</v>
      </c>
      <c r="E98" s="4">
        <v>1</v>
      </c>
      <c r="F98" s="4" t="s">
        <v>124</v>
      </c>
      <c r="G98" s="4">
        <v>0</v>
      </c>
      <c r="H98" s="4">
        <v>1</v>
      </c>
      <c r="I98" s="4">
        <v>16</v>
      </c>
      <c r="J98" s="4">
        <v>13</v>
      </c>
      <c r="K98" s="4">
        <v>8</v>
      </c>
      <c r="L98" s="4">
        <v>5</v>
      </c>
      <c r="M98" s="4">
        <v>10</v>
      </c>
      <c r="N98" s="4">
        <v>18</v>
      </c>
      <c r="O98" s="4">
        <v>10</v>
      </c>
      <c r="P98" s="4">
        <v>7</v>
      </c>
    </row>
    <row r="99" spans="1:16" ht="27.9" customHeight="1" x14ac:dyDescent="0.3">
      <c r="A99" s="3">
        <v>45598</v>
      </c>
      <c r="B99" s="4" t="s">
        <v>141</v>
      </c>
      <c r="C99" s="4" t="s">
        <v>144</v>
      </c>
      <c r="D99" s="4">
        <v>3</v>
      </c>
      <c r="E99" s="4">
        <v>0</v>
      </c>
      <c r="F99" s="4" t="s">
        <v>124</v>
      </c>
      <c r="G99" s="4">
        <v>1</v>
      </c>
      <c r="H99" s="4">
        <v>0</v>
      </c>
      <c r="I99" s="4">
        <v>19</v>
      </c>
      <c r="J99" s="4">
        <v>4</v>
      </c>
      <c r="K99" s="4">
        <v>6</v>
      </c>
      <c r="L99" s="4">
        <v>2</v>
      </c>
      <c r="M99" s="4">
        <v>7</v>
      </c>
      <c r="N99" s="4">
        <v>9</v>
      </c>
      <c r="O99" s="4">
        <v>11</v>
      </c>
      <c r="P99" s="4">
        <v>6</v>
      </c>
    </row>
    <row r="100" spans="1:16" ht="27.9" customHeight="1" x14ac:dyDescent="0.3">
      <c r="A100" s="3">
        <v>45598</v>
      </c>
      <c r="B100" s="4" t="s">
        <v>139</v>
      </c>
      <c r="C100" s="4" t="s">
        <v>135</v>
      </c>
      <c r="D100" s="4">
        <v>1</v>
      </c>
      <c r="E100" s="4">
        <v>0</v>
      </c>
      <c r="F100" s="4" t="s">
        <v>124</v>
      </c>
      <c r="G100" s="4">
        <v>0</v>
      </c>
      <c r="H100" s="4">
        <v>0</v>
      </c>
      <c r="I100" s="4">
        <v>9</v>
      </c>
      <c r="J100" s="4">
        <v>16</v>
      </c>
      <c r="K100" s="4">
        <v>2</v>
      </c>
      <c r="L100" s="4">
        <v>5</v>
      </c>
      <c r="M100" s="4">
        <v>14</v>
      </c>
      <c r="N100" s="4">
        <v>18</v>
      </c>
      <c r="O100" s="4">
        <v>3</v>
      </c>
      <c r="P100" s="4">
        <v>6</v>
      </c>
    </row>
    <row r="101" spans="1:16" ht="27.9" customHeight="1" x14ac:dyDescent="0.3">
      <c r="A101" s="3">
        <v>45598</v>
      </c>
      <c r="B101" s="4" t="s">
        <v>133</v>
      </c>
      <c r="C101" s="4" t="s">
        <v>149</v>
      </c>
      <c r="D101" s="4">
        <v>2</v>
      </c>
      <c r="E101" s="4">
        <v>2</v>
      </c>
      <c r="F101" s="4" t="s">
        <v>125</v>
      </c>
      <c r="G101" s="4">
        <v>0</v>
      </c>
      <c r="H101" s="4">
        <v>0</v>
      </c>
      <c r="I101" s="4">
        <v>11</v>
      </c>
      <c r="J101" s="4">
        <v>19</v>
      </c>
      <c r="K101" s="4">
        <v>6</v>
      </c>
      <c r="L101" s="4">
        <v>7</v>
      </c>
      <c r="M101" s="4">
        <v>7</v>
      </c>
      <c r="N101" s="4">
        <v>9</v>
      </c>
      <c r="O101" s="4">
        <v>3</v>
      </c>
      <c r="P101" s="4">
        <v>6</v>
      </c>
    </row>
    <row r="102" spans="1:16" ht="27.9" customHeight="1" x14ac:dyDescent="0.3">
      <c r="A102" s="3">
        <v>45599</v>
      </c>
      <c r="B102" s="4" t="s">
        <v>156</v>
      </c>
      <c r="C102" s="4" t="s">
        <v>145</v>
      </c>
      <c r="D102" s="4">
        <v>4</v>
      </c>
      <c r="E102" s="4">
        <v>1</v>
      </c>
      <c r="F102" s="4" t="s">
        <v>124</v>
      </c>
      <c r="G102" s="4">
        <v>0</v>
      </c>
      <c r="H102" s="4">
        <v>1</v>
      </c>
      <c r="I102" s="4">
        <v>16</v>
      </c>
      <c r="J102" s="4">
        <v>12</v>
      </c>
      <c r="K102" s="4">
        <v>6</v>
      </c>
      <c r="L102" s="4">
        <v>1</v>
      </c>
      <c r="M102" s="4">
        <v>14</v>
      </c>
      <c r="N102" s="4">
        <v>14</v>
      </c>
      <c r="O102" s="4">
        <v>6</v>
      </c>
      <c r="P102" s="4">
        <v>4</v>
      </c>
    </row>
    <row r="103" spans="1:16" ht="27.9" customHeight="1" x14ac:dyDescent="0.3">
      <c r="A103" s="3">
        <v>45599</v>
      </c>
      <c r="B103" s="4" t="s">
        <v>122</v>
      </c>
      <c r="C103" s="4" t="s">
        <v>151</v>
      </c>
      <c r="D103" s="4">
        <v>1</v>
      </c>
      <c r="E103" s="4">
        <v>1</v>
      </c>
      <c r="F103" s="4" t="s">
        <v>125</v>
      </c>
      <c r="G103" s="4">
        <v>0</v>
      </c>
      <c r="H103" s="4">
        <v>0</v>
      </c>
      <c r="I103" s="4">
        <v>11</v>
      </c>
      <c r="J103" s="4">
        <v>12</v>
      </c>
      <c r="K103" s="4">
        <v>4</v>
      </c>
      <c r="L103" s="4">
        <v>3</v>
      </c>
      <c r="M103" s="4">
        <v>19</v>
      </c>
      <c r="N103" s="4">
        <v>14</v>
      </c>
      <c r="O103" s="4">
        <v>4</v>
      </c>
      <c r="P103" s="4">
        <v>8</v>
      </c>
    </row>
    <row r="104" spans="1:16" ht="27.9" customHeight="1" x14ac:dyDescent="0.3">
      <c r="A104" s="3">
        <v>45600</v>
      </c>
      <c r="B104" s="4" t="s">
        <v>123</v>
      </c>
      <c r="C104" s="4" t="s">
        <v>148</v>
      </c>
      <c r="D104" s="4">
        <v>2</v>
      </c>
      <c r="E104" s="4">
        <v>1</v>
      </c>
      <c r="F104" s="4" t="s">
        <v>124</v>
      </c>
      <c r="G104" s="4">
        <v>0</v>
      </c>
      <c r="H104" s="4">
        <v>1</v>
      </c>
      <c r="I104" s="4">
        <v>26</v>
      </c>
      <c r="J104" s="4">
        <v>5</v>
      </c>
      <c r="K104" s="4">
        <v>12</v>
      </c>
      <c r="L104" s="4">
        <v>2</v>
      </c>
      <c r="M104" s="4">
        <v>3</v>
      </c>
      <c r="N104" s="4">
        <v>10</v>
      </c>
      <c r="O104" s="4">
        <v>11</v>
      </c>
      <c r="P104" s="4">
        <v>3</v>
      </c>
    </row>
    <row r="105" spans="1:16" ht="27.9" customHeight="1" x14ac:dyDescent="0.3">
      <c r="A105" s="3">
        <v>45605</v>
      </c>
      <c r="B105" s="4" t="s">
        <v>148</v>
      </c>
      <c r="C105" s="4" t="s">
        <v>142</v>
      </c>
      <c r="D105" s="4">
        <v>3</v>
      </c>
      <c r="E105" s="4">
        <v>2</v>
      </c>
      <c r="F105" s="4" t="s">
        <v>124</v>
      </c>
      <c r="G105" s="4">
        <v>1</v>
      </c>
      <c r="H105" s="4">
        <v>1</v>
      </c>
      <c r="I105" s="4">
        <v>12</v>
      </c>
      <c r="J105" s="4">
        <v>15</v>
      </c>
      <c r="K105" s="4">
        <v>6</v>
      </c>
      <c r="L105" s="4">
        <v>3</v>
      </c>
      <c r="M105" s="4">
        <v>8</v>
      </c>
      <c r="N105" s="4">
        <v>16</v>
      </c>
      <c r="O105" s="4">
        <v>6</v>
      </c>
      <c r="P105" s="4">
        <v>4</v>
      </c>
    </row>
    <row r="106" spans="1:16" ht="27.9" customHeight="1" x14ac:dyDescent="0.3">
      <c r="A106" s="3">
        <v>45605</v>
      </c>
      <c r="B106" s="4" t="s">
        <v>149</v>
      </c>
      <c r="C106" s="4" t="s">
        <v>123</v>
      </c>
      <c r="D106" s="4">
        <v>0</v>
      </c>
      <c r="E106" s="4">
        <v>2</v>
      </c>
      <c r="F106" s="4" t="s">
        <v>130</v>
      </c>
      <c r="G106" s="4">
        <v>0</v>
      </c>
      <c r="H106" s="4">
        <v>1</v>
      </c>
      <c r="I106" s="4">
        <v>13</v>
      </c>
      <c r="J106" s="4">
        <v>17</v>
      </c>
      <c r="K106" s="4">
        <v>5</v>
      </c>
      <c r="L106" s="4">
        <v>7</v>
      </c>
      <c r="M106" s="4">
        <v>10</v>
      </c>
      <c r="N106" s="4">
        <v>11</v>
      </c>
      <c r="O106" s="4">
        <v>1</v>
      </c>
      <c r="P106" s="4">
        <v>8</v>
      </c>
    </row>
    <row r="107" spans="1:16" ht="27.9" customHeight="1" x14ac:dyDescent="0.3">
      <c r="A107" s="3">
        <v>45605</v>
      </c>
      <c r="B107" s="4" t="s">
        <v>144</v>
      </c>
      <c r="C107" s="4" t="s">
        <v>135</v>
      </c>
      <c r="D107" s="4">
        <v>0</v>
      </c>
      <c r="E107" s="4">
        <v>0</v>
      </c>
      <c r="F107" s="4" t="s">
        <v>125</v>
      </c>
      <c r="G107" s="4">
        <v>0</v>
      </c>
      <c r="H107" s="4">
        <v>0</v>
      </c>
      <c r="I107" s="4">
        <v>11</v>
      </c>
      <c r="J107" s="4">
        <v>18</v>
      </c>
      <c r="K107" s="4">
        <v>6</v>
      </c>
      <c r="L107" s="4">
        <v>4</v>
      </c>
      <c r="M107" s="4">
        <v>10</v>
      </c>
      <c r="N107" s="4">
        <v>9</v>
      </c>
      <c r="O107" s="4">
        <v>7</v>
      </c>
      <c r="P107" s="4">
        <v>6</v>
      </c>
    </row>
    <row r="108" spans="1:16" ht="27.9" customHeight="1" x14ac:dyDescent="0.3">
      <c r="A108" s="3">
        <v>45605</v>
      </c>
      <c r="B108" s="4" t="s">
        <v>133</v>
      </c>
      <c r="C108" s="4" t="s">
        <v>139</v>
      </c>
      <c r="D108" s="4">
        <v>2</v>
      </c>
      <c r="E108" s="4">
        <v>0</v>
      </c>
      <c r="F108" s="4" t="s">
        <v>124</v>
      </c>
      <c r="G108" s="4">
        <v>1</v>
      </c>
      <c r="H108" s="4">
        <v>0</v>
      </c>
      <c r="I108" s="4">
        <v>8</v>
      </c>
      <c r="J108" s="4">
        <v>9</v>
      </c>
      <c r="K108" s="4">
        <v>4</v>
      </c>
      <c r="L108" s="4">
        <v>0</v>
      </c>
      <c r="M108" s="4">
        <v>14</v>
      </c>
      <c r="N108" s="4">
        <v>12</v>
      </c>
      <c r="O108" s="4">
        <v>1</v>
      </c>
      <c r="P108" s="4">
        <v>9</v>
      </c>
    </row>
    <row r="109" spans="1:16" ht="27.9" customHeight="1" x14ac:dyDescent="0.3">
      <c r="A109" s="3">
        <v>45605</v>
      </c>
      <c r="B109" s="4" t="s">
        <v>136</v>
      </c>
      <c r="C109" s="4" t="s">
        <v>152</v>
      </c>
      <c r="D109" s="4">
        <v>2</v>
      </c>
      <c r="E109" s="4">
        <v>1</v>
      </c>
      <c r="F109" s="4" t="s">
        <v>124</v>
      </c>
      <c r="G109" s="4">
        <v>0</v>
      </c>
      <c r="H109" s="4">
        <v>1</v>
      </c>
      <c r="I109" s="4">
        <v>10</v>
      </c>
      <c r="J109" s="4">
        <v>15</v>
      </c>
      <c r="K109" s="4">
        <v>4</v>
      </c>
      <c r="L109" s="4">
        <v>6</v>
      </c>
      <c r="M109" s="4">
        <v>12</v>
      </c>
      <c r="N109" s="4">
        <v>10</v>
      </c>
      <c r="O109" s="4">
        <v>0</v>
      </c>
      <c r="P109" s="4">
        <v>4</v>
      </c>
    </row>
    <row r="110" spans="1:16" ht="27.9" customHeight="1" x14ac:dyDescent="0.3">
      <c r="A110" s="3">
        <v>45605</v>
      </c>
      <c r="B110" s="4" t="s">
        <v>129</v>
      </c>
      <c r="C110" s="4" t="s">
        <v>145</v>
      </c>
      <c r="D110" s="4">
        <v>2</v>
      </c>
      <c r="E110" s="4">
        <v>0</v>
      </c>
      <c r="F110" s="4" t="s">
        <v>124</v>
      </c>
      <c r="G110" s="4">
        <v>1</v>
      </c>
      <c r="H110" s="4">
        <v>0</v>
      </c>
      <c r="I110" s="4">
        <v>14</v>
      </c>
      <c r="J110" s="4">
        <v>12</v>
      </c>
      <c r="K110" s="4">
        <v>5</v>
      </c>
      <c r="L110" s="4">
        <v>2</v>
      </c>
      <c r="M110" s="4">
        <v>11</v>
      </c>
      <c r="N110" s="4">
        <v>15</v>
      </c>
      <c r="O110" s="4">
        <v>2</v>
      </c>
      <c r="P110" s="4">
        <v>9</v>
      </c>
    </row>
    <row r="111" spans="1:16" ht="27.9" customHeight="1" x14ac:dyDescent="0.3">
      <c r="A111" s="3">
        <v>45606</v>
      </c>
      <c r="B111" s="4" t="s">
        <v>122</v>
      </c>
      <c r="C111" s="4" t="s">
        <v>155</v>
      </c>
      <c r="D111" s="4">
        <v>3</v>
      </c>
      <c r="E111" s="4">
        <v>0</v>
      </c>
      <c r="F111" s="4" t="s">
        <v>124</v>
      </c>
      <c r="G111" s="4">
        <v>2</v>
      </c>
      <c r="H111" s="4">
        <v>0</v>
      </c>
      <c r="I111" s="4">
        <v>13</v>
      </c>
      <c r="J111" s="4">
        <v>6</v>
      </c>
      <c r="K111" s="4">
        <v>3</v>
      </c>
      <c r="L111" s="4">
        <v>5</v>
      </c>
      <c r="M111" s="4">
        <v>9</v>
      </c>
      <c r="N111" s="4">
        <v>5</v>
      </c>
      <c r="O111" s="4">
        <v>1</v>
      </c>
      <c r="P111" s="4">
        <v>5</v>
      </c>
    </row>
    <row r="112" spans="1:16" ht="27.9" customHeight="1" x14ac:dyDescent="0.3">
      <c r="A112" s="3">
        <v>45606</v>
      </c>
      <c r="B112" s="4" t="s">
        <v>141</v>
      </c>
      <c r="C112" s="4" t="s">
        <v>138</v>
      </c>
      <c r="D112" s="4">
        <v>1</v>
      </c>
      <c r="E112" s="4">
        <v>3</v>
      </c>
      <c r="F112" s="4" t="s">
        <v>130</v>
      </c>
      <c r="G112" s="4">
        <v>1</v>
      </c>
      <c r="H112" s="4">
        <v>0</v>
      </c>
      <c r="I112" s="4">
        <v>9</v>
      </c>
      <c r="J112" s="4">
        <v>17</v>
      </c>
      <c r="K112" s="4">
        <v>3</v>
      </c>
      <c r="L112" s="4">
        <v>6</v>
      </c>
      <c r="M112" s="4">
        <v>13</v>
      </c>
      <c r="N112" s="4">
        <v>6</v>
      </c>
      <c r="O112" s="4">
        <v>4</v>
      </c>
      <c r="P112" s="4">
        <v>5</v>
      </c>
    </row>
    <row r="113" spans="1:16" ht="27.9" customHeight="1" x14ac:dyDescent="0.3">
      <c r="A113" s="3">
        <v>45606</v>
      </c>
      <c r="B113" s="4" t="s">
        <v>156</v>
      </c>
      <c r="C113" s="4" t="s">
        <v>128</v>
      </c>
      <c r="D113" s="4">
        <v>1</v>
      </c>
      <c r="E113" s="4">
        <v>2</v>
      </c>
      <c r="F113" s="4" t="s">
        <v>130</v>
      </c>
      <c r="G113" s="4">
        <v>0</v>
      </c>
      <c r="H113" s="4">
        <v>2</v>
      </c>
      <c r="I113" s="4">
        <v>17</v>
      </c>
      <c r="J113" s="4">
        <v>8</v>
      </c>
      <c r="K113" s="4">
        <v>5</v>
      </c>
      <c r="L113" s="4">
        <v>3</v>
      </c>
      <c r="M113" s="4">
        <v>10</v>
      </c>
      <c r="N113" s="4">
        <v>19</v>
      </c>
      <c r="O113" s="4">
        <v>12</v>
      </c>
      <c r="P113" s="4">
        <v>2</v>
      </c>
    </row>
    <row r="114" spans="1:16" ht="27.9" customHeight="1" x14ac:dyDescent="0.3">
      <c r="A114" s="3">
        <v>45606</v>
      </c>
      <c r="B114" s="4" t="s">
        <v>151</v>
      </c>
      <c r="C114" s="4" t="s">
        <v>132</v>
      </c>
      <c r="D114" s="4">
        <v>1</v>
      </c>
      <c r="E114" s="4">
        <v>1</v>
      </c>
      <c r="F114" s="4" t="s">
        <v>125</v>
      </c>
      <c r="G114" s="4">
        <v>0</v>
      </c>
      <c r="H114" s="4">
        <v>0</v>
      </c>
      <c r="I114" s="4">
        <v>17</v>
      </c>
      <c r="J114" s="4">
        <v>13</v>
      </c>
      <c r="K114" s="4">
        <v>3</v>
      </c>
      <c r="L114" s="4">
        <v>3</v>
      </c>
      <c r="M114" s="4">
        <v>12</v>
      </c>
      <c r="N114" s="4">
        <v>12</v>
      </c>
      <c r="O114" s="4">
        <v>4</v>
      </c>
      <c r="P114" s="4">
        <v>3</v>
      </c>
    </row>
    <row r="115" spans="1:16" ht="27.9" customHeight="1" x14ac:dyDescent="0.3">
      <c r="A115" s="3">
        <v>45619</v>
      </c>
      <c r="B115" s="4" t="s">
        <v>155</v>
      </c>
      <c r="C115" s="4" t="s">
        <v>151</v>
      </c>
      <c r="D115" s="4">
        <v>1</v>
      </c>
      <c r="E115" s="4">
        <v>2</v>
      </c>
      <c r="F115" s="4" t="s">
        <v>130</v>
      </c>
      <c r="G115" s="4">
        <v>0</v>
      </c>
      <c r="H115" s="4">
        <v>1</v>
      </c>
      <c r="I115" s="4">
        <v>4</v>
      </c>
      <c r="J115" s="4">
        <v>16</v>
      </c>
      <c r="K115" s="4">
        <v>1</v>
      </c>
      <c r="L115" s="4">
        <v>7</v>
      </c>
      <c r="M115" s="4">
        <v>15</v>
      </c>
      <c r="N115" s="4">
        <v>12</v>
      </c>
      <c r="O115" s="4">
        <v>2</v>
      </c>
      <c r="P115" s="4">
        <v>9</v>
      </c>
    </row>
    <row r="116" spans="1:16" ht="27.9" customHeight="1" x14ac:dyDescent="0.3">
      <c r="A116" s="3">
        <v>45619</v>
      </c>
      <c r="B116" s="4" t="s">
        <v>132</v>
      </c>
      <c r="C116" s="4" t="s">
        <v>141</v>
      </c>
      <c r="D116" s="4">
        <v>3</v>
      </c>
      <c r="E116" s="4">
        <v>0</v>
      </c>
      <c r="F116" s="4" t="s">
        <v>124</v>
      </c>
      <c r="G116" s="4">
        <v>1</v>
      </c>
      <c r="H116" s="4">
        <v>0</v>
      </c>
      <c r="I116" s="4">
        <v>19</v>
      </c>
      <c r="J116" s="4">
        <v>7</v>
      </c>
      <c r="K116" s="4">
        <v>7</v>
      </c>
      <c r="L116" s="4">
        <v>0</v>
      </c>
      <c r="M116" s="4">
        <v>10</v>
      </c>
      <c r="N116" s="4">
        <v>1</v>
      </c>
      <c r="O116" s="4">
        <v>8</v>
      </c>
      <c r="P116" s="4">
        <v>1</v>
      </c>
    </row>
    <row r="117" spans="1:16" ht="27.9" customHeight="1" x14ac:dyDescent="0.3">
      <c r="A117" s="3">
        <v>45619</v>
      </c>
      <c r="B117" s="4" t="s">
        <v>145</v>
      </c>
      <c r="C117" s="4" t="s">
        <v>149</v>
      </c>
      <c r="D117" s="4">
        <v>2</v>
      </c>
      <c r="E117" s="4">
        <v>2</v>
      </c>
      <c r="F117" s="4" t="s">
        <v>125</v>
      </c>
      <c r="G117" s="4">
        <v>1</v>
      </c>
      <c r="H117" s="4">
        <v>2</v>
      </c>
      <c r="I117" s="4">
        <v>17</v>
      </c>
      <c r="J117" s="4">
        <v>13</v>
      </c>
      <c r="K117" s="4">
        <v>5</v>
      </c>
      <c r="L117" s="4">
        <v>6</v>
      </c>
      <c r="M117" s="4">
        <v>10</v>
      </c>
      <c r="N117" s="4">
        <v>11</v>
      </c>
      <c r="O117" s="4">
        <v>10</v>
      </c>
      <c r="P117" s="4">
        <v>1</v>
      </c>
    </row>
    <row r="118" spans="1:16" ht="27.9" customHeight="1" x14ac:dyDescent="0.3">
      <c r="A118" s="3">
        <v>45619</v>
      </c>
      <c r="B118" s="4" t="s">
        <v>142</v>
      </c>
      <c r="C118" s="4" t="s">
        <v>136</v>
      </c>
      <c r="D118" s="4">
        <v>1</v>
      </c>
      <c r="E118" s="4">
        <v>2</v>
      </c>
      <c r="F118" s="4" t="s">
        <v>130</v>
      </c>
      <c r="G118" s="4">
        <v>0</v>
      </c>
      <c r="H118" s="4">
        <v>1</v>
      </c>
      <c r="I118" s="4">
        <v>19</v>
      </c>
      <c r="J118" s="4">
        <v>6</v>
      </c>
      <c r="K118" s="4">
        <v>5</v>
      </c>
      <c r="L118" s="4">
        <v>4</v>
      </c>
      <c r="M118" s="4">
        <v>13</v>
      </c>
      <c r="N118" s="4">
        <v>10</v>
      </c>
      <c r="O118" s="4">
        <v>7</v>
      </c>
      <c r="P118" s="4">
        <v>0</v>
      </c>
    </row>
    <row r="119" spans="1:16" ht="27.9" customHeight="1" x14ac:dyDescent="0.3">
      <c r="A119" s="3">
        <v>45619</v>
      </c>
      <c r="B119" s="4" t="s">
        <v>135</v>
      </c>
      <c r="C119" s="4" t="s">
        <v>148</v>
      </c>
      <c r="D119" s="4">
        <v>0</v>
      </c>
      <c r="E119" s="4">
        <v>0</v>
      </c>
      <c r="F119" s="4" t="s">
        <v>125</v>
      </c>
      <c r="G119" s="4">
        <v>0</v>
      </c>
      <c r="H119" s="4">
        <v>0</v>
      </c>
      <c r="I119" s="4">
        <v>27</v>
      </c>
      <c r="J119" s="4">
        <v>9</v>
      </c>
      <c r="K119" s="4">
        <v>5</v>
      </c>
      <c r="L119" s="4">
        <v>2</v>
      </c>
      <c r="M119" s="4">
        <v>8</v>
      </c>
      <c r="N119" s="4">
        <v>10</v>
      </c>
      <c r="O119" s="4">
        <v>10</v>
      </c>
      <c r="P119" s="4">
        <v>4</v>
      </c>
    </row>
    <row r="120" spans="1:16" ht="27.9" customHeight="1" x14ac:dyDescent="0.3">
      <c r="A120" s="3">
        <v>45619</v>
      </c>
      <c r="B120" s="4" t="s">
        <v>123</v>
      </c>
      <c r="C120" s="4" t="s">
        <v>133</v>
      </c>
      <c r="D120" s="4">
        <v>1</v>
      </c>
      <c r="E120" s="4">
        <v>4</v>
      </c>
      <c r="F120" s="4" t="s">
        <v>130</v>
      </c>
      <c r="G120" s="4">
        <v>1</v>
      </c>
      <c r="H120" s="4">
        <v>1</v>
      </c>
      <c r="I120" s="4">
        <v>10</v>
      </c>
      <c r="J120" s="4">
        <v>10</v>
      </c>
      <c r="K120" s="4">
        <v>3</v>
      </c>
      <c r="L120" s="4">
        <v>5</v>
      </c>
      <c r="M120" s="4">
        <v>14</v>
      </c>
      <c r="N120" s="4">
        <v>14</v>
      </c>
      <c r="O120" s="4">
        <v>7</v>
      </c>
      <c r="P120" s="4">
        <v>2</v>
      </c>
    </row>
    <row r="121" spans="1:16" ht="27.9" customHeight="1" x14ac:dyDescent="0.3">
      <c r="A121" s="3">
        <v>45619</v>
      </c>
      <c r="B121" s="4" t="s">
        <v>152</v>
      </c>
      <c r="C121" s="4" t="s">
        <v>156</v>
      </c>
      <c r="D121" s="4">
        <v>0</v>
      </c>
      <c r="E121" s="4">
        <v>4</v>
      </c>
      <c r="F121" s="4" t="s">
        <v>130</v>
      </c>
      <c r="G121" s="4">
        <v>0</v>
      </c>
      <c r="H121" s="4">
        <v>2</v>
      </c>
      <c r="I121" s="4">
        <v>23</v>
      </c>
      <c r="J121" s="4">
        <v>9</v>
      </c>
      <c r="K121" s="4">
        <v>5</v>
      </c>
      <c r="L121" s="4">
        <v>7</v>
      </c>
      <c r="M121" s="4">
        <v>19</v>
      </c>
      <c r="N121" s="4">
        <v>9</v>
      </c>
      <c r="O121" s="4">
        <v>9</v>
      </c>
      <c r="P121" s="4">
        <v>3</v>
      </c>
    </row>
    <row r="122" spans="1:16" ht="27.9" customHeight="1" x14ac:dyDescent="0.3">
      <c r="A122" s="3">
        <v>45620</v>
      </c>
      <c r="B122" s="4" t="s">
        <v>139</v>
      </c>
      <c r="C122" s="4" t="s">
        <v>129</v>
      </c>
      <c r="D122" s="4">
        <v>2</v>
      </c>
      <c r="E122" s="4">
        <v>3</v>
      </c>
      <c r="F122" s="4" t="s">
        <v>130</v>
      </c>
      <c r="G122" s="4">
        <v>1</v>
      </c>
      <c r="H122" s="4">
        <v>1</v>
      </c>
      <c r="I122" s="4">
        <v>7</v>
      </c>
      <c r="J122" s="4">
        <v>27</v>
      </c>
      <c r="K122" s="4">
        <v>5</v>
      </c>
      <c r="L122" s="4">
        <v>11</v>
      </c>
      <c r="M122" s="4">
        <v>11</v>
      </c>
      <c r="N122" s="4">
        <v>9</v>
      </c>
      <c r="O122" s="4">
        <v>3</v>
      </c>
      <c r="P122" s="4">
        <v>10</v>
      </c>
    </row>
    <row r="123" spans="1:16" ht="27.9" customHeight="1" x14ac:dyDescent="0.3">
      <c r="A123" s="3">
        <v>45620</v>
      </c>
      <c r="B123" s="4" t="s">
        <v>128</v>
      </c>
      <c r="C123" s="4" t="s">
        <v>122</v>
      </c>
      <c r="D123" s="4">
        <v>1</v>
      </c>
      <c r="E123" s="4">
        <v>1</v>
      </c>
      <c r="F123" s="4" t="s">
        <v>125</v>
      </c>
      <c r="G123" s="4">
        <v>1</v>
      </c>
      <c r="H123" s="4">
        <v>1</v>
      </c>
      <c r="I123" s="4">
        <v>11</v>
      </c>
      <c r="J123" s="4">
        <v>11</v>
      </c>
      <c r="K123" s="4">
        <v>6</v>
      </c>
      <c r="L123" s="4">
        <v>4</v>
      </c>
      <c r="M123" s="4">
        <v>11</v>
      </c>
      <c r="N123" s="4">
        <v>10</v>
      </c>
      <c r="O123" s="4">
        <v>4</v>
      </c>
      <c r="P123" s="4">
        <v>3</v>
      </c>
    </row>
    <row r="124" spans="1:16" ht="27.9" customHeight="1" x14ac:dyDescent="0.3">
      <c r="A124" s="3">
        <v>45621</v>
      </c>
      <c r="B124" s="4" t="s">
        <v>138</v>
      </c>
      <c r="C124" s="4" t="s">
        <v>144</v>
      </c>
      <c r="D124" s="4">
        <v>0</v>
      </c>
      <c r="E124" s="4">
        <v>2</v>
      </c>
      <c r="F124" s="4" t="s">
        <v>130</v>
      </c>
      <c r="G124" s="4">
        <v>0</v>
      </c>
      <c r="H124" s="4">
        <v>1</v>
      </c>
      <c r="I124" s="4">
        <v>18</v>
      </c>
      <c r="J124" s="4">
        <v>15</v>
      </c>
      <c r="K124" s="4">
        <v>2</v>
      </c>
      <c r="L124" s="4">
        <v>6</v>
      </c>
      <c r="M124" s="4">
        <v>11</v>
      </c>
      <c r="N124" s="4">
        <v>8</v>
      </c>
      <c r="O124" s="4">
        <v>8</v>
      </c>
      <c r="P124" s="4">
        <v>3</v>
      </c>
    </row>
    <row r="125" spans="1:16" ht="27.9" customHeight="1" x14ac:dyDescent="0.3">
      <c r="A125" s="3">
        <v>45625</v>
      </c>
      <c r="B125" s="4" t="s">
        <v>136</v>
      </c>
      <c r="C125" s="4" t="s">
        <v>139</v>
      </c>
      <c r="D125" s="4">
        <v>1</v>
      </c>
      <c r="E125" s="4">
        <v>1</v>
      </c>
      <c r="F125" s="4" t="s">
        <v>125</v>
      </c>
      <c r="G125" s="4">
        <v>1</v>
      </c>
      <c r="H125" s="4">
        <v>0</v>
      </c>
      <c r="I125" s="4">
        <v>22</v>
      </c>
      <c r="J125" s="4">
        <v>10</v>
      </c>
      <c r="K125" s="4">
        <v>5</v>
      </c>
      <c r="L125" s="4">
        <v>2</v>
      </c>
      <c r="M125" s="4">
        <v>20</v>
      </c>
      <c r="N125" s="4">
        <v>16</v>
      </c>
      <c r="O125" s="4">
        <v>7</v>
      </c>
      <c r="P125" s="4">
        <v>6</v>
      </c>
    </row>
    <row r="126" spans="1:16" ht="27.9" customHeight="1" x14ac:dyDescent="0.3">
      <c r="A126" s="3">
        <v>45626</v>
      </c>
      <c r="B126" s="4" t="s">
        <v>148</v>
      </c>
      <c r="C126" s="4" t="s">
        <v>155</v>
      </c>
      <c r="D126" s="4">
        <v>4</v>
      </c>
      <c r="E126" s="4">
        <v>1</v>
      </c>
      <c r="F126" s="4" t="s">
        <v>124</v>
      </c>
      <c r="G126" s="4">
        <v>3</v>
      </c>
      <c r="H126" s="4">
        <v>1</v>
      </c>
      <c r="I126" s="4">
        <v>13</v>
      </c>
      <c r="J126" s="4">
        <v>7</v>
      </c>
      <c r="K126" s="4">
        <v>6</v>
      </c>
      <c r="L126" s="4">
        <v>3</v>
      </c>
      <c r="M126" s="4">
        <v>9</v>
      </c>
      <c r="N126" s="4">
        <v>10</v>
      </c>
      <c r="O126" s="4">
        <v>5</v>
      </c>
      <c r="P126" s="4">
        <v>4</v>
      </c>
    </row>
    <row r="127" spans="1:16" ht="27.9" customHeight="1" x14ac:dyDescent="0.3">
      <c r="A127" s="3">
        <v>45626</v>
      </c>
      <c r="B127" s="4" t="s">
        <v>149</v>
      </c>
      <c r="C127" s="4" t="s">
        <v>138</v>
      </c>
      <c r="D127" s="4">
        <v>1</v>
      </c>
      <c r="E127" s="4">
        <v>1</v>
      </c>
      <c r="F127" s="4" t="s">
        <v>125</v>
      </c>
      <c r="G127" s="4">
        <v>0</v>
      </c>
      <c r="H127" s="4">
        <v>0</v>
      </c>
      <c r="I127" s="4">
        <v>16</v>
      </c>
      <c r="J127" s="4">
        <v>1</v>
      </c>
      <c r="K127" s="4">
        <v>4</v>
      </c>
      <c r="L127" s="4">
        <v>0</v>
      </c>
      <c r="M127" s="4">
        <v>12</v>
      </c>
      <c r="N127" s="4">
        <v>11</v>
      </c>
      <c r="O127" s="4">
        <v>8</v>
      </c>
      <c r="P127" s="4">
        <v>9</v>
      </c>
    </row>
    <row r="128" spans="1:16" ht="27.9" customHeight="1" x14ac:dyDescent="0.3">
      <c r="A128" s="3">
        <v>45626</v>
      </c>
      <c r="B128" s="4" t="s">
        <v>141</v>
      </c>
      <c r="C128" s="4" t="s">
        <v>128</v>
      </c>
      <c r="D128" s="4">
        <v>1</v>
      </c>
      <c r="E128" s="4">
        <v>0</v>
      </c>
      <c r="F128" s="4" t="s">
        <v>124</v>
      </c>
      <c r="G128" s="4">
        <v>0</v>
      </c>
      <c r="H128" s="4">
        <v>0</v>
      </c>
      <c r="I128" s="4">
        <v>12</v>
      </c>
      <c r="J128" s="4">
        <v>7</v>
      </c>
      <c r="K128" s="4">
        <v>5</v>
      </c>
      <c r="L128" s="4">
        <v>3</v>
      </c>
      <c r="M128" s="4">
        <v>5</v>
      </c>
      <c r="N128" s="4">
        <v>16</v>
      </c>
      <c r="O128" s="4">
        <v>8</v>
      </c>
      <c r="P128" s="4">
        <v>7</v>
      </c>
    </row>
    <row r="129" spans="1:16" ht="27.9" customHeight="1" x14ac:dyDescent="0.3">
      <c r="A129" s="3">
        <v>45626</v>
      </c>
      <c r="B129" s="4" t="s">
        <v>133</v>
      </c>
      <c r="C129" s="4" t="s">
        <v>142</v>
      </c>
      <c r="D129" s="4">
        <v>2</v>
      </c>
      <c r="E129" s="4">
        <v>4</v>
      </c>
      <c r="F129" s="4" t="s">
        <v>130</v>
      </c>
      <c r="G129" s="4">
        <v>1</v>
      </c>
      <c r="H129" s="4">
        <v>3</v>
      </c>
      <c r="I129" s="4">
        <v>10</v>
      </c>
      <c r="J129" s="4">
        <v>12</v>
      </c>
      <c r="K129" s="4">
        <v>3</v>
      </c>
      <c r="L129" s="4">
        <v>8</v>
      </c>
      <c r="M129" s="4">
        <v>13</v>
      </c>
      <c r="N129" s="4">
        <v>11</v>
      </c>
      <c r="O129" s="4">
        <v>3</v>
      </c>
      <c r="P129" s="4">
        <v>4</v>
      </c>
    </row>
    <row r="130" spans="1:16" ht="27.9" customHeight="1" x14ac:dyDescent="0.3">
      <c r="A130" s="3">
        <v>45626</v>
      </c>
      <c r="B130" s="4" t="s">
        <v>144</v>
      </c>
      <c r="C130" s="4" t="s">
        <v>132</v>
      </c>
      <c r="D130" s="4">
        <v>2</v>
      </c>
      <c r="E130" s="4">
        <v>5</v>
      </c>
      <c r="F130" s="4" t="s">
        <v>130</v>
      </c>
      <c r="G130" s="4">
        <v>2</v>
      </c>
      <c r="H130" s="4">
        <v>5</v>
      </c>
      <c r="I130" s="4">
        <v>12</v>
      </c>
      <c r="J130" s="4">
        <v>16</v>
      </c>
      <c r="K130" s="4">
        <v>5</v>
      </c>
      <c r="L130" s="4">
        <v>7</v>
      </c>
      <c r="M130" s="4">
        <v>10</v>
      </c>
      <c r="N130" s="4">
        <v>13</v>
      </c>
      <c r="O130" s="4">
        <v>2</v>
      </c>
      <c r="P130" s="4">
        <v>10</v>
      </c>
    </row>
    <row r="131" spans="1:16" ht="27.9" customHeight="1" x14ac:dyDescent="0.3">
      <c r="A131" s="3">
        <v>45627</v>
      </c>
      <c r="B131" s="4" t="s">
        <v>151</v>
      </c>
      <c r="C131" s="4" t="s">
        <v>145</v>
      </c>
      <c r="D131" s="4">
        <v>3</v>
      </c>
      <c r="E131" s="4">
        <v>0</v>
      </c>
      <c r="F131" s="4" t="s">
        <v>124</v>
      </c>
      <c r="G131" s="4">
        <v>2</v>
      </c>
      <c r="H131" s="4">
        <v>0</v>
      </c>
      <c r="I131" s="4">
        <v>17</v>
      </c>
      <c r="J131" s="4">
        <v>10</v>
      </c>
      <c r="K131" s="4">
        <v>8</v>
      </c>
      <c r="L131" s="4">
        <v>4</v>
      </c>
      <c r="M131" s="4">
        <v>21</v>
      </c>
      <c r="N131" s="4">
        <v>6</v>
      </c>
      <c r="O131" s="4">
        <v>3</v>
      </c>
      <c r="P131" s="4">
        <v>4</v>
      </c>
    </row>
    <row r="132" spans="1:16" ht="27.9" customHeight="1" x14ac:dyDescent="0.3">
      <c r="A132" s="3">
        <v>45627</v>
      </c>
      <c r="B132" s="4" t="s">
        <v>122</v>
      </c>
      <c r="C132" s="4" t="s">
        <v>135</v>
      </c>
      <c r="D132" s="4">
        <v>4</v>
      </c>
      <c r="E132" s="4">
        <v>0</v>
      </c>
      <c r="F132" s="4" t="s">
        <v>124</v>
      </c>
      <c r="G132" s="4">
        <v>2</v>
      </c>
      <c r="H132" s="4">
        <v>0</v>
      </c>
      <c r="I132" s="4">
        <v>11</v>
      </c>
      <c r="J132" s="4">
        <v>8</v>
      </c>
      <c r="K132" s="4">
        <v>5</v>
      </c>
      <c r="L132" s="4">
        <v>2</v>
      </c>
      <c r="M132" s="4">
        <v>12</v>
      </c>
      <c r="N132" s="4">
        <v>12</v>
      </c>
      <c r="O132" s="4">
        <v>2</v>
      </c>
      <c r="P132" s="4">
        <v>2</v>
      </c>
    </row>
    <row r="133" spans="1:16" ht="27.9" customHeight="1" x14ac:dyDescent="0.3">
      <c r="A133" s="3">
        <v>45627</v>
      </c>
      <c r="B133" s="4" t="s">
        <v>156</v>
      </c>
      <c r="C133" s="4" t="s">
        <v>123</v>
      </c>
      <c r="D133" s="4">
        <v>1</v>
      </c>
      <c r="E133" s="4">
        <v>1</v>
      </c>
      <c r="F133" s="4" t="s">
        <v>125</v>
      </c>
      <c r="G133" s="4">
        <v>0</v>
      </c>
      <c r="H133" s="4">
        <v>0</v>
      </c>
      <c r="I133" s="4">
        <v>8</v>
      </c>
      <c r="J133" s="4">
        <v>14</v>
      </c>
      <c r="K133" s="4">
        <v>3</v>
      </c>
      <c r="L133" s="4">
        <v>6</v>
      </c>
      <c r="M133" s="4">
        <v>4</v>
      </c>
      <c r="N133" s="4">
        <v>14</v>
      </c>
      <c r="O133" s="4">
        <v>7</v>
      </c>
      <c r="P133" s="4">
        <v>11</v>
      </c>
    </row>
    <row r="134" spans="1:16" ht="27.9" customHeight="1" x14ac:dyDescent="0.3">
      <c r="A134" s="3">
        <v>45627</v>
      </c>
      <c r="B134" s="4" t="s">
        <v>129</v>
      </c>
      <c r="C134" s="4" t="s">
        <v>152</v>
      </c>
      <c r="D134" s="4">
        <v>2</v>
      </c>
      <c r="E134" s="4">
        <v>0</v>
      </c>
      <c r="F134" s="4" t="s">
        <v>124</v>
      </c>
      <c r="G134" s="4">
        <v>1</v>
      </c>
      <c r="H134" s="4">
        <v>0</v>
      </c>
      <c r="I134" s="4">
        <v>18</v>
      </c>
      <c r="J134" s="4">
        <v>8</v>
      </c>
      <c r="K134" s="4">
        <v>7</v>
      </c>
      <c r="L134" s="4">
        <v>2</v>
      </c>
      <c r="M134" s="4">
        <v>9</v>
      </c>
      <c r="N134" s="4">
        <v>8</v>
      </c>
      <c r="O134" s="4">
        <v>7</v>
      </c>
      <c r="P134" s="4">
        <v>4</v>
      </c>
    </row>
    <row r="135" spans="1:16" ht="27.9" customHeight="1" x14ac:dyDescent="0.3">
      <c r="A135" s="3">
        <v>45629</v>
      </c>
      <c r="B135" s="4" t="s">
        <v>128</v>
      </c>
      <c r="C135" s="4" t="s">
        <v>149</v>
      </c>
      <c r="D135" s="4">
        <v>0</v>
      </c>
      <c r="E135" s="4">
        <v>1</v>
      </c>
      <c r="F135" s="4" t="s">
        <v>130</v>
      </c>
      <c r="G135" s="4">
        <v>0</v>
      </c>
      <c r="H135" s="4">
        <v>0</v>
      </c>
      <c r="I135" s="4">
        <v>9</v>
      </c>
      <c r="J135" s="4">
        <v>13</v>
      </c>
      <c r="K135" s="4">
        <v>2</v>
      </c>
      <c r="L135" s="4">
        <v>3</v>
      </c>
      <c r="M135" s="4">
        <v>14</v>
      </c>
      <c r="N135" s="4">
        <v>13</v>
      </c>
      <c r="O135" s="4">
        <v>4</v>
      </c>
      <c r="P135" s="4">
        <v>7</v>
      </c>
    </row>
    <row r="136" spans="1:16" ht="27.9" customHeight="1" x14ac:dyDescent="0.3">
      <c r="A136" s="3">
        <v>45629</v>
      </c>
      <c r="B136" s="4" t="s">
        <v>155</v>
      </c>
      <c r="C136" s="4" t="s">
        <v>144</v>
      </c>
      <c r="D136" s="4">
        <v>3</v>
      </c>
      <c r="E136" s="4">
        <v>1</v>
      </c>
      <c r="F136" s="4" t="s">
        <v>124</v>
      </c>
      <c r="G136" s="4">
        <v>1</v>
      </c>
      <c r="H136" s="4">
        <v>0</v>
      </c>
      <c r="I136" s="4">
        <v>8</v>
      </c>
      <c r="J136" s="4">
        <v>31</v>
      </c>
      <c r="K136" s="4">
        <v>6</v>
      </c>
      <c r="L136" s="4">
        <v>10</v>
      </c>
      <c r="M136" s="4">
        <v>9</v>
      </c>
      <c r="N136" s="4">
        <v>7</v>
      </c>
      <c r="O136" s="4">
        <v>3</v>
      </c>
      <c r="P136" s="4">
        <v>9</v>
      </c>
    </row>
    <row r="137" spans="1:16" ht="27.9" customHeight="1" x14ac:dyDescent="0.3">
      <c r="A137" s="3">
        <v>45630</v>
      </c>
      <c r="B137" s="4" t="s">
        <v>135</v>
      </c>
      <c r="C137" s="4" t="s">
        <v>133</v>
      </c>
      <c r="D137" s="4">
        <v>4</v>
      </c>
      <c r="E137" s="4">
        <v>0</v>
      </c>
      <c r="F137" s="4" t="s">
        <v>124</v>
      </c>
      <c r="G137" s="4">
        <v>2</v>
      </c>
      <c r="H137" s="4">
        <v>0</v>
      </c>
      <c r="I137" s="4">
        <v>13</v>
      </c>
      <c r="J137" s="4">
        <v>6</v>
      </c>
      <c r="K137" s="4">
        <v>4</v>
      </c>
      <c r="L137" s="4">
        <v>2</v>
      </c>
      <c r="M137" s="4">
        <v>10</v>
      </c>
      <c r="N137" s="4">
        <v>8</v>
      </c>
      <c r="O137" s="4">
        <v>3</v>
      </c>
      <c r="P137" s="4">
        <v>4</v>
      </c>
    </row>
    <row r="138" spans="1:16" ht="27.9" customHeight="1" x14ac:dyDescent="0.3">
      <c r="A138" s="3">
        <v>45630</v>
      </c>
      <c r="B138" s="4" t="s">
        <v>152</v>
      </c>
      <c r="C138" s="4" t="s">
        <v>141</v>
      </c>
      <c r="D138" s="4">
        <v>3</v>
      </c>
      <c r="E138" s="4">
        <v>0</v>
      </c>
      <c r="F138" s="4" t="s">
        <v>124</v>
      </c>
      <c r="G138" s="4">
        <v>2</v>
      </c>
      <c r="H138" s="4">
        <v>0</v>
      </c>
      <c r="I138" s="4">
        <v>17</v>
      </c>
      <c r="J138" s="4">
        <v>12</v>
      </c>
      <c r="K138" s="4">
        <v>7</v>
      </c>
      <c r="L138" s="4">
        <v>3</v>
      </c>
      <c r="M138" s="4">
        <v>7</v>
      </c>
      <c r="N138" s="4">
        <v>15</v>
      </c>
      <c r="O138" s="4">
        <v>8</v>
      </c>
      <c r="P138" s="4">
        <v>2</v>
      </c>
    </row>
    <row r="139" spans="1:16" ht="27.9" customHeight="1" x14ac:dyDescent="0.3">
      <c r="A139" s="3">
        <v>45630</v>
      </c>
      <c r="B139" s="4" t="s">
        <v>138</v>
      </c>
      <c r="C139" s="4" t="s">
        <v>129</v>
      </c>
      <c r="D139" s="4">
        <v>3</v>
      </c>
      <c r="E139" s="4">
        <v>3</v>
      </c>
      <c r="F139" s="4" t="s">
        <v>125</v>
      </c>
      <c r="G139" s="4">
        <v>1</v>
      </c>
      <c r="H139" s="4">
        <v>0</v>
      </c>
      <c r="I139" s="4">
        <v>17</v>
      </c>
      <c r="J139" s="4">
        <v>16</v>
      </c>
      <c r="K139" s="4">
        <v>6</v>
      </c>
      <c r="L139" s="4">
        <v>5</v>
      </c>
      <c r="M139" s="4">
        <v>9</v>
      </c>
      <c r="N139" s="4">
        <v>17</v>
      </c>
      <c r="O139" s="4">
        <v>5</v>
      </c>
      <c r="P139" s="4">
        <v>6</v>
      </c>
    </row>
    <row r="140" spans="1:16" ht="27.9" customHeight="1" x14ac:dyDescent="0.3">
      <c r="A140" s="3">
        <v>45630</v>
      </c>
      <c r="B140" s="4" t="s">
        <v>139</v>
      </c>
      <c r="C140" s="4" t="s">
        <v>151</v>
      </c>
      <c r="D140" s="4">
        <v>1</v>
      </c>
      <c r="E140" s="4">
        <v>5</v>
      </c>
      <c r="F140" s="4" t="s">
        <v>130</v>
      </c>
      <c r="G140" s="4">
        <v>1</v>
      </c>
      <c r="H140" s="4">
        <v>3</v>
      </c>
      <c r="I140" s="4">
        <v>6</v>
      </c>
      <c r="J140" s="4">
        <v>26</v>
      </c>
      <c r="K140" s="4">
        <v>4</v>
      </c>
      <c r="L140" s="4">
        <v>13</v>
      </c>
      <c r="M140" s="4">
        <v>7</v>
      </c>
      <c r="N140" s="4">
        <v>14</v>
      </c>
      <c r="O140" s="4">
        <v>5</v>
      </c>
      <c r="P140" s="4">
        <v>7</v>
      </c>
    </row>
    <row r="141" spans="1:16" ht="27.9" customHeight="1" x14ac:dyDescent="0.3">
      <c r="A141" s="3">
        <v>45630</v>
      </c>
      <c r="B141" s="4" t="s">
        <v>132</v>
      </c>
      <c r="C141" s="4" t="s">
        <v>122</v>
      </c>
      <c r="D141" s="4">
        <v>2</v>
      </c>
      <c r="E141" s="4">
        <v>0</v>
      </c>
      <c r="F141" s="4" t="s">
        <v>124</v>
      </c>
      <c r="G141" s="4">
        <v>0</v>
      </c>
      <c r="H141" s="4">
        <v>0</v>
      </c>
      <c r="I141" s="4">
        <v>14</v>
      </c>
      <c r="J141" s="4">
        <v>5</v>
      </c>
      <c r="K141" s="4">
        <v>6</v>
      </c>
      <c r="L141" s="4">
        <v>2</v>
      </c>
      <c r="M141" s="4">
        <v>12</v>
      </c>
      <c r="N141" s="4">
        <v>8</v>
      </c>
      <c r="O141" s="4">
        <v>13</v>
      </c>
      <c r="P141" s="4">
        <v>0</v>
      </c>
    </row>
    <row r="142" spans="1:16" ht="27.9" customHeight="1" x14ac:dyDescent="0.3">
      <c r="A142" s="3">
        <v>45630</v>
      </c>
      <c r="B142" s="4" t="s">
        <v>145</v>
      </c>
      <c r="C142" s="4" t="s">
        <v>148</v>
      </c>
      <c r="D142" s="4">
        <v>3</v>
      </c>
      <c r="E142" s="4">
        <v>1</v>
      </c>
      <c r="F142" s="4" t="s">
        <v>124</v>
      </c>
      <c r="G142" s="4">
        <v>3</v>
      </c>
      <c r="H142" s="4">
        <v>0</v>
      </c>
      <c r="I142" s="4">
        <v>20</v>
      </c>
      <c r="J142" s="4">
        <v>9</v>
      </c>
      <c r="K142" s="4">
        <v>10</v>
      </c>
      <c r="L142" s="4">
        <v>1</v>
      </c>
      <c r="M142" s="4">
        <v>11</v>
      </c>
      <c r="N142" s="4">
        <v>15</v>
      </c>
      <c r="O142" s="4">
        <v>10</v>
      </c>
      <c r="P142" s="4">
        <v>5</v>
      </c>
    </row>
    <row r="143" spans="1:16" ht="27.9" customHeight="1" x14ac:dyDescent="0.3">
      <c r="A143" s="3">
        <v>45631</v>
      </c>
      <c r="B143" s="4" t="s">
        <v>123</v>
      </c>
      <c r="C143" s="4" t="s">
        <v>136</v>
      </c>
      <c r="D143" s="4">
        <v>3</v>
      </c>
      <c r="E143" s="4">
        <v>1</v>
      </c>
      <c r="F143" s="4" t="s">
        <v>124</v>
      </c>
      <c r="G143" s="4">
        <v>1</v>
      </c>
      <c r="H143" s="4">
        <v>0</v>
      </c>
      <c r="I143" s="4">
        <v>6</v>
      </c>
      <c r="J143" s="4">
        <v>13</v>
      </c>
      <c r="K143" s="4">
        <v>2</v>
      </c>
      <c r="L143" s="4">
        <v>3</v>
      </c>
      <c r="M143" s="4">
        <v>7</v>
      </c>
      <c r="N143" s="4">
        <v>8</v>
      </c>
      <c r="O143" s="4">
        <v>5</v>
      </c>
      <c r="P143" s="4">
        <v>6</v>
      </c>
    </row>
    <row r="144" spans="1:16" ht="27.9" customHeight="1" x14ac:dyDescent="0.3">
      <c r="A144" s="3">
        <v>45631</v>
      </c>
      <c r="B144" s="4" t="s">
        <v>142</v>
      </c>
      <c r="C144" s="4" t="s">
        <v>156</v>
      </c>
      <c r="D144" s="4">
        <v>1</v>
      </c>
      <c r="E144" s="4">
        <v>0</v>
      </c>
      <c r="F144" s="4" t="s">
        <v>124</v>
      </c>
      <c r="G144" s="4">
        <v>1</v>
      </c>
      <c r="H144" s="4">
        <v>0</v>
      </c>
      <c r="I144" s="4">
        <v>21</v>
      </c>
      <c r="J144" s="4">
        <v>12</v>
      </c>
      <c r="K144" s="4">
        <v>8</v>
      </c>
      <c r="L144" s="4">
        <v>4</v>
      </c>
      <c r="M144" s="4">
        <v>15</v>
      </c>
      <c r="N144" s="4">
        <v>8</v>
      </c>
      <c r="O144" s="4">
        <v>5</v>
      </c>
      <c r="P144" s="4">
        <v>9</v>
      </c>
    </row>
    <row r="145" spans="1:16" ht="27.9" customHeight="1" x14ac:dyDescent="0.3">
      <c r="A145" s="3">
        <v>45633</v>
      </c>
      <c r="B145" s="4" t="s">
        <v>145</v>
      </c>
      <c r="C145" s="4" t="s">
        <v>139</v>
      </c>
      <c r="D145" s="4">
        <v>1</v>
      </c>
      <c r="E145" s="4">
        <v>0</v>
      </c>
      <c r="F145" s="4" t="s">
        <v>124</v>
      </c>
      <c r="G145" s="4">
        <v>1</v>
      </c>
      <c r="H145" s="4">
        <v>0</v>
      </c>
      <c r="I145" s="4">
        <v>18</v>
      </c>
      <c r="J145" s="4">
        <v>4</v>
      </c>
      <c r="K145" s="4">
        <v>5</v>
      </c>
      <c r="L145" s="4">
        <v>0</v>
      </c>
      <c r="M145" s="4">
        <v>18</v>
      </c>
      <c r="N145" s="4">
        <v>15</v>
      </c>
      <c r="O145" s="4">
        <v>14</v>
      </c>
      <c r="P145" s="4">
        <v>1</v>
      </c>
    </row>
    <row r="146" spans="1:16" ht="27.9" customHeight="1" x14ac:dyDescent="0.3">
      <c r="A146" s="3">
        <v>45633</v>
      </c>
      <c r="B146" s="4" t="s">
        <v>148</v>
      </c>
      <c r="C146" s="4" t="s">
        <v>138</v>
      </c>
      <c r="D146" s="4">
        <v>4</v>
      </c>
      <c r="E146" s="4">
        <v>2</v>
      </c>
      <c r="F146" s="4" t="s">
        <v>124</v>
      </c>
      <c r="G146" s="4">
        <v>2</v>
      </c>
      <c r="H146" s="4">
        <v>2</v>
      </c>
      <c r="I146" s="4">
        <v>11</v>
      </c>
      <c r="J146" s="4">
        <v>16</v>
      </c>
      <c r="K146" s="4">
        <v>8</v>
      </c>
      <c r="L146" s="4">
        <v>3</v>
      </c>
      <c r="M146" s="4">
        <v>10</v>
      </c>
      <c r="N146" s="4">
        <v>7</v>
      </c>
      <c r="O146" s="4">
        <v>3</v>
      </c>
      <c r="P146" s="4">
        <v>4</v>
      </c>
    </row>
    <row r="147" spans="1:16" ht="27.9" customHeight="1" x14ac:dyDescent="0.3">
      <c r="A147" s="3">
        <v>45633</v>
      </c>
      <c r="B147" s="4" t="s">
        <v>149</v>
      </c>
      <c r="C147" s="4" t="s">
        <v>152</v>
      </c>
      <c r="D147" s="4">
        <v>2</v>
      </c>
      <c r="E147" s="4">
        <v>2</v>
      </c>
      <c r="F147" s="4" t="s">
        <v>125</v>
      </c>
      <c r="G147" s="4">
        <v>1</v>
      </c>
      <c r="H147" s="4">
        <v>1</v>
      </c>
      <c r="I147" s="4">
        <v>12</v>
      </c>
      <c r="J147" s="4">
        <v>12</v>
      </c>
      <c r="K147" s="4">
        <v>3</v>
      </c>
      <c r="L147" s="4">
        <v>4</v>
      </c>
      <c r="M147" s="4">
        <v>4</v>
      </c>
      <c r="N147" s="4">
        <v>10</v>
      </c>
      <c r="O147" s="4">
        <v>6</v>
      </c>
      <c r="P147" s="4">
        <v>8</v>
      </c>
    </row>
    <row r="148" spans="1:16" ht="27.9" customHeight="1" x14ac:dyDescent="0.3">
      <c r="A148" s="3">
        <v>45633</v>
      </c>
      <c r="B148" s="4" t="s">
        <v>122</v>
      </c>
      <c r="C148" s="4" t="s">
        <v>141</v>
      </c>
      <c r="D148" s="4">
        <v>2</v>
      </c>
      <c r="E148" s="4">
        <v>3</v>
      </c>
      <c r="F148" s="4" t="s">
        <v>130</v>
      </c>
      <c r="G148" s="4">
        <v>1</v>
      </c>
      <c r="H148" s="4">
        <v>1</v>
      </c>
      <c r="I148" s="4">
        <v>17</v>
      </c>
      <c r="J148" s="4">
        <v>11</v>
      </c>
      <c r="K148" s="4">
        <v>7</v>
      </c>
      <c r="L148" s="4">
        <v>3</v>
      </c>
      <c r="M148" s="4">
        <v>10</v>
      </c>
      <c r="N148" s="4">
        <v>13</v>
      </c>
      <c r="O148" s="4">
        <v>5</v>
      </c>
      <c r="P148" s="4">
        <v>3</v>
      </c>
    </row>
    <row r="149" spans="1:16" ht="27.9" customHeight="1" x14ac:dyDescent="0.3">
      <c r="A149" s="3">
        <v>45634</v>
      </c>
      <c r="B149" s="4" t="s">
        <v>123</v>
      </c>
      <c r="C149" s="4" t="s">
        <v>132</v>
      </c>
      <c r="D149" s="4">
        <v>1</v>
      </c>
      <c r="E149" s="4">
        <v>1</v>
      </c>
      <c r="F149" s="4" t="s">
        <v>125</v>
      </c>
      <c r="G149" s="4">
        <v>1</v>
      </c>
      <c r="H149" s="4">
        <v>0</v>
      </c>
      <c r="I149" s="4">
        <v>2</v>
      </c>
      <c r="J149" s="4">
        <v>12</v>
      </c>
      <c r="K149" s="4">
        <v>2</v>
      </c>
      <c r="L149" s="4">
        <v>4</v>
      </c>
      <c r="M149" s="4">
        <v>10</v>
      </c>
      <c r="N149" s="4">
        <v>9</v>
      </c>
      <c r="O149" s="4">
        <v>0</v>
      </c>
      <c r="P149" s="4">
        <v>6</v>
      </c>
    </row>
    <row r="150" spans="1:16" ht="27.9" customHeight="1" x14ac:dyDescent="0.3">
      <c r="A150" s="3">
        <v>45634</v>
      </c>
      <c r="B150" s="4" t="s">
        <v>128</v>
      </c>
      <c r="C150" s="4" t="s">
        <v>142</v>
      </c>
      <c r="D150" s="4">
        <v>1</v>
      </c>
      <c r="E150" s="4">
        <v>2</v>
      </c>
      <c r="F150" s="4" t="s">
        <v>130</v>
      </c>
      <c r="G150" s="4">
        <v>1</v>
      </c>
      <c r="H150" s="4">
        <v>0</v>
      </c>
      <c r="I150" s="4">
        <v>18</v>
      </c>
      <c r="J150" s="4">
        <v>22</v>
      </c>
      <c r="K150" s="4">
        <v>5</v>
      </c>
      <c r="L150" s="4">
        <v>6</v>
      </c>
      <c r="M150" s="4">
        <v>9</v>
      </c>
      <c r="N150" s="4">
        <v>13</v>
      </c>
      <c r="O150" s="4">
        <v>6</v>
      </c>
      <c r="P150" s="4">
        <v>13</v>
      </c>
    </row>
    <row r="151" spans="1:16" ht="27.9" customHeight="1" x14ac:dyDescent="0.3">
      <c r="A151" s="3">
        <v>45634</v>
      </c>
      <c r="B151" s="4" t="s">
        <v>155</v>
      </c>
      <c r="C151" s="4" t="s">
        <v>136</v>
      </c>
      <c r="D151" s="4">
        <v>2</v>
      </c>
      <c r="E151" s="4">
        <v>2</v>
      </c>
      <c r="F151" s="4" t="s">
        <v>125</v>
      </c>
      <c r="G151" s="4">
        <v>0</v>
      </c>
      <c r="H151" s="4">
        <v>1</v>
      </c>
      <c r="I151" s="4">
        <v>10</v>
      </c>
      <c r="J151" s="4">
        <v>16</v>
      </c>
      <c r="K151" s="4">
        <v>3</v>
      </c>
      <c r="L151" s="4">
        <v>7</v>
      </c>
      <c r="M151" s="4">
        <v>9</v>
      </c>
      <c r="N151" s="4">
        <v>10</v>
      </c>
      <c r="O151" s="4">
        <v>5</v>
      </c>
      <c r="P151" s="4">
        <v>5</v>
      </c>
    </row>
    <row r="152" spans="1:16" ht="27.9" customHeight="1" x14ac:dyDescent="0.3">
      <c r="A152" s="3">
        <v>45634</v>
      </c>
      <c r="B152" s="4" t="s">
        <v>156</v>
      </c>
      <c r="C152" s="4" t="s">
        <v>151</v>
      </c>
      <c r="D152" s="4">
        <v>3</v>
      </c>
      <c r="E152" s="4">
        <v>4</v>
      </c>
      <c r="F152" s="4" t="s">
        <v>130</v>
      </c>
      <c r="G152" s="4">
        <v>2</v>
      </c>
      <c r="H152" s="4">
        <v>1</v>
      </c>
      <c r="I152" s="4">
        <v>13</v>
      </c>
      <c r="J152" s="4">
        <v>17</v>
      </c>
      <c r="K152" s="4">
        <v>5</v>
      </c>
      <c r="L152" s="4">
        <v>8</v>
      </c>
      <c r="M152" s="4">
        <v>17</v>
      </c>
      <c r="N152" s="4">
        <v>11</v>
      </c>
      <c r="O152" s="4">
        <v>5</v>
      </c>
      <c r="P152" s="4">
        <v>10</v>
      </c>
    </row>
    <row r="153" spans="1:16" ht="27.9" customHeight="1" x14ac:dyDescent="0.3">
      <c r="A153" s="3">
        <v>45635</v>
      </c>
      <c r="B153" s="4" t="s">
        <v>144</v>
      </c>
      <c r="C153" s="4" t="s">
        <v>133</v>
      </c>
      <c r="D153" s="4">
        <v>2</v>
      </c>
      <c r="E153" s="4">
        <v>1</v>
      </c>
      <c r="F153" s="4" t="s">
        <v>124</v>
      </c>
      <c r="G153" s="4">
        <v>0</v>
      </c>
      <c r="H153" s="4">
        <v>0</v>
      </c>
      <c r="I153" s="4">
        <v>19</v>
      </c>
      <c r="J153" s="4">
        <v>19</v>
      </c>
      <c r="K153" s="4">
        <v>4</v>
      </c>
      <c r="L153" s="4">
        <v>5</v>
      </c>
      <c r="M153" s="4">
        <v>12</v>
      </c>
      <c r="N153" s="4">
        <v>17</v>
      </c>
      <c r="O153" s="4">
        <v>11</v>
      </c>
      <c r="P153" s="4">
        <v>0</v>
      </c>
    </row>
    <row r="154" spans="1:16" ht="27.9" customHeight="1" x14ac:dyDescent="0.3">
      <c r="A154" s="3">
        <v>45640</v>
      </c>
      <c r="B154" s="4" t="s">
        <v>132</v>
      </c>
      <c r="C154" s="4" t="s">
        <v>135</v>
      </c>
      <c r="D154" s="4">
        <v>0</v>
      </c>
      <c r="E154" s="4">
        <v>0</v>
      </c>
      <c r="F154" s="4" t="s">
        <v>125</v>
      </c>
      <c r="G154" s="4">
        <v>0</v>
      </c>
      <c r="H154" s="4">
        <v>0</v>
      </c>
      <c r="I154" s="4">
        <v>13</v>
      </c>
      <c r="J154" s="4">
        <v>2</v>
      </c>
      <c r="K154" s="4">
        <v>5</v>
      </c>
      <c r="L154" s="4">
        <v>0</v>
      </c>
      <c r="M154" s="4">
        <v>6</v>
      </c>
      <c r="N154" s="4">
        <v>9</v>
      </c>
      <c r="O154" s="4">
        <v>8</v>
      </c>
      <c r="P154" s="4">
        <v>2</v>
      </c>
    </row>
    <row r="155" spans="1:16" ht="27.9" customHeight="1" x14ac:dyDescent="0.3">
      <c r="A155" s="3">
        <v>45640</v>
      </c>
      <c r="B155" s="4" t="s">
        <v>129</v>
      </c>
      <c r="C155" s="4" t="s">
        <v>123</v>
      </c>
      <c r="D155" s="4">
        <v>2</v>
      </c>
      <c r="E155" s="4">
        <v>2</v>
      </c>
      <c r="F155" s="4" t="s">
        <v>125</v>
      </c>
      <c r="G155" s="4">
        <v>0</v>
      </c>
      <c r="H155" s="4">
        <v>1</v>
      </c>
      <c r="I155" s="4">
        <v>16</v>
      </c>
      <c r="J155" s="4">
        <v>12</v>
      </c>
      <c r="K155" s="4">
        <v>4</v>
      </c>
      <c r="L155" s="4">
        <v>3</v>
      </c>
      <c r="M155" s="4">
        <v>10</v>
      </c>
      <c r="N155" s="4">
        <v>7</v>
      </c>
      <c r="O155" s="4">
        <v>5</v>
      </c>
      <c r="P155" s="4">
        <v>4</v>
      </c>
    </row>
    <row r="156" spans="1:16" ht="27.9" customHeight="1" x14ac:dyDescent="0.3">
      <c r="A156" s="3">
        <v>45640</v>
      </c>
      <c r="B156" s="4" t="s">
        <v>138</v>
      </c>
      <c r="C156" s="4" t="s">
        <v>155</v>
      </c>
      <c r="D156" s="4">
        <v>4</v>
      </c>
      <c r="E156" s="4">
        <v>0</v>
      </c>
      <c r="F156" s="4" t="s">
        <v>124</v>
      </c>
      <c r="G156" s="4">
        <v>1</v>
      </c>
      <c r="H156" s="4">
        <v>0</v>
      </c>
      <c r="I156" s="4">
        <v>27</v>
      </c>
      <c r="J156" s="4">
        <v>4</v>
      </c>
      <c r="K156" s="4">
        <v>11</v>
      </c>
      <c r="L156" s="4">
        <v>1</v>
      </c>
      <c r="M156" s="4">
        <v>7</v>
      </c>
      <c r="N156" s="4">
        <v>16</v>
      </c>
      <c r="O156" s="4">
        <v>5</v>
      </c>
      <c r="P156" s="4">
        <v>2</v>
      </c>
    </row>
    <row r="157" spans="1:16" ht="27.9" customHeight="1" x14ac:dyDescent="0.3">
      <c r="A157" s="3">
        <v>45640</v>
      </c>
      <c r="B157" s="4" t="s">
        <v>133</v>
      </c>
      <c r="C157" s="4" t="s">
        <v>128</v>
      </c>
      <c r="D157" s="4">
        <v>1</v>
      </c>
      <c r="E157" s="4">
        <v>2</v>
      </c>
      <c r="F157" s="4" t="s">
        <v>130</v>
      </c>
      <c r="G157" s="4">
        <v>0</v>
      </c>
      <c r="H157" s="4">
        <v>1</v>
      </c>
      <c r="I157" s="4">
        <v>16</v>
      </c>
      <c r="J157" s="4">
        <v>10</v>
      </c>
      <c r="K157" s="4">
        <v>6</v>
      </c>
      <c r="L157" s="4">
        <v>5</v>
      </c>
      <c r="M157" s="4">
        <v>13</v>
      </c>
      <c r="N157" s="4">
        <v>9</v>
      </c>
      <c r="O157" s="4">
        <v>7</v>
      </c>
      <c r="P157" s="4">
        <v>3</v>
      </c>
    </row>
    <row r="158" spans="1:16" ht="27.9" customHeight="1" x14ac:dyDescent="0.3">
      <c r="A158" s="3">
        <v>45640</v>
      </c>
      <c r="B158" s="4" t="s">
        <v>141</v>
      </c>
      <c r="C158" s="4" t="s">
        <v>145</v>
      </c>
      <c r="D158" s="4">
        <v>2</v>
      </c>
      <c r="E158" s="4">
        <v>1</v>
      </c>
      <c r="F158" s="4" t="s">
        <v>124</v>
      </c>
      <c r="G158" s="4">
        <v>0</v>
      </c>
      <c r="H158" s="4">
        <v>0</v>
      </c>
      <c r="I158" s="4">
        <v>17</v>
      </c>
      <c r="J158" s="4">
        <v>8</v>
      </c>
      <c r="K158" s="4">
        <v>6</v>
      </c>
      <c r="L158" s="4">
        <v>2</v>
      </c>
      <c r="M158" s="4">
        <v>12</v>
      </c>
      <c r="N158" s="4">
        <v>6</v>
      </c>
      <c r="O158" s="4">
        <v>4</v>
      </c>
      <c r="P158" s="4">
        <v>3</v>
      </c>
    </row>
    <row r="159" spans="1:16" ht="27.9" customHeight="1" x14ac:dyDescent="0.3">
      <c r="A159" s="3">
        <v>45641</v>
      </c>
      <c r="B159" s="4" t="s">
        <v>136</v>
      </c>
      <c r="C159" s="4" t="s">
        <v>149</v>
      </c>
      <c r="D159" s="4">
        <v>1</v>
      </c>
      <c r="E159" s="4">
        <v>3</v>
      </c>
      <c r="F159" s="4" t="s">
        <v>130</v>
      </c>
      <c r="G159" s="4">
        <v>0</v>
      </c>
      <c r="H159" s="4">
        <v>2</v>
      </c>
      <c r="I159" s="4">
        <v>17</v>
      </c>
      <c r="J159" s="4">
        <v>13</v>
      </c>
      <c r="K159" s="4">
        <v>5</v>
      </c>
      <c r="L159" s="4">
        <v>5</v>
      </c>
      <c r="M159" s="4">
        <v>11</v>
      </c>
      <c r="N159" s="4">
        <v>15</v>
      </c>
      <c r="O159" s="4">
        <v>8</v>
      </c>
      <c r="P159" s="4">
        <v>5</v>
      </c>
    </row>
    <row r="160" spans="1:16" ht="27.9" customHeight="1" x14ac:dyDescent="0.3">
      <c r="A160" s="3">
        <v>45641</v>
      </c>
      <c r="B160" s="4" t="s">
        <v>152</v>
      </c>
      <c r="C160" s="4" t="s">
        <v>122</v>
      </c>
      <c r="D160" s="4">
        <v>1</v>
      </c>
      <c r="E160" s="4">
        <v>2</v>
      </c>
      <c r="F160" s="4" t="s">
        <v>130</v>
      </c>
      <c r="G160" s="4">
        <v>1</v>
      </c>
      <c r="H160" s="4">
        <v>0</v>
      </c>
      <c r="I160" s="4">
        <v>10</v>
      </c>
      <c r="J160" s="4">
        <v>10</v>
      </c>
      <c r="K160" s="4">
        <v>3</v>
      </c>
      <c r="L160" s="4">
        <v>3</v>
      </c>
      <c r="M160" s="4">
        <v>5</v>
      </c>
      <c r="N160" s="4">
        <v>14</v>
      </c>
      <c r="O160" s="4">
        <v>8</v>
      </c>
      <c r="P160" s="4">
        <v>2</v>
      </c>
    </row>
    <row r="161" spans="1:16" ht="27.9" customHeight="1" x14ac:dyDescent="0.3">
      <c r="A161" s="3">
        <v>45641</v>
      </c>
      <c r="B161" s="4" t="s">
        <v>151</v>
      </c>
      <c r="C161" s="4" t="s">
        <v>148</v>
      </c>
      <c r="D161" s="4">
        <v>2</v>
      </c>
      <c r="E161" s="4">
        <v>1</v>
      </c>
      <c r="F161" s="4" t="s">
        <v>124</v>
      </c>
      <c r="G161" s="4">
        <v>1</v>
      </c>
      <c r="H161" s="4">
        <v>0</v>
      </c>
      <c r="I161" s="4">
        <v>26</v>
      </c>
      <c r="J161" s="4">
        <v>9</v>
      </c>
      <c r="K161" s="4">
        <v>8</v>
      </c>
      <c r="L161" s="4">
        <v>4</v>
      </c>
      <c r="M161" s="4">
        <v>11</v>
      </c>
      <c r="N161" s="4">
        <v>7</v>
      </c>
      <c r="O161" s="4">
        <v>8</v>
      </c>
      <c r="P161" s="4">
        <v>5</v>
      </c>
    </row>
    <row r="162" spans="1:16" ht="27.9" customHeight="1" x14ac:dyDescent="0.3">
      <c r="A162" s="3">
        <v>45641</v>
      </c>
      <c r="B162" s="4" t="s">
        <v>139</v>
      </c>
      <c r="C162" s="4" t="s">
        <v>156</v>
      </c>
      <c r="D162" s="4">
        <v>0</v>
      </c>
      <c r="E162" s="4">
        <v>5</v>
      </c>
      <c r="F162" s="4" t="s">
        <v>130</v>
      </c>
      <c r="G162" s="4">
        <v>0</v>
      </c>
      <c r="H162" s="4">
        <v>5</v>
      </c>
      <c r="I162" s="4">
        <v>9</v>
      </c>
      <c r="J162" s="4">
        <v>18</v>
      </c>
      <c r="K162" s="4">
        <v>3</v>
      </c>
      <c r="L162" s="4">
        <v>9</v>
      </c>
      <c r="M162" s="4">
        <v>8</v>
      </c>
      <c r="N162" s="4">
        <v>15</v>
      </c>
      <c r="O162" s="4">
        <v>2</v>
      </c>
      <c r="P162" s="4">
        <v>5</v>
      </c>
    </row>
    <row r="163" spans="1:16" ht="27.9" customHeight="1" x14ac:dyDescent="0.3">
      <c r="A163" s="3">
        <v>45642</v>
      </c>
      <c r="B163" s="4" t="s">
        <v>142</v>
      </c>
      <c r="C163" s="4" t="s">
        <v>144</v>
      </c>
      <c r="D163" s="4">
        <v>1</v>
      </c>
      <c r="E163" s="4">
        <v>1</v>
      </c>
      <c r="F163" s="4" t="s">
        <v>125</v>
      </c>
      <c r="G163" s="4">
        <v>0</v>
      </c>
      <c r="H163" s="4">
        <v>0</v>
      </c>
      <c r="I163" s="4">
        <v>29</v>
      </c>
      <c r="J163" s="4">
        <v>16</v>
      </c>
      <c r="K163" s="4">
        <v>9</v>
      </c>
      <c r="L163" s="4">
        <v>3</v>
      </c>
      <c r="M163" s="4">
        <v>6</v>
      </c>
      <c r="N163" s="4">
        <v>11</v>
      </c>
      <c r="O163" s="4">
        <v>12</v>
      </c>
      <c r="P163" s="4">
        <v>6</v>
      </c>
    </row>
    <row r="164" spans="1:16" ht="27.9" customHeight="1" x14ac:dyDescent="0.3">
      <c r="A164" s="3">
        <v>45647</v>
      </c>
      <c r="B164" s="4" t="s">
        <v>145</v>
      </c>
      <c r="C164" s="4" t="s">
        <v>152</v>
      </c>
      <c r="D164" s="4">
        <v>2</v>
      </c>
      <c r="E164" s="4">
        <v>1</v>
      </c>
      <c r="F164" s="4" t="s">
        <v>124</v>
      </c>
      <c r="G164" s="4">
        <v>1</v>
      </c>
      <c r="H164" s="4">
        <v>0</v>
      </c>
      <c r="I164" s="4">
        <v>11</v>
      </c>
      <c r="J164" s="4">
        <v>12</v>
      </c>
      <c r="K164" s="4">
        <v>6</v>
      </c>
      <c r="L164" s="4">
        <v>6</v>
      </c>
      <c r="M164" s="4">
        <v>14</v>
      </c>
      <c r="N164" s="4">
        <v>7</v>
      </c>
      <c r="O164" s="4">
        <v>5</v>
      </c>
      <c r="P164" s="4">
        <v>4</v>
      </c>
    </row>
    <row r="165" spans="1:16" ht="27.9" customHeight="1" x14ac:dyDescent="0.3">
      <c r="A165" s="3">
        <v>45647</v>
      </c>
      <c r="B165" s="4" t="s">
        <v>148</v>
      </c>
      <c r="C165" s="4" t="s">
        <v>141</v>
      </c>
      <c r="D165" s="4">
        <v>0</v>
      </c>
      <c r="E165" s="4">
        <v>2</v>
      </c>
      <c r="F165" s="4" t="s">
        <v>130</v>
      </c>
      <c r="G165" s="4">
        <v>0</v>
      </c>
      <c r="H165" s="4">
        <v>1</v>
      </c>
      <c r="I165" s="4">
        <v>7</v>
      </c>
      <c r="J165" s="4">
        <v>10</v>
      </c>
      <c r="K165" s="4">
        <v>3</v>
      </c>
      <c r="L165" s="4">
        <v>6</v>
      </c>
      <c r="M165" s="4">
        <v>9</v>
      </c>
      <c r="N165" s="4">
        <v>14</v>
      </c>
      <c r="O165" s="4">
        <v>9</v>
      </c>
      <c r="P165" s="4">
        <v>5</v>
      </c>
    </row>
    <row r="166" spans="1:16" ht="27.9" customHeight="1" x14ac:dyDescent="0.3">
      <c r="A166" s="3">
        <v>45647</v>
      </c>
      <c r="B166" s="4" t="s">
        <v>128</v>
      </c>
      <c r="C166" s="4" t="s">
        <v>138</v>
      </c>
      <c r="D166" s="4">
        <v>0</v>
      </c>
      <c r="E166" s="4">
        <v>4</v>
      </c>
      <c r="F166" s="4" t="s">
        <v>130</v>
      </c>
      <c r="G166" s="4">
        <v>0</v>
      </c>
      <c r="H166" s="4">
        <v>3</v>
      </c>
      <c r="I166" s="4">
        <v>10</v>
      </c>
      <c r="J166" s="4">
        <v>15</v>
      </c>
      <c r="K166" s="4">
        <v>2</v>
      </c>
      <c r="L166" s="4">
        <v>7</v>
      </c>
      <c r="M166" s="4">
        <v>9</v>
      </c>
      <c r="N166" s="4">
        <v>7</v>
      </c>
      <c r="O166" s="4">
        <v>2</v>
      </c>
      <c r="P166" s="4">
        <v>1</v>
      </c>
    </row>
    <row r="167" spans="1:16" ht="27.9" customHeight="1" x14ac:dyDescent="0.3">
      <c r="A167" s="3">
        <v>45647</v>
      </c>
      <c r="B167" s="4" t="s">
        <v>144</v>
      </c>
      <c r="C167" s="4" t="s">
        <v>136</v>
      </c>
      <c r="D167" s="4">
        <v>1</v>
      </c>
      <c r="E167" s="4">
        <v>1</v>
      </c>
      <c r="F167" s="4" t="s">
        <v>125</v>
      </c>
      <c r="G167" s="4">
        <v>0</v>
      </c>
      <c r="H167" s="4">
        <v>0</v>
      </c>
      <c r="I167" s="4">
        <v>11</v>
      </c>
      <c r="J167" s="4">
        <v>12</v>
      </c>
      <c r="K167" s="4">
        <v>4</v>
      </c>
      <c r="L167" s="4">
        <v>6</v>
      </c>
      <c r="M167" s="4">
        <v>14</v>
      </c>
      <c r="N167" s="4">
        <v>20</v>
      </c>
      <c r="O167" s="4">
        <v>8</v>
      </c>
      <c r="P167" s="4">
        <v>4</v>
      </c>
    </row>
    <row r="168" spans="1:16" ht="27.9" customHeight="1" x14ac:dyDescent="0.3">
      <c r="A168" s="3">
        <v>45647</v>
      </c>
      <c r="B168" s="4" t="s">
        <v>149</v>
      </c>
      <c r="C168" s="4" t="s">
        <v>132</v>
      </c>
      <c r="D168" s="4">
        <v>1</v>
      </c>
      <c r="E168" s="4">
        <v>5</v>
      </c>
      <c r="F168" s="4" t="s">
        <v>130</v>
      </c>
      <c r="G168" s="4">
        <v>1</v>
      </c>
      <c r="H168" s="4">
        <v>3</v>
      </c>
      <c r="I168" s="4">
        <v>15</v>
      </c>
      <c r="J168" s="4">
        <v>14</v>
      </c>
      <c r="K168" s="4">
        <v>6</v>
      </c>
      <c r="L168" s="4">
        <v>6</v>
      </c>
      <c r="M168" s="4">
        <v>9</v>
      </c>
      <c r="N168" s="4">
        <v>8</v>
      </c>
      <c r="O168" s="4">
        <v>3</v>
      </c>
      <c r="P168" s="4">
        <v>3</v>
      </c>
    </row>
    <row r="169" spans="1:16" ht="27.9" customHeight="1" x14ac:dyDescent="0.3">
      <c r="A169" s="3">
        <v>45648</v>
      </c>
      <c r="B169" s="4" t="s">
        <v>135</v>
      </c>
      <c r="C169" s="4" t="s">
        <v>151</v>
      </c>
      <c r="D169" s="4">
        <v>0</v>
      </c>
      <c r="E169" s="4">
        <v>0</v>
      </c>
      <c r="F169" s="4" t="s">
        <v>125</v>
      </c>
      <c r="G169" s="4">
        <v>0</v>
      </c>
      <c r="H169" s="4">
        <v>0</v>
      </c>
      <c r="I169" s="4">
        <v>5</v>
      </c>
      <c r="J169" s="4">
        <v>12</v>
      </c>
      <c r="K169" s="4">
        <v>4</v>
      </c>
      <c r="L169" s="4">
        <v>5</v>
      </c>
      <c r="M169" s="4">
        <v>20</v>
      </c>
      <c r="N169" s="4">
        <v>12</v>
      </c>
      <c r="O169" s="4">
        <v>2</v>
      </c>
      <c r="P169" s="4">
        <v>5</v>
      </c>
    </row>
    <row r="170" spans="1:16" ht="27.9" customHeight="1" x14ac:dyDescent="0.3">
      <c r="A170" s="3">
        <v>45648</v>
      </c>
      <c r="B170" s="4" t="s">
        <v>123</v>
      </c>
      <c r="C170" s="4" t="s">
        <v>139</v>
      </c>
      <c r="D170" s="4">
        <v>0</v>
      </c>
      <c r="E170" s="4">
        <v>0</v>
      </c>
      <c r="F170" s="4" t="s">
        <v>125</v>
      </c>
      <c r="G170" s="4">
        <v>0</v>
      </c>
      <c r="H170" s="4">
        <v>0</v>
      </c>
      <c r="I170" s="4">
        <v>16</v>
      </c>
      <c r="J170" s="4">
        <v>5</v>
      </c>
      <c r="K170" s="4">
        <v>5</v>
      </c>
      <c r="L170" s="4">
        <v>1</v>
      </c>
      <c r="M170" s="4">
        <v>8</v>
      </c>
      <c r="N170" s="4">
        <v>15</v>
      </c>
      <c r="O170" s="4">
        <v>6</v>
      </c>
      <c r="P170" s="4">
        <v>5</v>
      </c>
    </row>
    <row r="171" spans="1:16" ht="27.9" customHeight="1" x14ac:dyDescent="0.3">
      <c r="A171" s="3">
        <v>45648</v>
      </c>
      <c r="B171" s="4" t="s">
        <v>155</v>
      </c>
      <c r="C171" s="4" t="s">
        <v>133</v>
      </c>
      <c r="D171" s="4">
        <v>0</v>
      </c>
      <c r="E171" s="4">
        <v>3</v>
      </c>
      <c r="F171" s="4" t="s">
        <v>130</v>
      </c>
      <c r="G171" s="4">
        <v>0</v>
      </c>
      <c r="H171" s="4">
        <v>3</v>
      </c>
      <c r="I171" s="4">
        <v>9</v>
      </c>
      <c r="J171" s="4">
        <v>8</v>
      </c>
      <c r="K171" s="4">
        <v>5</v>
      </c>
      <c r="L171" s="4">
        <v>4</v>
      </c>
      <c r="M171" s="4">
        <v>15</v>
      </c>
      <c r="N171" s="4">
        <v>16</v>
      </c>
      <c r="O171" s="4">
        <v>6</v>
      </c>
      <c r="P171" s="4">
        <v>1</v>
      </c>
    </row>
    <row r="172" spans="1:16" ht="27.9" customHeight="1" x14ac:dyDescent="0.3">
      <c r="A172" s="3">
        <v>45648</v>
      </c>
      <c r="B172" s="4" t="s">
        <v>122</v>
      </c>
      <c r="C172" s="4" t="s">
        <v>142</v>
      </c>
      <c r="D172" s="4">
        <v>0</v>
      </c>
      <c r="E172" s="4">
        <v>3</v>
      </c>
      <c r="F172" s="4" t="s">
        <v>130</v>
      </c>
      <c r="G172" s="4">
        <v>0</v>
      </c>
      <c r="H172" s="4">
        <v>1</v>
      </c>
      <c r="I172" s="4">
        <v>23</v>
      </c>
      <c r="J172" s="4">
        <v>10</v>
      </c>
      <c r="K172" s="4">
        <v>7</v>
      </c>
      <c r="L172" s="4">
        <v>5</v>
      </c>
      <c r="M172" s="4">
        <v>11</v>
      </c>
      <c r="N172" s="4">
        <v>11</v>
      </c>
      <c r="O172" s="4">
        <v>13</v>
      </c>
      <c r="P172" s="4">
        <v>1</v>
      </c>
    </row>
    <row r="173" spans="1:16" ht="27.9" customHeight="1" x14ac:dyDescent="0.3">
      <c r="A173" s="3">
        <v>45648</v>
      </c>
      <c r="B173" s="4" t="s">
        <v>156</v>
      </c>
      <c r="C173" s="4" t="s">
        <v>129</v>
      </c>
      <c r="D173" s="4">
        <v>3</v>
      </c>
      <c r="E173" s="4">
        <v>6</v>
      </c>
      <c r="F173" s="4" t="s">
        <v>130</v>
      </c>
      <c r="G173" s="4">
        <v>1</v>
      </c>
      <c r="H173" s="4">
        <v>3</v>
      </c>
      <c r="I173" s="4">
        <v>9</v>
      </c>
      <c r="J173" s="4">
        <v>24</v>
      </c>
      <c r="K173" s="4">
        <v>5</v>
      </c>
      <c r="L173" s="4">
        <v>12</v>
      </c>
      <c r="M173" s="4">
        <v>7</v>
      </c>
      <c r="N173" s="4">
        <v>9</v>
      </c>
      <c r="O173" s="4">
        <v>7</v>
      </c>
      <c r="P173" s="4">
        <v>5</v>
      </c>
    </row>
    <row r="174" spans="1:16" ht="27.9" customHeight="1" x14ac:dyDescent="0.3">
      <c r="A174" s="3">
        <v>45652</v>
      </c>
      <c r="B174" s="4" t="s">
        <v>152</v>
      </c>
      <c r="C174" s="4" t="s">
        <v>135</v>
      </c>
      <c r="D174" s="4">
        <v>1</v>
      </c>
      <c r="E174" s="4">
        <v>1</v>
      </c>
      <c r="F174" s="4" t="s">
        <v>125</v>
      </c>
      <c r="G174" s="4">
        <v>1</v>
      </c>
      <c r="H174" s="4">
        <v>1</v>
      </c>
      <c r="I174" s="4">
        <v>24</v>
      </c>
      <c r="J174" s="4">
        <v>8</v>
      </c>
      <c r="K174" s="4">
        <v>5</v>
      </c>
      <c r="L174" s="4">
        <v>3</v>
      </c>
      <c r="M174" s="4">
        <v>5</v>
      </c>
      <c r="N174" s="4">
        <v>10</v>
      </c>
      <c r="O174" s="4">
        <v>8</v>
      </c>
      <c r="P174" s="4">
        <v>5</v>
      </c>
    </row>
    <row r="175" spans="1:16" ht="27.9" customHeight="1" x14ac:dyDescent="0.3">
      <c r="A175" s="3">
        <v>45652</v>
      </c>
      <c r="B175" s="4" t="s">
        <v>142</v>
      </c>
      <c r="C175" s="4" t="s">
        <v>149</v>
      </c>
      <c r="D175" s="4">
        <v>0</v>
      </c>
      <c r="E175" s="4">
        <v>0</v>
      </c>
      <c r="F175" s="4" t="s">
        <v>125</v>
      </c>
      <c r="G175" s="4">
        <v>0</v>
      </c>
      <c r="H175" s="4">
        <v>0</v>
      </c>
      <c r="I175" s="4">
        <v>18</v>
      </c>
      <c r="J175" s="4">
        <v>10</v>
      </c>
      <c r="K175" s="4">
        <v>4</v>
      </c>
      <c r="L175" s="4">
        <v>4</v>
      </c>
      <c r="M175" s="4">
        <v>13</v>
      </c>
      <c r="N175" s="4">
        <v>12</v>
      </c>
      <c r="O175" s="4">
        <v>5</v>
      </c>
      <c r="P175" s="4">
        <v>2</v>
      </c>
    </row>
    <row r="176" spans="1:16" ht="27.9" customHeight="1" x14ac:dyDescent="0.3">
      <c r="A176" s="3">
        <v>45652</v>
      </c>
      <c r="B176" s="4" t="s">
        <v>151</v>
      </c>
      <c r="C176" s="4" t="s">
        <v>123</v>
      </c>
      <c r="D176" s="4">
        <v>1</v>
      </c>
      <c r="E176" s="4">
        <v>2</v>
      </c>
      <c r="F176" s="4" t="s">
        <v>130</v>
      </c>
      <c r="G176" s="4">
        <v>1</v>
      </c>
      <c r="H176" s="4">
        <v>0</v>
      </c>
      <c r="I176" s="4">
        <v>12</v>
      </c>
      <c r="J176" s="4">
        <v>14</v>
      </c>
      <c r="K176" s="4">
        <v>8</v>
      </c>
      <c r="L176" s="4">
        <v>7</v>
      </c>
      <c r="M176" s="4">
        <v>13</v>
      </c>
      <c r="N176" s="4">
        <v>13</v>
      </c>
      <c r="O176" s="4">
        <v>3</v>
      </c>
      <c r="P176" s="4">
        <v>1</v>
      </c>
    </row>
    <row r="177" spans="1:16" ht="27.9" customHeight="1" x14ac:dyDescent="0.3">
      <c r="A177" s="3">
        <v>45652</v>
      </c>
      <c r="B177" s="4" t="s">
        <v>138</v>
      </c>
      <c r="C177" s="4" t="s">
        <v>145</v>
      </c>
      <c r="D177" s="4">
        <v>3</v>
      </c>
      <c r="E177" s="4">
        <v>0</v>
      </c>
      <c r="F177" s="4" t="s">
        <v>124</v>
      </c>
      <c r="G177" s="4">
        <v>1</v>
      </c>
      <c r="H177" s="4">
        <v>0</v>
      </c>
      <c r="I177" s="4">
        <v>22</v>
      </c>
      <c r="J177" s="4">
        <v>4</v>
      </c>
      <c r="K177" s="4">
        <v>8</v>
      </c>
      <c r="L177" s="4">
        <v>1</v>
      </c>
      <c r="M177" s="4">
        <v>15</v>
      </c>
      <c r="N177" s="4">
        <v>10</v>
      </c>
      <c r="O177" s="4">
        <v>9</v>
      </c>
      <c r="P177" s="4">
        <v>6</v>
      </c>
    </row>
    <row r="178" spans="1:16" ht="27.9" customHeight="1" x14ac:dyDescent="0.3">
      <c r="A178" s="3">
        <v>45652</v>
      </c>
      <c r="B178" s="4" t="s">
        <v>141</v>
      </c>
      <c r="C178" s="4" t="s">
        <v>156</v>
      </c>
      <c r="D178" s="4">
        <v>1</v>
      </c>
      <c r="E178" s="4">
        <v>0</v>
      </c>
      <c r="F178" s="4" t="s">
        <v>124</v>
      </c>
      <c r="G178" s="4">
        <v>1</v>
      </c>
      <c r="H178" s="4">
        <v>0</v>
      </c>
      <c r="I178" s="4">
        <v>10</v>
      </c>
      <c r="J178" s="4">
        <v>13</v>
      </c>
      <c r="K178" s="4">
        <v>3</v>
      </c>
      <c r="L178" s="4">
        <v>4</v>
      </c>
      <c r="M178" s="4">
        <v>12</v>
      </c>
      <c r="N178" s="4">
        <v>13</v>
      </c>
      <c r="O178" s="4">
        <v>2</v>
      </c>
      <c r="P178" s="4">
        <v>7</v>
      </c>
    </row>
    <row r="179" spans="1:16" ht="27.9" customHeight="1" x14ac:dyDescent="0.3">
      <c r="A179" s="3">
        <v>45652</v>
      </c>
      <c r="B179" s="4" t="s">
        <v>139</v>
      </c>
      <c r="C179" s="4" t="s">
        <v>144</v>
      </c>
      <c r="D179" s="4">
        <v>0</v>
      </c>
      <c r="E179" s="4">
        <v>1</v>
      </c>
      <c r="F179" s="4" t="s">
        <v>130</v>
      </c>
      <c r="G179" s="4">
        <v>0</v>
      </c>
      <c r="H179" s="4">
        <v>0</v>
      </c>
      <c r="I179" s="4">
        <v>18</v>
      </c>
      <c r="J179" s="4">
        <v>16</v>
      </c>
      <c r="K179" s="4">
        <v>5</v>
      </c>
      <c r="L179" s="4">
        <v>2</v>
      </c>
      <c r="M179" s="4">
        <v>15</v>
      </c>
      <c r="N179" s="4">
        <v>8</v>
      </c>
      <c r="O179" s="4">
        <v>2</v>
      </c>
      <c r="P179" s="4">
        <v>2</v>
      </c>
    </row>
    <row r="180" spans="1:16" ht="27.9" customHeight="1" x14ac:dyDescent="0.3">
      <c r="A180" s="3">
        <v>45652</v>
      </c>
      <c r="B180" s="4" t="s">
        <v>133</v>
      </c>
      <c r="C180" s="4" t="s">
        <v>122</v>
      </c>
      <c r="D180" s="4">
        <v>2</v>
      </c>
      <c r="E180" s="4">
        <v>0</v>
      </c>
      <c r="F180" s="4" t="s">
        <v>124</v>
      </c>
      <c r="G180" s="4">
        <v>0</v>
      </c>
      <c r="H180" s="4">
        <v>0</v>
      </c>
      <c r="I180" s="4">
        <v>7</v>
      </c>
      <c r="J180" s="4">
        <v>11</v>
      </c>
      <c r="K180" s="4">
        <v>4</v>
      </c>
      <c r="L180" s="4">
        <v>4</v>
      </c>
      <c r="M180" s="4">
        <v>12</v>
      </c>
      <c r="N180" s="4">
        <v>12</v>
      </c>
      <c r="O180" s="4">
        <v>4</v>
      </c>
      <c r="P180" s="4">
        <v>4</v>
      </c>
    </row>
    <row r="181" spans="1:16" ht="27.9" customHeight="1" x14ac:dyDescent="0.3">
      <c r="A181" s="3">
        <v>45652</v>
      </c>
      <c r="B181" s="4" t="s">
        <v>129</v>
      </c>
      <c r="C181" s="4" t="s">
        <v>155</v>
      </c>
      <c r="D181" s="4">
        <v>3</v>
      </c>
      <c r="E181" s="4">
        <v>1</v>
      </c>
      <c r="F181" s="4" t="s">
        <v>124</v>
      </c>
      <c r="G181" s="4">
        <v>1</v>
      </c>
      <c r="H181" s="4">
        <v>1</v>
      </c>
      <c r="I181" s="4">
        <v>19</v>
      </c>
      <c r="J181" s="4">
        <v>4</v>
      </c>
      <c r="K181" s="4">
        <v>7</v>
      </c>
      <c r="L181" s="4">
        <v>1</v>
      </c>
      <c r="M181" s="4">
        <v>17</v>
      </c>
      <c r="N181" s="4">
        <v>5</v>
      </c>
      <c r="O181" s="4">
        <v>14</v>
      </c>
      <c r="P181" s="4">
        <v>1</v>
      </c>
    </row>
    <row r="182" spans="1:16" ht="27.9" customHeight="1" x14ac:dyDescent="0.3">
      <c r="A182" s="3">
        <v>45653</v>
      </c>
      <c r="B182" s="4" t="s">
        <v>136</v>
      </c>
      <c r="C182" s="4" t="s">
        <v>148</v>
      </c>
      <c r="D182" s="4">
        <v>0</v>
      </c>
      <c r="E182" s="4">
        <v>0</v>
      </c>
      <c r="F182" s="4" t="s">
        <v>125</v>
      </c>
      <c r="G182" s="4">
        <v>0</v>
      </c>
      <c r="H182" s="4">
        <v>0</v>
      </c>
      <c r="I182" s="4">
        <v>24</v>
      </c>
      <c r="J182" s="4">
        <v>8</v>
      </c>
      <c r="K182" s="4">
        <v>7</v>
      </c>
      <c r="L182" s="4">
        <v>3</v>
      </c>
      <c r="M182" s="4">
        <v>6</v>
      </c>
      <c r="N182" s="4">
        <v>12</v>
      </c>
      <c r="O182" s="4">
        <v>5</v>
      </c>
      <c r="P182" s="4">
        <v>3</v>
      </c>
    </row>
    <row r="183" spans="1:16" ht="27.9" customHeight="1" x14ac:dyDescent="0.3">
      <c r="A183" s="3">
        <v>45653</v>
      </c>
      <c r="B183" s="4" t="s">
        <v>132</v>
      </c>
      <c r="C183" s="4" t="s">
        <v>128</v>
      </c>
      <c r="D183" s="4">
        <v>1</v>
      </c>
      <c r="E183" s="4">
        <v>0</v>
      </c>
      <c r="F183" s="4" t="s">
        <v>124</v>
      </c>
      <c r="G183" s="4">
        <v>1</v>
      </c>
      <c r="H183" s="4">
        <v>0</v>
      </c>
      <c r="I183" s="4">
        <v>13</v>
      </c>
      <c r="J183" s="4">
        <v>3</v>
      </c>
      <c r="K183" s="4">
        <v>5</v>
      </c>
      <c r="L183" s="4">
        <v>0</v>
      </c>
      <c r="M183" s="4">
        <v>7</v>
      </c>
      <c r="N183" s="4">
        <v>12</v>
      </c>
      <c r="O183" s="4">
        <v>5</v>
      </c>
      <c r="P183" s="4">
        <v>1</v>
      </c>
    </row>
    <row r="184" spans="1:16" ht="27.9" customHeight="1" x14ac:dyDescent="0.3">
      <c r="A184" s="3">
        <v>45655</v>
      </c>
      <c r="B184" s="4" t="s">
        <v>155</v>
      </c>
      <c r="C184" s="4" t="s">
        <v>152</v>
      </c>
      <c r="D184" s="4">
        <v>0</v>
      </c>
      <c r="E184" s="4">
        <v>2</v>
      </c>
      <c r="F184" s="4" t="s">
        <v>130</v>
      </c>
      <c r="G184" s="4">
        <v>0</v>
      </c>
      <c r="H184" s="4">
        <v>1</v>
      </c>
      <c r="I184" s="4">
        <v>11</v>
      </c>
      <c r="J184" s="4">
        <v>14</v>
      </c>
      <c r="K184" s="4">
        <v>4</v>
      </c>
      <c r="L184" s="4">
        <v>5</v>
      </c>
      <c r="M184" s="4">
        <v>11</v>
      </c>
      <c r="N184" s="4">
        <v>6</v>
      </c>
      <c r="O184" s="4">
        <v>4</v>
      </c>
      <c r="P184" s="4">
        <v>4</v>
      </c>
    </row>
    <row r="185" spans="1:16" ht="27.9" customHeight="1" x14ac:dyDescent="0.3">
      <c r="A185" s="3">
        <v>45655</v>
      </c>
      <c r="B185" s="4" t="s">
        <v>149</v>
      </c>
      <c r="C185" s="4" t="s">
        <v>139</v>
      </c>
      <c r="D185" s="4">
        <v>2</v>
      </c>
      <c r="E185" s="4">
        <v>1</v>
      </c>
      <c r="F185" s="4" t="s">
        <v>124</v>
      </c>
      <c r="G185" s="4">
        <v>1</v>
      </c>
      <c r="H185" s="4">
        <v>1</v>
      </c>
      <c r="I185" s="4">
        <v>19</v>
      </c>
      <c r="J185" s="4">
        <v>7</v>
      </c>
      <c r="K185" s="4">
        <v>10</v>
      </c>
      <c r="L185" s="4">
        <v>3</v>
      </c>
      <c r="M185" s="4">
        <v>18</v>
      </c>
      <c r="N185" s="4">
        <v>19</v>
      </c>
      <c r="O185" s="4">
        <v>8</v>
      </c>
      <c r="P185" s="4">
        <v>7</v>
      </c>
    </row>
    <row r="186" spans="1:16" ht="27.9" customHeight="1" x14ac:dyDescent="0.3">
      <c r="A186" s="3">
        <v>45655</v>
      </c>
      <c r="B186" s="4" t="s">
        <v>135</v>
      </c>
      <c r="C186" s="4" t="s">
        <v>141</v>
      </c>
      <c r="D186" s="4">
        <v>0</v>
      </c>
      <c r="E186" s="4">
        <v>2</v>
      </c>
      <c r="F186" s="4" t="s">
        <v>130</v>
      </c>
      <c r="G186" s="4">
        <v>0</v>
      </c>
      <c r="H186" s="4">
        <v>1</v>
      </c>
      <c r="I186" s="4">
        <v>13</v>
      </c>
      <c r="J186" s="4">
        <v>11</v>
      </c>
      <c r="K186" s="4">
        <v>2</v>
      </c>
      <c r="L186" s="4">
        <v>7</v>
      </c>
      <c r="M186" s="4">
        <v>13</v>
      </c>
      <c r="N186" s="4">
        <v>10</v>
      </c>
      <c r="O186" s="4">
        <v>5</v>
      </c>
      <c r="P186" s="4">
        <v>4</v>
      </c>
    </row>
    <row r="187" spans="1:16" ht="27.9" customHeight="1" x14ac:dyDescent="0.3">
      <c r="A187" s="3">
        <v>45655</v>
      </c>
      <c r="B187" s="4" t="s">
        <v>123</v>
      </c>
      <c r="C187" s="4" t="s">
        <v>142</v>
      </c>
      <c r="D187" s="4">
        <v>2</v>
      </c>
      <c r="E187" s="4">
        <v>2</v>
      </c>
      <c r="F187" s="4" t="s">
        <v>125</v>
      </c>
      <c r="G187" s="4">
        <v>1</v>
      </c>
      <c r="H187" s="4">
        <v>0</v>
      </c>
      <c r="I187" s="4">
        <v>11</v>
      </c>
      <c r="J187" s="4">
        <v>16</v>
      </c>
      <c r="K187" s="4">
        <v>6</v>
      </c>
      <c r="L187" s="4">
        <v>9</v>
      </c>
      <c r="M187" s="4">
        <v>7</v>
      </c>
      <c r="N187" s="4">
        <v>16</v>
      </c>
      <c r="O187" s="4">
        <v>1</v>
      </c>
      <c r="P187" s="4">
        <v>7</v>
      </c>
    </row>
    <row r="188" spans="1:16" ht="27.9" customHeight="1" x14ac:dyDescent="0.3">
      <c r="A188" s="3">
        <v>45655</v>
      </c>
      <c r="B188" s="4" t="s">
        <v>156</v>
      </c>
      <c r="C188" s="4" t="s">
        <v>133</v>
      </c>
      <c r="D188" s="4">
        <v>2</v>
      </c>
      <c r="E188" s="4">
        <v>2</v>
      </c>
      <c r="F188" s="4" t="s">
        <v>125</v>
      </c>
      <c r="G188" s="4">
        <v>2</v>
      </c>
      <c r="H188" s="4">
        <v>1</v>
      </c>
      <c r="I188" s="4">
        <v>13</v>
      </c>
      <c r="J188" s="4">
        <v>11</v>
      </c>
      <c r="K188" s="4">
        <v>3</v>
      </c>
      <c r="L188" s="4">
        <v>3</v>
      </c>
      <c r="M188" s="4">
        <v>9</v>
      </c>
      <c r="N188" s="4">
        <v>10</v>
      </c>
      <c r="O188" s="4">
        <v>5</v>
      </c>
      <c r="P188" s="4">
        <v>5</v>
      </c>
    </row>
    <row r="189" spans="1:16" ht="27.9" customHeight="1" x14ac:dyDescent="0.3">
      <c r="A189" s="3">
        <v>45655</v>
      </c>
      <c r="B189" s="4" t="s">
        <v>144</v>
      </c>
      <c r="C189" s="4" t="s">
        <v>129</v>
      </c>
      <c r="D189" s="4">
        <v>0</v>
      </c>
      <c r="E189" s="4">
        <v>5</v>
      </c>
      <c r="F189" s="4" t="s">
        <v>130</v>
      </c>
      <c r="G189" s="4">
        <v>0</v>
      </c>
      <c r="H189" s="4">
        <v>3</v>
      </c>
      <c r="I189" s="4">
        <v>7</v>
      </c>
      <c r="J189" s="4">
        <v>22</v>
      </c>
      <c r="K189" s="4">
        <v>0</v>
      </c>
      <c r="L189" s="4">
        <v>13</v>
      </c>
      <c r="M189" s="4">
        <v>7</v>
      </c>
      <c r="N189" s="4">
        <v>10</v>
      </c>
      <c r="O189" s="4">
        <v>3</v>
      </c>
      <c r="P189" s="4">
        <v>6</v>
      </c>
    </row>
    <row r="190" spans="1:16" ht="27.9" customHeight="1" x14ac:dyDescent="0.3">
      <c r="A190" s="3">
        <v>45656</v>
      </c>
      <c r="B190" s="4" t="s">
        <v>145</v>
      </c>
      <c r="C190" s="4" t="s">
        <v>136</v>
      </c>
      <c r="D190" s="4">
        <v>2</v>
      </c>
      <c r="E190" s="4">
        <v>2</v>
      </c>
      <c r="F190" s="4" t="s">
        <v>125</v>
      </c>
      <c r="G190" s="4">
        <v>1</v>
      </c>
      <c r="H190" s="4">
        <v>1</v>
      </c>
      <c r="I190" s="4">
        <v>20</v>
      </c>
      <c r="J190" s="4">
        <v>13</v>
      </c>
      <c r="K190" s="4">
        <v>4</v>
      </c>
      <c r="L190" s="4">
        <v>4</v>
      </c>
      <c r="M190" s="4">
        <v>9</v>
      </c>
      <c r="N190" s="4">
        <v>14</v>
      </c>
      <c r="O190" s="4">
        <v>12</v>
      </c>
      <c r="P190" s="4">
        <v>3</v>
      </c>
    </row>
    <row r="191" spans="1:16" ht="27.9" customHeight="1" x14ac:dyDescent="0.3">
      <c r="A191" s="3">
        <v>45656</v>
      </c>
      <c r="B191" s="4" t="s">
        <v>128</v>
      </c>
      <c r="C191" s="4" t="s">
        <v>151</v>
      </c>
      <c r="D191" s="4">
        <v>2</v>
      </c>
      <c r="E191" s="4">
        <v>0</v>
      </c>
      <c r="F191" s="4" t="s">
        <v>124</v>
      </c>
      <c r="G191" s="4">
        <v>1</v>
      </c>
      <c r="H191" s="4">
        <v>0</v>
      </c>
      <c r="I191" s="4">
        <v>9</v>
      </c>
      <c r="J191" s="4">
        <v>20</v>
      </c>
      <c r="K191" s="4">
        <v>6</v>
      </c>
      <c r="L191" s="4">
        <v>5</v>
      </c>
      <c r="M191" s="4">
        <v>9</v>
      </c>
      <c r="N191" s="4">
        <v>5</v>
      </c>
      <c r="O191" s="4">
        <v>4</v>
      </c>
      <c r="P191" s="4">
        <v>7</v>
      </c>
    </row>
    <row r="192" spans="1:16" ht="27.9" customHeight="1" x14ac:dyDescent="0.3">
      <c r="A192" s="3">
        <v>45656</v>
      </c>
      <c r="B192" s="4" t="s">
        <v>122</v>
      </c>
      <c r="C192" s="4" t="s">
        <v>138</v>
      </c>
      <c r="D192" s="4">
        <v>0</v>
      </c>
      <c r="E192" s="4">
        <v>2</v>
      </c>
      <c r="F192" s="4" t="s">
        <v>130</v>
      </c>
      <c r="G192" s="4">
        <v>0</v>
      </c>
      <c r="H192" s="4">
        <v>2</v>
      </c>
      <c r="I192" s="4">
        <v>10</v>
      </c>
      <c r="J192" s="4">
        <v>12</v>
      </c>
      <c r="K192" s="4">
        <v>0</v>
      </c>
      <c r="L192" s="4">
        <v>4</v>
      </c>
      <c r="M192" s="4">
        <v>13</v>
      </c>
      <c r="N192" s="4">
        <v>8</v>
      </c>
      <c r="O192" s="4">
        <v>2</v>
      </c>
      <c r="P192" s="4">
        <v>3</v>
      </c>
    </row>
    <row r="193" spans="1:16" ht="27.9" customHeight="1" x14ac:dyDescent="0.3">
      <c r="A193" s="3">
        <v>45658</v>
      </c>
      <c r="B193" s="4" t="s">
        <v>148</v>
      </c>
      <c r="C193" s="4" t="s">
        <v>132</v>
      </c>
      <c r="D193" s="4">
        <v>1</v>
      </c>
      <c r="E193" s="4">
        <v>3</v>
      </c>
      <c r="F193" s="4" t="s">
        <v>130</v>
      </c>
      <c r="G193" s="4">
        <v>1</v>
      </c>
      <c r="H193" s="4">
        <v>1</v>
      </c>
      <c r="I193" s="4">
        <v>5</v>
      </c>
      <c r="J193" s="4">
        <v>14</v>
      </c>
      <c r="K193" s="4">
        <v>2</v>
      </c>
      <c r="L193" s="4">
        <v>5</v>
      </c>
      <c r="M193" s="4">
        <v>6</v>
      </c>
      <c r="N193" s="4">
        <v>8</v>
      </c>
      <c r="O193" s="4">
        <v>4</v>
      </c>
      <c r="P193" s="4">
        <v>3</v>
      </c>
    </row>
    <row r="194" spans="1:16" ht="27.9" customHeight="1" x14ac:dyDescent="0.3">
      <c r="A194" s="3">
        <v>45661</v>
      </c>
      <c r="B194" s="4" t="s">
        <v>156</v>
      </c>
      <c r="C194" s="4" t="s">
        <v>138</v>
      </c>
      <c r="D194" s="4">
        <v>1</v>
      </c>
      <c r="E194" s="4">
        <v>2</v>
      </c>
      <c r="F194" s="4" t="s">
        <v>130</v>
      </c>
      <c r="G194" s="4">
        <v>1</v>
      </c>
      <c r="H194" s="4">
        <v>2</v>
      </c>
      <c r="I194" s="4">
        <v>13</v>
      </c>
      <c r="J194" s="4">
        <v>14</v>
      </c>
      <c r="K194" s="4">
        <v>4</v>
      </c>
      <c r="L194" s="4">
        <v>4</v>
      </c>
      <c r="M194" s="4">
        <v>11</v>
      </c>
      <c r="N194" s="4">
        <v>15</v>
      </c>
      <c r="O194" s="4">
        <v>9</v>
      </c>
      <c r="P194" s="4">
        <v>10</v>
      </c>
    </row>
    <row r="195" spans="1:16" ht="27.9" customHeight="1" x14ac:dyDescent="0.3">
      <c r="A195" s="3">
        <v>45661</v>
      </c>
      <c r="B195" s="4" t="s">
        <v>145</v>
      </c>
      <c r="C195" s="4" t="s">
        <v>155</v>
      </c>
      <c r="D195" s="4">
        <v>2</v>
      </c>
      <c r="E195" s="4">
        <v>1</v>
      </c>
      <c r="F195" s="4" t="s">
        <v>124</v>
      </c>
      <c r="G195" s="4">
        <v>0</v>
      </c>
      <c r="H195" s="4">
        <v>0</v>
      </c>
      <c r="I195" s="4">
        <v>13</v>
      </c>
      <c r="J195" s="4">
        <v>4</v>
      </c>
      <c r="K195" s="4">
        <v>5</v>
      </c>
      <c r="L195" s="4">
        <v>2</v>
      </c>
      <c r="M195" s="4">
        <v>10</v>
      </c>
      <c r="N195" s="4">
        <v>11</v>
      </c>
      <c r="O195" s="4">
        <v>7</v>
      </c>
      <c r="P195" s="4">
        <v>2</v>
      </c>
    </row>
    <row r="196" spans="1:16" ht="27.9" customHeight="1" x14ac:dyDescent="0.3">
      <c r="A196" s="3">
        <v>45661</v>
      </c>
      <c r="B196" s="4" t="s">
        <v>142</v>
      </c>
      <c r="C196" s="4" t="s">
        <v>135</v>
      </c>
      <c r="D196" s="4">
        <v>1</v>
      </c>
      <c r="E196" s="4">
        <v>0</v>
      </c>
      <c r="F196" s="4" t="s">
        <v>124</v>
      </c>
      <c r="G196" s="4">
        <v>0</v>
      </c>
      <c r="H196" s="4">
        <v>0</v>
      </c>
      <c r="I196" s="4">
        <v>19</v>
      </c>
      <c r="J196" s="4">
        <v>9</v>
      </c>
      <c r="K196" s="4">
        <v>8</v>
      </c>
      <c r="L196" s="4">
        <v>0</v>
      </c>
      <c r="M196" s="4">
        <v>15</v>
      </c>
      <c r="N196" s="4">
        <v>14</v>
      </c>
      <c r="O196" s="4">
        <v>9</v>
      </c>
      <c r="P196" s="4">
        <v>3</v>
      </c>
    </row>
    <row r="197" spans="1:16" ht="27.9" customHeight="1" x14ac:dyDescent="0.3">
      <c r="A197" s="3">
        <v>45661</v>
      </c>
      <c r="B197" s="4" t="s">
        <v>149</v>
      </c>
      <c r="C197" s="4" t="s">
        <v>151</v>
      </c>
      <c r="D197" s="4">
        <v>1</v>
      </c>
      <c r="E197" s="4">
        <v>1</v>
      </c>
      <c r="F197" s="4" t="s">
        <v>125</v>
      </c>
      <c r="G197" s="4">
        <v>0</v>
      </c>
      <c r="H197" s="4">
        <v>1</v>
      </c>
      <c r="I197" s="4">
        <v>13</v>
      </c>
      <c r="J197" s="4">
        <v>15</v>
      </c>
      <c r="K197" s="4">
        <v>6</v>
      </c>
      <c r="L197" s="4">
        <v>1</v>
      </c>
      <c r="M197" s="4">
        <v>9</v>
      </c>
      <c r="N197" s="4">
        <v>12</v>
      </c>
      <c r="O197" s="4">
        <v>6</v>
      </c>
      <c r="P197" s="4">
        <v>6</v>
      </c>
    </row>
    <row r="198" spans="1:16" ht="27.9" customHeight="1" x14ac:dyDescent="0.3">
      <c r="A198" s="3">
        <v>45661</v>
      </c>
      <c r="B198" s="4" t="s">
        <v>152</v>
      </c>
      <c r="C198" s="4" t="s">
        <v>144</v>
      </c>
      <c r="D198" s="4">
        <v>4</v>
      </c>
      <c r="E198" s="4">
        <v>1</v>
      </c>
      <c r="F198" s="4" t="s">
        <v>124</v>
      </c>
      <c r="G198" s="4">
        <v>2</v>
      </c>
      <c r="H198" s="4">
        <v>0</v>
      </c>
      <c r="I198" s="4">
        <v>10</v>
      </c>
      <c r="J198" s="4">
        <v>17</v>
      </c>
      <c r="K198" s="4">
        <v>7</v>
      </c>
      <c r="L198" s="4">
        <v>4</v>
      </c>
      <c r="M198" s="4">
        <v>8</v>
      </c>
      <c r="N198" s="4">
        <v>13</v>
      </c>
      <c r="O198" s="4">
        <v>7</v>
      </c>
      <c r="P198" s="4">
        <v>1</v>
      </c>
    </row>
    <row r="199" spans="1:16" ht="27.9" customHeight="1" x14ac:dyDescent="0.3">
      <c r="A199" s="3">
        <v>45661</v>
      </c>
      <c r="B199" s="4" t="s">
        <v>139</v>
      </c>
      <c r="C199" s="4" t="s">
        <v>148</v>
      </c>
      <c r="D199" s="4">
        <v>0</v>
      </c>
      <c r="E199" s="4">
        <v>5</v>
      </c>
      <c r="F199" s="4" t="s">
        <v>130</v>
      </c>
      <c r="G199" s="4">
        <v>0</v>
      </c>
      <c r="H199" s="4">
        <v>1</v>
      </c>
      <c r="I199" s="4">
        <v>8</v>
      </c>
      <c r="J199" s="4">
        <v>20</v>
      </c>
      <c r="K199" s="4">
        <v>1</v>
      </c>
      <c r="L199" s="4">
        <v>11</v>
      </c>
      <c r="M199" s="4">
        <v>10</v>
      </c>
      <c r="N199" s="4">
        <v>4</v>
      </c>
      <c r="O199" s="4">
        <v>2</v>
      </c>
      <c r="P199" s="4">
        <v>2</v>
      </c>
    </row>
    <row r="200" spans="1:16" ht="27.9" customHeight="1" x14ac:dyDescent="0.3">
      <c r="A200" s="3">
        <v>45661</v>
      </c>
      <c r="B200" s="4" t="s">
        <v>136</v>
      </c>
      <c r="C200" s="4" t="s">
        <v>132</v>
      </c>
      <c r="D200" s="4">
        <v>1</v>
      </c>
      <c r="E200" s="4">
        <v>1</v>
      </c>
      <c r="F200" s="4" t="s">
        <v>125</v>
      </c>
      <c r="G200" s="4">
        <v>0</v>
      </c>
      <c r="H200" s="4">
        <v>1</v>
      </c>
      <c r="I200" s="4">
        <v>11</v>
      </c>
      <c r="J200" s="4">
        <v>9</v>
      </c>
      <c r="K200" s="4">
        <v>4</v>
      </c>
      <c r="L200" s="4">
        <v>3</v>
      </c>
      <c r="M200" s="4">
        <v>17</v>
      </c>
      <c r="N200" s="4">
        <v>14</v>
      </c>
      <c r="O200" s="4">
        <v>2</v>
      </c>
      <c r="P200" s="4">
        <v>5</v>
      </c>
    </row>
    <row r="201" spans="1:16" ht="27.9" customHeight="1" x14ac:dyDescent="0.3">
      <c r="A201" s="3">
        <v>45662</v>
      </c>
      <c r="B201" s="4" t="s">
        <v>123</v>
      </c>
      <c r="C201" s="4" t="s">
        <v>128</v>
      </c>
      <c r="D201" s="4">
        <v>2</v>
      </c>
      <c r="E201" s="4">
        <v>2</v>
      </c>
      <c r="F201" s="4" t="s">
        <v>125</v>
      </c>
      <c r="G201" s="4">
        <v>0</v>
      </c>
      <c r="H201" s="4">
        <v>1</v>
      </c>
      <c r="I201" s="4">
        <v>15</v>
      </c>
      <c r="J201" s="4">
        <v>7</v>
      </c>
      <c r="K201" s="4">
        <v>4</v>
      </c>
      <c r="L201" s="4">
        <v>3</v>
      </c>
      <c r="M201" s="4">
        <v>10</v>
      </c>
      <c r="N201" s="4">
        <v>14</v>
      </c>
      <c r="O201" s="4">
        <v>9</v>
      </c>
      <c r="P201" s="4">
        <v>2</v>
      </c>
    </row>
    <row r="202" spans="1:16" ht="27.9" customHeight="1" x14ac:dyDescent="0.3">
      <c r="A202" s="3">
        <v>45662</v>
      </c>
      <c r="B202" s="4" t="s">
        <v>129</v>
      </c>
      <c r="C202" s="4" t="s">
        <v>122</v>
      </c>
      <c r="D202" s="4">
        <v>2</v>
      </c>
      <c r="E202" s="4">
        <v>2</v>
      </c>
      <c r="F202" s="4" t="s">
        <v>125</v>
      </c>
      <c r="G202" s="4">
        <v>0</v>
      </c>
      <c r="H202" s="4">
        <v>0</v>
      </c>
      <c r="I202" s="4">
        <v>19</v>
      </c>
      <c r="J202" s="4">
        <v>13</v>
      </c>
      <c r="K202" s="4">
        <v>6</v>
      </c>
      <c r="L202" s="4">
        <v>4</v>
      </c>
      <c r="M202" s="4">
        <v>10</v>
      </c>
      <c r="N202" s="4">
        <v>13</v>
      </c>
      <c r="O202" s="4">
        <v>6</v>
      </c>
      <c r="P202" s="4">
        <v>9</v>
      </c>
    </row>
    <row r="203" spans="1:16" ht="27.9" customHeight="1" x14ac:dyDescent="0.3">
      <c r="A203" s="3">
        <v>45663</v>
      </c>
      <c r="B203" s="4" t="s">
        <v>133</v>
      </c>
      <c r="C203" s="4" t="s">
        <v>141</v>
      </c>
      <c r="D203" s="4">
        <v>0</v>
      </c>
      <c r="E203" s="4">
        <v>3</v>
      </c>
      <c r="F203" s="4" t="s">
        <v>130</v>
      </c>
      <c r="G203" s="4">
        <v>0</v>
      </c>
      <c r="H203" s="4">
        <v>2</v>
      </c>
      <c r="I203" s="4">
        <v>13</v>
      </c>
      <c r="J203" s="4">
        <v>11</v>
      </c>
      <c r="K203" s="4">
        <v>6</v>
      </c>
      <c r="L203" s="4">
        <v>3</v>
      </c>
      <c r="M203" s="4">
        <v>10</v>
      </c>
      <c r="N203" s="4">
        <v>8</v>
      </c>
      <c r="O203" s="4">
        <v>5</v>
      </c>
      <c r="P203" s="4">
        <v>3</v>
      </c>
    </row>
    <row r="204" spans="1:16" ht="27.9" customHeight="1" x14ac:dyDescent="0.3">
      <c r="A204" s="3">
        <v>45671</v>
      </c>
      <c r="B204" s="4" t="s">
        <v>148</v>
      </c>
      <c r="C204" s="4" t="s">
        <v>152</v>
      </c>
      <c r="D204" s="4">
        <v>2</v>
      </c>
      <c r="E204" s="4">
        <v>2</v>
      </c>
      <c r="F204" s="4" t="s">
        <v>125</v>
      </c>
      <c r="G204" s="4">
        <v>0</v>
      </c>
      <c r="H204" s="4">
        <v>0</v>
      </c>
      <c r="I204" s="4">
        <v>18</v>
      </c>
      <c r="J204" s="4">
        <v>21</v>
      </c>
      <c r="K204" s="4">
        <v>6</v>
      </c>
      <c r="L204" s="4">
        <v>8</v>
      </c>
      <c r="M204" s="4">
        <v>4</v>
      </c>
      <c r="N204" s="4">
        <v>4</v>
      </c>
      <c r="O204" s="4">
        <v>4</v>
      </c>
      <c r="P204" s="4">
        <v>5</v>
      </c>
    </row>
    <row r="205" spans="1:16" ht="27.9" customHeight="1" x14ac:dyDescent="0.3">
      <c r="A205" s="3">
        <v>45671</v>
      </c>
      <c r="B205" s="4" t="s">
        <v>151</v>
      </c>
      <c r="C205" s="4" t="s">
        <v>142</v>
      </c>
      <c r="D205" s="4">
        <v>2</v>
      </c>
      <c r="E205" s="4">
        <v>2</v>
      </c>
      <c r="F205" s="4" t="s">
        <v>125</v>
      </c>
      <c r="G205" s="4">
        <v>1</v>
      </c>
      <c r="H205" s="4">
        <v>0</v>
      </c>
      <c r="I205" s="4">
        <v>26</v>
      </c>
      <c r="J205" s="4">
        <v>7</v>
      </c>
      <c r="K205" s="4">
        <v>10</v>
      </c>
      <c r="L205" s="4">
        <v>3</v>
      </c>
      <c r="M205" s="4">
        <v>15</v>
      </c>
      <c r="N205" s="4">
        <v>16</v>
      </c>
      <c r="O205" s="4">
        <v>9</v>
      </c>
      <c r="P205" s="4">
        <v>3</v>
      </c>
    </row>
    <row r="206" spans="1:16" ht="27.9" customHeight="1" x14ac:dyDescent="0.3">
      <c r="A206" s="3">
        <v>45671</v>
      </c>
      <c r="B206" s="4" t="s">
        <v>144</v>
      </c>
      <c r="C206" s="4" t="s">
        <v>123</v>
      </c>
      <c r="D206" s="4">
        <v>3</v>
      </c>
      <c r="E206" s="4">
        <v>2</v>
      </c>
      <c r="F206" s="4" t="s">
        <v>124</v>
      </c>
      <c r="G206" s="4">
        <v>2</v>
      </c>
      <c r="H206" s="4">
        <v>0</v>
      </c>
      <c r="I206" s="4">
        <v>4</v>
      </c>
      <c r="J206" s="4">
        <v>21</v>
      </c>
      <c r="K206" s="4">
        <v>3</v>
      </c>
      <c r="L206" s="4">
        <v>5</v>
      </c>
      <c r="M206" s="4">
        <v>9</v>
      </c>
      <c r="N206" s="4">
        <v>18</v>
      </c>
      <c r="O206" s="4">
        <v>0</v>
      </c>
      <c r="P206" s="4">
        <v>3</v>
      </c>
    </row>
    <row r="207" spans="1:16" ht="27.9" customHeight="1" x14ac:dyDescent="0.3">
      <c r="A207" s="3">
        <v>45671</v>
      </c>
      <c r="B207" s="4" t="s">
        <v>141</v>
      </c>
      <c r="C207" s="4" t="s">
        <v>129</v>
      </c>
      <c r="D207" s="4">
        <v>1</v>
      </c>
      <c r="E207" s="4">
        <v>1</v>
      </c>
      <c r="F207" s="4" t="s">
        <v>125</v>
      </c>
      <c r="G207" s="4">
        <v>1</v>
      </c>
      <c r="H207" s="4">
        <v>0</v>
      </c>
      <c r="I207" s="4">
        <v>6</v>
      </c>
      <c r="J207" s="4">
        <v>23</v>
      </c>
      <c r="K207" s="4">
        <v>3</v>
      </c>
      <c r="L207" s="4">
        <v>7</v>
      </c>
      <c r="M207" s="4">
        <v>7</v>
      </c>
      <c r="N207" s="4">
        <v>10</v>
      </c>
      <c r="O207" s="4">
        <v>0</v>
      </c>
      <c r="P207" s="4">
        <v>9</v>
      </c>
    </row>
    <row r="208" spans="1:16" ht="27.9" customHeight="1" x14ac:dyDescent="0.3">
      <c r="A208" s="3">
        <v>45672</v>
      </c>
      <c r="B208" s="4" t="s">
        <v>135</v>
      </c>
      <c r="C208" s="4" t="s">
        <v>145</v>
      </c>
      <c r="D208" s="4">
        <v>0</v>
      </c>
      <c r="E208" s="4">
        <v>1</v>
      </c>
      <c r="F208" s="4" t="s">
        <v>130</v>
      </c>
      <c r="G208" s="4">
        <v>0</v>
      </c>
      <c r="H208" s="4">
        <v>0</v>
      </c>
      <c r="I208" s="4">
        <v>10</v>
      </c>
      <c r="J208" s="4">
        <v>11</v>
      </c>
      <c r="K208" s="4">
        <v>3</v>
      </c>
      <c r="L208" s="4">
        <v>3</v>
      </c>
      <c r="M208" s="4">
        <v>17</v>
      </c>
      <c r="N208" s="4">
        <v>10</v>
      </c>
      <c r="O208" s="4">
        <v>8</v>
      </c>
      <c r="P208" s="4">
        <v>5</v>
      </c>
    </row>
    <row r="209" spans="1:16" ht="27.9" customHeight="1" x14ac:dyDescent="0.3">
      <c r="A209" s="3">
        <v>45672</v>
      </c>
      <c r="B209" s="4" t="s">
        <v>155</v>
      </c>
      <c r="C209" s="4" t="s">
        <v>149</v>
      </c>
      <c r="D209" s="4">
        <v>0</v>
      </c>
      <c r="E209" s="4">
        <v>2</v>
      </c>
      <c r="F209" s="4" t="s">
        <v>130</v>
      </c>
      <c r="G209" s="4">
        <v>0</v>
      </c>
      <c r="H209" s="4">
        <v>0</v>
      </c>
      <c r="I209" s="4">
        <v>21</v>
      </c>
      <c r="J209" s="4">
        <v>9</v>
      </c>
      <c r="K209" s="4">
        <v>4</v>
      </c>
      <c r="L209" s="4">
        <v>4</v>
      </c>
      <c r="M209" s="4">
        <v>7</v>
      </c>
      <c r="N209" s="4">
        <v>6</v>
      </c>
      <c r="O209" s="4">
        <v>4</v>
      </c>
      <c r="P209" s="4">
        <v>3</v>
      </c>
    </row>
    <row r="210" spans="1:16" ht="27.9" customHeight="1" x14ac:dyDescent="0.3">
      <c r="A210" s="3">
        <v>45672</v>
      </c>
      <c r="B210" s="4" t="s">
        <v>138</v>
      </c>
      <c r="C210" s="4" t="s">
        <v>133</v>
      </c>
      <c r="D210" s="4">
        <v>3</v>
      </c>
      <c r="E210" s="4">
        <v>0</v>
      </c>
      <c r="F210" s="4" t="s">
        <v>124</v>
      </c>
      <c r="G210" s="4">
        <v>1</v>
      </c>
      <c r="H210" s="4">
        <v>0</v>
      </c>
      <c r="I210" s="4">
        <v>17</v>
      </c>
      <c r="J210" s="4">
        <v>13</v>
      </c>
      <c r="K210" s="4">
        <v>5</v>
      </c>
      <c r="L210" s="4">
        <v>7</v>
      </c>
      <c r="M210" s="4">
        <v>10</v>
      </c>
      <c r="N210" s="4">
        <v>13</v>
      </c>
      <c r="O210" s="4">
        <v>4</v>
      </c>
      <c r="P210" s="4">
        <v>2</v>
      </c>
    </row>
    <row r="211" spans="1:16" ht="27.9" customHeight="1" x14ac:dyDescent="0.3">
      <c r="A211" s="3">
        <v>45672</v>
      </c>
      <c r="B211" s="4" t="s">
        <v>132</v>
      </c>
      <c r="C211" s="4" t="s">
        <v>156</v>
      </c>
      <c r="D211" s="4">
        <v>2</v>
      </c>
      <c r="E211" s="4">
        <v>1</v>
      </c>
      <c r="F211" s="4" t="s">
        <v>124</v>
      </c>
      <c r="G211" s="4">
        <v>2</v>
      </c>
      <c r="H211" s="4">
        <v>1</v>
      </c>
      <c r="I211" s="4">
        <v>14</v>
      </c>
      <c r="J211" s="4">
        <v>10</v>
      </c>
      <c r="K211" s="4">
        <v>4</v>
      </c>
      <c r="L211" s="4">
        <v>2</v>
      </c>
      <c r="M211" s="4">
        <v>16</v>
      </c>
      <c r="N211" s="4">
        <v>9</v>
      </c>
      <c r="O211" s="4">
        <v>10</v>
      </c>
      <c r="P211" s="4">
        <v>4</v>
      </c>
    </row>
    <row r="212" spans="1:16" ht="27.9" customHeight="1" x14ac:dyDescent="0.3">
      <c r="A212" s="3">
        <v>45673</v>
      </c>
      <c r="B212" s="4" t="s">
        <v>128</v>
      </c>
      <c r="C212" s="4" t="s">
        <v>136</v>
      </c>
      <c r="D212" s="4">
        <v>0</v>
      </c>
      <c r="E212" s="4">
        <v>2</v>
      </c>
      <c r="F212" s="4" t="s">
        <v>130</v>
      </c>
      <c r="G212" s="4">
        <v>0</v>
      </c>
      <c r="H212" s="4">
        <v>0</v>
      </c>
      <c r="I212" s="4">
        <v>5</v>
      </c>
      <c r="J212" s="4">
        <v>11</v>
      </c>
      <c r="K212" s="4">
        <v>3</v>
      </c>
      <c r="L212" s="4">
        <v>5</v>
      </c>
      <c r="M212" s="4">
        <v>13</v>
      </c>
      <c r="N212" s="4">
        <v>14</v>
      </c>
      <c r="O212" s="4">
        <v>1</v>
      </c>
      <c r="P212" s="4">
        <v>9</v>
      </c>
    </row>
    <row r="213" spans="1:16" ht="27.9" customHeight="1" x14ac:dyDescent="0.3">
      <c r="A213" s="3">
        <v>45673</v>
      </c>
      <c r="B213" s="4" t="s">
        <v>122</v>
      </c>
      <c r="C213" s="4" t="s">
        <v>139</v>
      </c>
      <c r="D213" s="4">
        <v>3</v>
      </c>
      <c r="E213" s="4">
        <v>1</v>
      </c>
      <c r="F213" s="4" t="s">
        <v>124</v>
      </c>
      <c r="G213" s="4">
        <v>0</v>
      </c>
      <c r="H213" s="4">
        <v>1</v>
      </c>
      <c r="I213" s="4">
        <v>23</v>
      </c>
      <c r="J213" s="4">
        <v>13</v>
      </c>
      <c r="K213" s="4">
        <v>9</v>
      </c>
      <c r="L213" s="4">
        <v>5</v>
      </c>
      <c r="M213" s="4">
        <v>7</v>
      </c>
      <c r="N213" s="4">
        <v>10</v>
      </c>
      <c r="O213" s="4">
        <v>5</v>
      </c>
      <c r="P213" s="4">
        <v>4</v>
      </c>
    </row>
    <row r="214" spans="1:16" ht="27.9" customHeight="1" x14ac:dyDescent="0.3">
      <c r="A214" s="3">
        <v>45675</v>
      </c>
      <c r="B214" s="4" t="s">
        <v>138</v>
      </c>
      <c r="C214" s="4" t="s">
        <v>142</v>
      </c>
      <c r="D214" s="4">
        <v>1</v>
      </c>
      <c r="E214" s="4">
        <v>4</v>
      </c>
      <c r="F214" s="4" t="s">
        <v>130</v>
      </c>
      <c r="G214" s="4">
        <v>1</v>
      </c>
      <c r="H214" s="4">
        <v>2</v>
      </c>
      <c r="I214" s="4">
        <v>13</v>
      </c>
      <c r="J214" s="4">
        <v>19</v>
      </c>
      <c r="K214" s="4">
        <v>5</v>
      </c>
      <c r="L214" s="4">
        <v>10</v>
      </c>
      <c r="M214" s="4">
        <v>7</v>
      </c>
      <c r="N214" s="4">
        <v>18</v>
      </c>
      <c r="O214" s="4">
        <v>7</v>
      </c>
      <c r="P214" s="4">
        <v>6</v>
      </c>
    </row>
    <row r="215" spans="1:16" ht="27.9" customHeight="1" x14ac:dyDescent="0.3">
      <c r="A215" s="3">
        <v>45675</v>
      </c>
      <c r="B215" s="4" t="s">
        <v>148</v>
      </c>
      <c r="C215" s="4" t="s">
        <v>129</v>
      </c>
      <c r="D215" s="4">
        <v>0</v>
      </c>
      <c r="E215" s="4">
        <v>2</v>
      </c>
      <c r="F215" s="4" t="s">
        <v>130</v>
      </c>
      <c r="G215" s="4">
        <v>0</v>
      </c>
      <c r="H215" s="4">
        <v>0</v>
      </c>
      <c r="I215" s="4">
        <v>11</v>
      </c>
      <c r="J215" s="4">
        <v>37</v>
      </c>
      <c r="K215" s="4">
        <v>6</v>
      </c>
      <c r="L215" s="4">
        <v>8</v>
      </c>
      <c r="M215" s="4">
        <v>6</v>
      </c>
      <c r="N215" s="4">
        <v>14</v>
      </c>
      <c r="O215" s="4">
        <v>2</v>
      </c>
      <c r="P215" s="4">
        <v>15</v>
      </c>
    </row>
    <row r="216" spans="1:16" ht="27.9" customHeight="1" x14ac:dyDescent="0.3">
      <c r="A216" s="3">
        <v>45675</v>
      </c>
      <c r="B216" s="4" t="s">
        <v>155</v>
      </c>
      <c r="C216" s="4" t="s">
        <v>123</v>
      </c>
      <c r="D216" s="4">
        <v>0</v>
      </c>
      <c r="E216" s="4">
        <v>2</v>
      </c>
      <c r="F216" s="4" t="s">
        <v>130</v>
      </c>
      <c r="G216" s="4">
        <v>0</v>
      </c>
      <c r="H216" s="4">
        <v>0</v>
      </c>
      <c r="I216" s="4">
        <v>8</v>
      </c>
      <c r="J216" s="4">
        <v>17</v>
      </c>
      <c r="K216" s="4">
        <v>4</v>
      </c>
      <c r="L216" s="4">
        <v>2</v>
      </c>
      <c r="M216" s="4">
        <v>8</v>
      </c>
      <c r="N216" s="4">
        <v>8</v>
      </c>
      <c r="O216" s="4">
        <v>5</v>
      </c>
      <c r="P216" s="4">
        <v>2</v>
      </c>
    </row>
    <row r="217" spans="1:16" ht="27.9" customHeight="1" x14ac:dyDescent="0.3">
      <c r="A217" s="3">
        <v>45675</v>
      </c>
      <c r="B217" s="4" t="s">
        <v>144</v>
      </c>
      <c r="C217" s="4" t="s">
        <v>149</v>
      </c>
      <c r="D217" s="4">
        <v>0</v>
      </c>
      <c r="E217" s="4">
        <v>2</v>
      </c>
      <c r="F217" s="4" t="s">
        <v>130</v>
      </c>
      <c r="G217" s="4">
        <v>0</v>
      </c>
      <c r="H217" s="4">
        <v>0</v>
      </c>
      <c r="I217" s="4">
        <v>7</v>
      </c>
      <c r="J217" s="4">
        <v>12</v>
      </c>
      <c r="K217" s="4">
        <v>0</v>
      </c>
      <c r="L217" s="4">
        <v>7</v>
      </c>
      <c r="M217" s="4">
        <v>13</v>
      </c>
      <c r="N217" s="4">
        <v>10</v>
      </c>
      <c r="O217" s="4">
        <v>2</v>
      </c>
      <c r="P217" s="4">
        <v>4</v>
      </c>
    </row>
    <row r="218" spans="1:16" ht="27.9" customHeight="1" x14ac:dyDescent="0.3">
      <c r="A218" s="3">
        <v>45675</v>
      </c>
      <c r="B218" s="4" t="s">
        <v>132</v>
      </c>
      <c r="C218" s="4" t="s">
        <v>145</v>
      </c>
      <c r="D218" s="4">
        <v>2</v>
      </c>
      <c r="E218" s="4">
        <v>2</v>
      </c>
      <c r="F218" s="4" t="s">
        <v>125</v>
      </c>
      <c r="G218" s="4">
        <v>1</v>
      </c>
      <c r="H218" s="4">
        <v>0</v>
      </c>
      <c r="I218" s="4">
        <v>18</v>
      </c>
      <c r="J218" s="4">
        <v>8</v>
      </c>
      <c r="K218" s="4">
        <v>6</v>
      </c>
      <c r="L218" s="4">
        <v>4</v>
      </c>
      <c r="M218" s="4">
        <v>10</v>
      </c>
      <c r="N218" s="4">
        <v>18</v>
      </c>
      <c r="O218" s="4">
        <v>10</v>
      </c>
      <c r="P218" s="4">
        <v>1</v>
      </c>
    </row>
    <row r="219" spans="1:16" ht="27.9" customHeight="1" x14ac:dyDescent="0.3">
      <c r="A219" s="3">
        <v>45676</v>
      </c>
      <c r="B219" s="4" t="s">
        <v>135</v>
      </c>
      <c r="C219" s="4" t="s">
        <v>156</v>
      </c>
      <c r="D219" s="4">
        <v>3</v>
      </c>
      <c r="E219" s="4">
        <v>2</v>
      </c>
      <c r="F219" s="4" t="s">
        <v>124</v>
      </c>
      <c r="G219" s="4">
        <v>3</v>
      </c>
      <c r="H219" s="4">
        <v>0</v>
      </c>
      <c r="I219" s="4">
        <v>12</v>
      </c>
      <c r="J219" s="4">
        <v>11</v>
      </c>
      <c r="K219" s="4">
        <v>6</v>
      </c>
      <c r="L219" s="4">
        <v>6</v>
      </c>
      <c r="M219" s="4">
        <v>14</v>
      </c>
      <c r="N219" s="4">
        <v>14</v>
      </c>
      <c r="O219" s="4">
        <v>3</v>
      </c>
      <c r="P219" s="4">
        <v>8</v>
      </c>
    </row>
    <row r="220" spans="1:16" ht="27.9" customHeight="1" x14ac:dyDescent="0.3">
      <c r="A220" s="3">
        <v>45676</v>
      </c>
      <c r="B220" s="4" t="s">
        <v>122</v>
      </c>
      <c r="C220" s="4" t="s">
        <v>136</v>
      </c>
      <c r="D220" s="4">
        <v>1</v>
      </c>
      <c r="E220" s="4">
        <v>3</v>
      </c>
      <c r="F220" s="4" t="s">
        <v>130</v>
      </c>
      <c r="G220" s="4">
        <v>1</v>
      </c>
      <c r="H220" s="4">
        <v>1</v>
      </c>
      <c r="I220" s="4">
        <v>10</v>
      </c>
      <c r="J220" s="4">
        <v>6</v>
      </c>
      <c r="K220" s="4">
        <v>1</v>
      </c>
      <c r="L220" s="4">
        <v>3</v>
      </c>
      <c r="M220" s="4">
        <v>13</v>
      </c>
      <c r="N220" s="4">
        <v>12</v>
      </c>
      <c r="O220" s="4">
        <v>4</v>
      </c>
      <c r="P220" s="4">
        <v>2</v>
      </c>
    </row>
    <row r="221" spans="1:16" ht="27.9" customHeight="1" x14ac:dyDescent="0.3">
      <c r="A221" s="3">
        <v>45676</v>
      </c>
      <c r="B221" s="4" t="s">
        <v>141</v>
      </c>
      <c r="C221" s="4" t="s">
        <v>139</v>
      </c>
      <c r="D221" s="4">
        <v>3</v>
      </c>
      <c r="E221" s="4">
        <v>2</v>
      </c>
      <c r="F221" s="4" t="s">
        <v>124</v>
      </c>
      <c r="G221" s="4">
        <v>3</v>
      </c>
      <c r="H221" s="4">
        <v>0</v>
      </c>
      <c r="I221" s="4">
        <v>14</v>
      </c>
      <c r="J221" s="4">
        <v>10</v>
      </c>
      <c r="K221" s="4">
        <v>5</v>
      </c>
      <c r="L221" s="4">
        <v>4</v>
      </c>
      <c r="M221" s="4">
        <v>4</v>
      </c>
      <c r="N221" s="4">
        <v>18</v>
      </c>
      <c r="O221" s="4">
        <v>2</v>
      </c>
      <c r="P221" s="4">
        <v>8</v>
      </c>
    </row>
    <row r="222" spans="1:16" ht="27.9" customHeight="1" x14ac:dyDescent="0.3">
      <c r="A222" s="3">
        <v>45676</v>
      </c>
      <c r="B222" s="4" t="s">
        <v>128</v>
      </c>
      <c r="C222" s="4" t="s">
        <v>152</v>
      </c>
      <c r="D222" s="4">
        <v>0</v>
      </c>
      <c r="E222" s="4">
        <v>6</v>
      </c>
      <c r="F222" s="4" t="s">
        <v>130</v>
      </c>
      <c r="G222" s="4">
        <v>0</v>
      </c>
      <c r="H222" s="4">
        <v>3</v>
      </c>
      <c r="I222" s="4">
        <v>8</v>
      </c>
      <c r="J222" s="4">
        <v>17</v>
      </c>
      <c r="K222" s="4">
        <v>4</v>
      </c>
      <c r="L222" s="4">
        <v>9</v>
      </c>
      <c r="M222" s="4">
        <v>4</v>
      </c>
      <c r="N222" s="4">
        <v>7</v>
      </c>
      <c r="O222" s="4">
        <v>4</v>
      </c>
      <c r="P222" s="4">
        <v>7</v>
      </c>
    </row>
    <row r="223" spans="1:16" ht="27.9" customHeight="1" x14ac:dyDescent="0.3">
      <c r="A223" s="3">
        <v>45677</v>
      </c>
      <c r="B223" s="4" t="s">
        <v>151</v>
      </c>
      <c r="C223" s="4" t="s">
        <v>133</v>
      </c>
      <c r="D223" s="4">
        <v>3</v>
      </c>
      <c r="E223" s="4">
        <v>1</v>
      </c>
      <c r="F223" s="4" t="s">
        <v>124</v>
      </c>
      <c r="G223" s="4">
        <v>1</v>
      </c>
      <c r="H223" s="4">
        <v>1</v>
      </c>
      <c r="I223" s="4">
        <v>19</v>
      </c>
      <c r="J223" s="4">
        <v>9</v>
      </c>
      <c r="K223" s="4">
        <v>7</v>
      </c>
      <c r="L223" s="4">
        <v>4</v>
      </c>
      <c r="M223" s="4">
        <v>8</v>
      </c>
      <c r="N223" s="4">
        <v>14</v>
      </c>
      <c r="O223" s="4">
        <v>3</v>
      </c>
      <c r="P223" s="4">
        <v>6</v>
      </c>
    </row>
    <row r="224" spans="1:16" ht="27.9" customHeight="1" x14ac:dyDescent="0.3">
      <c r="A224" s="3">
        <v>45682</v>
      </c>
      <c r="B224" s="4" t="s">
        <v>142</v>
      </c>
      <c r="C224" s="4" t="s">
        <v>141</v>
      </c>
      <c r="D224" s="4">
        <v>5</v>
      </c>
      <c r="E224" s="4">
        <v>0</v>
      </c>
      <c r="F224" s="4" t="s">
        <v>124</v>
      </c>
      <c r="G224" s="4">
        <v>1</v>
      </c>
      <c r="H224" s="4">
        <v>0</v>
      </c>
      <c r="I224" s="4">
        <v>16</v>
      </c>
      <c r="J224" s="4">
        <v>18</v>
      </c>
      <c r="K224" s="4">
        <v>10</v>
      </c>
      <c r="L224" s="4">
        <v>4</v>
      </c>
      <c r="M224" s="4">
        <v>9</v>
      </c>
      <c r="N224" s="4">
        <v>12</v>
      </c>
      <c r="O224" s="4">
        <v>3</v>
      </c>
      <c r="P224" s="4">
        <v>9</v>
      </c>
    </row>
    <row r="225" spans="1:16" ht="27.9" customHeight="1" x14ac:dyDescent="0.3">
      <c r="A225" s="3">
        <v>45682</v>
      </c>
      <c r="B225" s="4" t="s">
        <v>136</v>
      </c>
      <c r="C225" s="4" t="s">
        <v>135</v>
      </c>
      <c r="D225" s="4">
        <v>0</v>
      </c>
      <c r="E225" s="4">
        <v>1</v>
      </c>
      <c r="F225" s="4" t="s">
        <v>130</v>
      </c>
      <c r="G225" s="4">
        <v>0</v>
      </c>
      <c r="H225" s="4">
        <v>1</v>
      </c>
      <c r="I225" s="4">
        <v>16</v>
      </c>
      <c r="J225" s="4">
        <v>3</v>
      </c>
      <c r="K225" s="4">
        <v>1</v>
      </c>
      <c r="L225" s="4">
        <v>1</v>
      </c>
      <c r="M225" s="4">
        <v>8</v>
      </c>
      <c r="N225" s="4">
        <v>11</v>
      </c>
      <c r="O225" s="4">
        <v>9</v>
      </c>
      <c r="P225" s="4">
        <v>1</v>
      </c>
    </row>
    <row r="226" spans="1:16" ht="27.9" customHeight="1" x14ac:dyDescent="0.3">
      <c r="A226" s="3">
        <v>45682</v>
      </c>
      <c r="B226" s="4" t="s">
        <v>129</v>
      </c>
      <c r="C226" s="4" t="s">
        <v>128</v>
      </c>
      <c r="D226" s="4">
        <v>4</v>
      </c>
      <c r="E226" s="4">
        <v>1</v>
      </c>
      <c r="F226" s="4" t="s">
        <v>124</v>
      </c>
      <c r="G226" s="4">
        <v>3</v>
      </c>
      <c r="H226" s="4">
        <v>0</v>
      </c>
      <c r="I226" s="4">
        <v>16</v>
      </c>
      <c r="J226" s="4">
        <v>3</v>
      </c>
      <c r="K226" s="4">
        <v>6</v>
      </c>
      <c r="L226" s="4">
        <v>3</v>
      </c>
      <c r="M226" s="4">
        <v>10</v>
      </c>
      <c r="N226" s="4">
        <v>11</v>
      </c>
      <c r="O226" s="4">
        <v>3</v>
      </c>
      <c r="P226" s="4">
        <v>4</v>
      </c>
    </row>
    <row r="227" spans="1:16" ht="27.9" customHeight="1" x14ac:dyDescent="0.3">
      <c r="A227" s="3">
        <v>45682</v>
      </c>
      <c r="B227" s="4" t="s">
        <v>139</v>
      </c>
      <c r="C227" s="4" t="s">
        <v>138</v>
      </c>
      <c r="D227" s="4">
        <v>1</v>
      </c>
      <c r="E227" s="4">
        <v>3</v>
      </c>
      <c r="F227" s="4" t="s">
        <v>130</v>
      </c>
      <c r="G227" s="4">
        <v>1</v>
      </c>
      <c r="H227" s="4">
        <v>2</v>
      </c>
      <c r="I227" s="4">
        <v>12</v>
      </c>
      <c r="J227" s="4">
        <v>17</v>
      </c>
      <c r="K227" s="4">
        <v>5</v>
      </c>
      <c r="L227" s="4">
        <v>9</v>
      </c>
      <c r="M227" s="4">
        <v>10</v>
      </c>
      <c r="N227" s="4">
        <v>5</v>
      </c>
      <c r="O227" s="4">
        <v>3</v>
      </c>
      <c r="P227" s="4">
        <v>8</v>
      </c>
    </row>
    <row r="228" spans="1:16" ht="27.9" customHeight="1" x14ac:dyDescent="0.3">
      <c r="A228" s="3">
        <v>45682</v>
      </c>
      <c r="B228" s="4" t="s">
        <v>133</v>
      </c>
      <c r="C228" s="4" t="s">
        <v>132</v>
      </c>
      <c r="D228" s="4">
        <v>0</v>
      </c>
      <c r="E228" s="4">
        <v>1</v>
      </c>
      <c r="F228" s="4" t="s">
        <v>130</v>
      </c>
      <c r="G228" s="4">
        <v>0</v>
      </c>
      <c r="H228" s="4">
        <v>0</v>
      </c>
      <c r="I228" s="4">
        <v>9</v>
      </c>
      <c r="J228" s="4">
        <v>9</v>
      </c>
      <c r="K228" s="4">
        <v>4</v>
      </c>
      <c r="L228" s="4">
        <v>3</v>
      </c>
      <c r="M228" s="4">
        <v>20</v>
      </c>
      <c r="N228" s="4">
        <v>10</v>
      </c>
      <c r="O228" s="4">
        <v>1</v>
      </c>
      <c r="P228" s="4">
        <v>5</v>
      </c>
    </row>
    <row r="229" spans="1:16" ht="27.9" customHeight="1" x14ac:dyDescent="0.3">
      <c r="A229" s="3">
        <v>45682</v>
      </c>
      <c r="B229" s="4" t="s">
        <v>152</v>
      </c>
      <c r="C229" s="4" t="s">
        <v>151</v>
      </c>
      <c r="D229" s="4">
        <v>3</v>
      </c>
      <c r="E229" s="4">
        <v>1</v>
      </c>
      <c r="F229" s="4" t="s">
        <v>124</v>
      </c>
      <c r="G229" s="4">
        <v>1</v>
      </c>
      <c r="H229" s="4">
        <v>1</v>
      </c>
      <c r="I229" s="4">
        <v>15</v>
      </c>
      <c r="J229" s="4">
        <v>10</v>
      </c>
      <c r="K229" s="4">
        <v>6</v>
      </c>
      <c r="L229" s="4">
        <v>4</v>
      </c>
      <c r="M229" s="4">
        <v>6</v>
      </c>
      <c r="N229" s="4">
        <v>8</v>
      </c>
      <c r="O229" s="4">
        <v>2</v>
      </c>
      <c r="P229" s="4">
        <v>4</v>
      </c>
    </row>
    <row r="230" spans="1:16" ht="27.9" customHeight="1" x14ac:dyDescent="0.3">
      <c r="A230" s="3">
        <v>45683</v>
      </c>
      <c r="B230" s="4" t="s">
        <v>149</v>
      </c>
      <c r="C230" s="4" t="s">
        <v>148</v>
      </c>
      <c r="D230" s="4">
        <v>1</v>
      </c>
      <c r="E230" s="4">
        <v>2</v>
      </c>
      <c r="F230" s="4" t="s">
        <v>130</v>
      </c>
      <c r="G230" s="4">
        <v>0</v>
      </c>
      <c r="H230" s="4">
        <v>0</v>
      </c>
      <c r="I230" s="4">
        <v>16</v>
      </c>
      <c r="J230" s="4">
        <v>13</v>
      </c>
      <c r="K230" s="4">
        <v>5</v>
      </c>
      <c r="L230" s="4">
        <v>6</v>
      </c>
      <c r="M230" s="4">
        <v>8</v>
      </c>
      <c r="N230" s="4">
        <v>11</v>
      </c>
      <c r="O230" s="4">
        <v>4</v>
      </c>
      <c r="P230" s="4">
        <v>7</v>
      </c>
    </row>
    <row r="231" spans="1:16" ht="27.9" customHeight="1" x14ac:dyDescent="0.3">
      <c r="A231" s="3">
        <v>45683</v>
      </c>
      <c r="B231" s="4" t="s">
        <v>156</v>
      </c>
      <c r="C231" s="4" t="s">
        <v>155</v>
      </c>
      <c r="D231" s="4">
        <v>1</v>
      </c>
      <c r="E231" s="4">
        <v>2</v>
      </c>
      <c r="F231" s="4" t="s">
        <v>130</v>
      </c>
      <c r="G231" s="4">
        <v>1</v>
      </c>
      <c r="H231" s="4">
        <v>0</v>
      </c>
      <c r="I231" s="4">
        <v>15</v>
      </c>
      <c r="J231" s="4">
        <v>12</v>
      </c>
      <c r="K231" s="4">
        <v>6</v>
      </c>
      <c r="L231" s="4">
        <v>3</v>
      </c>
      <c r="M231" s="4">
        <v>6</v>
      </c>
      <c r="N231" s="4">
        <v>16</v>
      </c>
      <c r="O231" s="4">
        <v>6</v>
      </c>
      <c r="P231" s="4">
        <v>4</v>
      </c>
    </row>
    <row r="232" spans="1:16" ht="27.9" customHeight="1" x14ac:dyDescent="0.3">
      <c r="A232" s="3">
        <v>45683</v>
      </c>
      <c r="B232" s="4" t="s">
        <v>145</v>
      </c>
      <c r="C232" s="4" t="s">
        <v>144</v>
      </c>
      <c r="D232" s="4">
        <v>1</v>
      </c>
      <c r="E232" s="4">
        <v>1</v>
      </c>
      <c r="F232" s="4" t="s">
        <v>125</v>
      </c>
      <c r="G232" s="4">
        <v>1</v>
      </c>
      <c r="H232" s="4">
        <v>0</v>
      </c>
      <c r="I232" s="4">
        <v>14</v>
      </c>
      <c r="J232" s="4">
        <v>14</v>
      </c>
      <c r="K232" s="4">
        <v>4</v>
      </c>
      <c r="L232" s="4">
        <v>4</v>
      </c>
      <c r="M232" s="4">
        <v>13</v>
      </c>
      <c r="N232" s="4">
        <v>16</v>
      </c>
      <c r="O232" s="4">
        <v>4</v>
      </c>
      <c r="P232" s="4">
        <v>3</v>
      </c>
    </row>
    <row r="233" spans="1:16" ht="27.9" customHeight="1" x14ac:dyDescent="0.3">
      <c r="A233" s="3">
        <v>45683</v>
      </c>
      <c r="B233" s="4" t="s">
        <v>123</v>
      </c>
      <c r="C233" s="4" t="s">
        <v>122</v>
      </c>
      <c r="D233" s="4">
        <v>0</v>
      </c>
      <c r="E233" s="4">
        <v>1</v>
      </c>
      <c r="F233" s="4" t="s">
        <v>130</v>
      </c>
      <c r="G233" s="4">
        <v>0</v>
      </c>
      <c r="H233" s="4">
        <v>0</v>
      </c>
      <c r="I233" s="4">
        <v>9</v>
      </c>
      <c r="J233" s="4">
        <v>4</v>
      </c>
      <c r="K233" s="4">
        <v>3</v>
      </c>
      <c r="L233" s="4">
        <v>1</v>
      </c>
      <c r="M233" s="4">
        <v>7</v>
      </c>
      <c r="N233" s="4">
        <v>9</v>
      </c>
      <c r="O233" s="4">
        <v>3</v>
      </c>
      <c r="P233" s="4">
        <v>0</v>
      </c>
    </row>
    <row r="234" spans="1:16" ht="27.9" customHeight="1" x14ac:dyDescent="0.3">
      <c r="A234" s="3">
        <v>45689</v>
      </c>
      <c r="B234" s="4" t="s">
        <v>141</v>
      </c>
      <c r="C234" s="4" t="s">
        <v>136</v>
      </c>
      <c r="D234" s="4">
        <v>7</v>
      </c>
      <c r="E234" s="4">
        <v>0</v>
      </c>
      <c r="F234" s="4" t="s">
        <v>124</v>
      </c>
      <c r="G234" s="4">
        <v>3</v>
      </c>
      <c r="H234" s="4">
        <v>0</v>
      </c>
      <c r="I234" s="4">
        <v>14</v>
      </c>
      <c r="J234" s="4">
        <v>10</v>
      </c>
      <c r="K234" s="4">
        <v>9</v>
      </c>
      <c r="L234" s="4">
        <v>5</v>
      </c>
      <c r="M234" s="4">
        <v>8</v>
      </c>
      <c r="N234" s="4">
        <v>13</v>
      </c>
      <c r="O234" s="4">
        <v>4</v>
      </c>
      <c r="P234" s="4">
        <v>6</v>
      </c>
    </row>
    <row r="235" spans="1:16" ht="27.9" customHeight="1" x14ac:dyDescent="0.3">
      <c r="A235" s="3">
        <v>45689</v>
      </c>
      <c r="B235" s="4" t="s">
        <v>142</v>
      </c>
      <c r="C235" s="4" t="s">
        <v>129</v>
      </c>
      <c r="D235" s="4">
        <v>0</v>
      </c>
      <c r="E235" s="4">
        <v>2</v>
      </c>
      <c r="F235" s="4" t="s">
        <v>130</v>
      </c>
      <c r="G235" s="4">
        <v>0</v>
      </c>
      <c r="H235" s="4">
        <v>1</v>
      </c>
      <c r="I235" s="4">
        <v>14</v>
      </c>
      <c r="J235" s="4">
        <v>19</v>
      </c>
      <c r="K235" s="4">
        <v>3</v>
      </c>
      <c r="L235" s="4">
        <v>7</v>
      </c>
      <c r="M235" s="4">
        <v>15</v>
      </c>
      <c r="N235" s="4">
        <v>9</v>
      </c>
      <c r="O235" s="4">
        <v>3</v>
      </c>
      <c r="P235" s="4">
        <v>3</v>
      </c>
    </row>
    <row r="236" spans="1:16" ht="27.9" customHeight="1" x14ac:dyDescent="0.3">
      <c r="A236" s="3">
        <v>45689</v>
      </c>
      <c r="B236" s="4" t="s">
        <v>135</v>
      </c>
      <c r="C236" s="4" t="s">
        <v>155</v>
      </c>
      <c r="D236" s="4">
        <v>4</v>
      </c>
      <c r="E236" s="4">
        <v>0</v>
      </c>
      <c r="F236" s="4" t="s">
        <v>124</v>
      </c>
      <c r="G236" s="4">
        <v>3</v>
      </c>
      <c r="H236" s="4">
        <v>0</v>
      </c>
      <c r="I236" s="4">
        <v>13</v>
      </c>
      <c r="J236" s="4">
        <v>9</v>
      </c>
      <c r="K236" s="4">
        <v>7</v>
      </c>
      <c r="L236" s="4">
        <v>1</v>
      </c>
      <c r="M236" s="4">
        <v>7</v>
      </c>
      <c r="N236" s="4">
        <v>13</v>
      </c>
      <c r="O236" s="4">
        <v>5</v>
      </c>
      <c r="P236" s="4">
        <v>6</v>
      </c>
    </row>
    <row r="237" spans="1:16" ht="27.9" customHeight="1" x14ac:dyDescent="0.3">
      <c r="A237" s="3">
        <v>45689</v>
      </c>
      <c r="B237" s="4" t="s">
        <v>128</v>
      </c>
      <c r="C237" s="4" t="s">
        <v>139</v>
      </c>
      <c r="D237" s="4">
        <v>1</v>
      </c>
      <c r="E237" s="4">
        <v>2</v>
      </c>
      <c r="F237" s="4" t="s">
        <v>130</v>
      </c>
      <c r="G237" s="4">
        <v>1</v>
      </c>
      <c r="H237" s="4">
        <v>1</v>
      </c>
      <c r="I237" s="4">
        <v>15</v>
      </c>
      <c r="J237" s="4">
        <v>9</v>
      </c>
      <c r="K237" s="4">
        <v>6</v>
      </c>
      <c r="L237" s="4">
        <v>4</v>
      </c>
      <c r="M237" s="4">
        <v>11</v>
      </c>
      <c r="N237" s="4">
        <v>14</v>
      </c>
      <c r="O237" s="4">
        <v>1</v>
      </c>
      <c r="P237" s="4">
        <v>2</v>
      </c>
    </row>
    <row r="238" spans="1:16" ht="27.9" customHeight="1" x14ac:dyDescent="0.3">
      <c r="A238" s="3">
        <v>45689</v>
      </c>
      <c r="B238" s="4" t="s">
        <v>138</v>
      </c>
      <c r="C238" s="4" t="s">
        <v>123</v>
      </c>
      <c r="D238" s="4">
        <v>1</v>
      </c>
      <c r="E238" s="4">
        <v>2</v>
      </c>
      <c r="F238" s="4" t="s">
        <v>130</v>
      </c>
      <c r="G238" s="4">
        <v>1</v>
      </c>
      <c r="H238" s="4">
        <v>0</v>
      </c>
      <c r="I238" s="4">
        <v>11</v>
      </c>
      <c r="J238" s="4">
        <v>15</v>
      </c>
      <c r="K238" s="4">
        <v>4</v>
      </c>
      <c r="L238" s="4">
        <v>4</v>
      </c>
      <c r="M238" s="4">
        <v>10</v>
      </c>
      <c r="N238" s="4">
        <v>15</v>
      </c>
      <c r="O238" s="4">
        <v>4</v>
      </c>
      <c r="P238" s="4">
        <v>7</v>
      </c>
    </row>
    <row r="239" spans="1:16" ht="27.9" customHeight="1" x14ac:dyDescent="0.3">
      <c r="A239" s="3">
        <v>45689</v>
      </c>
      <c r="B239" s="4" t="s">
        <v>133</v>
      </c>
      <c r="C239" s="4" t="s">
        <v>145</v>
      </c>
      <c r="D239" s="4">
        <v>2</v>
      </c>
      <c r="E239" s="4">
        <v>0</v>
      </c>
      <c r="F239" s="4" t="s">
        <v>124</v>
      </c>
      <c r="G239" s="4">
        <v>1</v>
      </c>
      <c r="H239" s="4">
        <v>0</v>
      </c>
      <c r="I239" s="4">
        <v>8</v>
      </c>
      <c r="J239" s="4">
        <v>10</v>
      </c>
      <c r="K239" s="4">
        <v>5</v>
      </c>
      <c r="L239" s="4">
        <v>3</v>
      </c>
      <c r="M239" s="4">
        <v>20</v>
      </c>
      <c r="N239" s="4">
        <v>13</v>
      </c>
      <c r="O239" s="4">
        <v>5</v>
      </c>
      <c r="P239" s="4">
        <v>8</v>
      </c>
    </row>
    <row r="240" spans="1:16" ht="27.9" customHeight="1" x14ac:dyDescent="0.3">
      <c r="A240" s="3">
        <v>45690</v>
      </c>
      <c r="B240" s="4" t="s">
        <v>148</v>
      </c>
      <c r="C240" s="4" t="s">
        <v>156</v>
      </c>
      <c r="D240" s="4">
        <v>0</v>
      </c>
      <c r="E240" s="4">
        <v>2</v>
      </c>
      <c r="F240" s="4" t="s">
        <v>130</v>
      </c>
      <c r="G240" s="4">
        <v>0</v>
      </c>
      <c r="H240" s="4">
        <v>1</v>
      </c>
      <c r="I240" s="4">
        <v>20</v>
      </c>
      <c r="J240" s="4">
        <v>13</v>
      </c>
      <c r="K240" s="4">
        <v>4</v>
      </c>
      <c r="L240" s="4">
        <v>2</v>
      </c>
      <c r="M240" s="4">
        <v>4</v>
      </c>
      <c r="N240" s="4">
        <v>11</v>
      </c>
      <c r="O240" s="4">
        <v>10</v>
      </c>
      <c r="P240" s="4">
        <v>3</v>
      </c>
    </row>
    <row r="241" spans="1:16" ht="27.9" customHeight="1" x14ac:dyDescent="0.3">
      <c r="A241" s="3">
        <v>45690</v>
      </c>
      <c r="B241" s="4" t="s">
        <v>122</v>
      </c>
      <c r="C241" s="4" t="s">
        <v>149</v>
      </c>
      <c r="D241" s="4">
        <v>0</v>
      </c>
      <c r="E241" s="4">
        <v>2</v>
      </c>
      <c r="F241" s="4" t="s">
        <v>130</v>
      </c>
      <c r="G241" s="4">
        <v>0</v>
      </c>
      <c r="H241" s="4">
        <v>0</v>
      </c>
      <c r="I241" s="4">
        <v>17</v>
      </c>
      <c r="J241" s="4">
        <v>11</v>
      </c>
      <c r="K241" s="4">
        <v>2</v>
      </c>
      <c r="L241" s="4">
        <v>3</v>
      </c>
      <c r="M241" s="4">
        <v>12</v>
      </c>
      <c r="N241" s="4">
        <v>13</v>
      </c>
      <c r="O241" s="4">
        <v>11</v>
      </c>
      <c r="P241" s="4">
        <v>0</v>
      </c>
    </row>
    <row r="242" spans="1:16" ht="27.9" customHeight="1" x14ac:dyDescent="0.3">
      <c r="A242" s="3">
        <v>45690</v>
      </c>
      <c r="B242" s="4" t="s">
        <v>132</v>
      </c>
      <c r="C242" s="4" t="s">
        <v>152</v>
      </c>
      <c r="D242" s="4">
        <v>5</v>
      </c>
      <c r="E242" s="4">
        <v>1</v>
      </c>
      <c r="F242" s="4" t="s">
        <v>124</v>
      </c>
      <c r="G242" s="4">
        <v>1</v>
      </c>
      <c r="H242" s="4">
        <v>0</v>
      </c>
      <c r="I242" s="4">
        <v>12</v>
      </c>
      <c r="J242" s="4">
        <v>7</v>
      </c>
      <c r="K242" s="4">
        <v>7</v>
      </c>
      <c r="L242" s="4">
        <v>4</v>
      </c>
      <c r="M242" s="4">
        <v>6</v>
      </c>
      <c r="N242" s="4">
        <v>7</v>
      </c>
      <c r="O242" s="4">
        <v>5</v>
      </c>
      <c r="P242" s="4">
        <v>2</v>
      </c>
    </row>
    <row r="243" spans="1:16" ht="27.9" customHeight="1" x14ac:dyDescent="0.3">
      <c r="A243" s="3">
        <v>45691</v>
      </c>
      <c r="B243" s="4" t="s">
        <v>151</v>
      </c>
      <c r="C243" s="4" t="s">
        <v>144</v>
      </c>
      <c r="D243" s="4">
        <v>2</v>
      </c>
      <c r="E243" s="4">
        <v>1</v>
      </c>
      <c r="F243" s="4" t="s">
        <v>124</v>
      </c>
      <c r="G243" s="4">
        <v>0</v>
      </c>
      <c r="H243" s="4">
        <v>1</v>
      </c>
      <c r="I243" s="4">
        <v>22</v>
      </c>
      <c r="J243" s="4">
        <v>14</v>
      </c>
      <c r="K243" s="4">
        <v>3</v>
      </c>
      <c r="L243" s="4">
        <v>5</v>
      </c>
      <c r="M243" s="4">
        <v>11</v>
      </c>
      <c r="N243" s="4">
        <v>10</v>
      </c>
      <c r="O243" s="4">
        <v>4</v>
      </c>
      <c r="P243" s="4">
        <v>3</v>
      </c>
    </row>
    <row r="244" spans="1:16" ht="27.9" customHeight="1" x14ac:dyDescent="0.3">
      <c r="A244" s="3">
        <v>45700</v>
      </c>
      <c r="B244" s="4" t="s">
        <v>135</v>
      </c>
      <c r="C244" s="4" t="s">
        <v>129</v>
      </c>
      <c r="D244" s="4">
        <v>2</v>
      </c>
      <c r="E244" s="4">
        <v>2</v>
      </c>
      <c r="F244" s="4" t="s">
        <v>125</v>
      </c>
      <c r="G244" s="4">
        <v>1</v>
      </c>
      <c r="H244" s="4">
        <v>1</v>
      </c>
      <c r="I244" s="4">
        <v>10</v>
      </c>
      <c r="J244" s="4">
        <v>6</v>
      </c>
      <c r="K244" s="4">
        <v>3</v>
      </c>
      <c r="L244" s="4">
        <v>4</v>
      </c>
      <c r="M244" s="4">
        <v>9</v>
      </c>
      <c r="N244" s="4">
        <v>20</v>
      </c>
      <c r="O244" s="4">
        <v>2</v>
      </c>
      <c r="P244" s="4">
        <v>3</v>
      </c>
    </row>
    <row r="245" spans="1:16" ht="27.9" customHeight="1" x14ac:dyDescent="0.3">
      <c r="A245" s="3">
        <v>45702</v>
      </c>
      <c r="B245" s="4" t="s">
        <v>136</v>
      </c>
      <c r="C245" s="4" t="s">
        <v>151</v>
      </c>
      <c r="D245" s="4">
        <v>3</v>
      </c>
      <c r="E245" s="4">
        <v>0</v>
      </c>
      <c r="F245" s="4" t="s">
        <v>124</v>
      </c>
      <c r="G245" s="4">
        <v>2</v>
      </c>
      <c r="H245" s="4">
        <v>0</v>
      </c>
      <c r="I245" s="4">
        <v>13</v>
      </c>
      <c r="J245" s="4">
        <v>8</v>
      </c>
      <c r="K245" s="4">
        <v>5</v>
      </c>
      <c r="L245" s="4">
        <v>0</v>
      </c>
      <c r="M245" s="4">
        <v>12</v>
      </c>
      <c r="N245" s="4">
        <v>15</v>
      </c>
      <c r="O245" s="4">
        <v>2</v>
      </c>
      <c r="P245" s="4">
        <v>9</v>
      </c>
    </row>
    <row r="246" spans="1:16" ht="27.9" customHeight="1" x14ac:dyDescent="0.3">
      <c r="A246" s="3">
        <v>45703</v>
      </c>
      <c r="B246" s="4" t="s">
        <v>155</v>
      </c>
      <c r="C246" s="4" t="s">
        <v>132</v>
      </c>
      <c r="D246" s="4">
        <v>0</v>
      </c>
      <c r="E246" s="4">
        <v>2</v>
      </c>
      <c r="F246" s="4" t="s">
        <v>130</v>
      </c>
      <c r="G246" s="4">
        <v>0</v>
      </c>
      <c r="H246" s="4">
        <v>0</v>
      </c>
      <c r="I246" s="4">
        <v>6</v>
      </c>
      <c r="J246" s="4">
        <v>11</v>
      </c>
      <c r="K246" s="4">
        <v>2</v>
      </c>
      <c r="L246" s="4">
        <v>5</v>
      </c>
      <c r="M246" s="4">
        <v>9</v>
      </c>
      <c r="N246" s="4">
        <v>10</v>
      </c>
      <c r="O246" s="4">
        <v>3</v>
      </c>
      <c r="P246" s="4">
        <v>7</v>
      </c>
    </row>
    <row r="247" spans="1:16" ht="27.9" customHeight="1" x14ac:dyDescent="0.3">
      <c r="A247" s="3">
        <v>45703</v>
      </c>
      <c r="B247" s="4" t="s">
        <v>145</v>
      </c>
      <c r="C247" s="4" t="s">
        <v>128</v>
      </c>
      <c r="D247" s="4">
        <v>1</v>
      </c>
      <c r="E247" s="4">
        <v>1</v>
      </c>
      <c r="F247" s="4" t="s">
        <v>125</v>
      </c>
      <c r="G247" s="4">
        <v>0</v>
      </c>
      <c r="H247" s="4">
        <v>0</v>
      </c>
      <c r="I247" s="4">
        <v>25</v>
      </c>
      <c r="J247" s="4">
        <v>4</v>
      </c>
      <c r="K247" s="4">
        <v>6</v>
      </c>
      <c r="L247" s="4">
        <v>3</v>
      </c>
      <c r="M247" s="4">
        <v>7</v>
      </c>
      <c r="N247" s="4">
        <v>11</v>
      </c>
      <c r="O247" s="4">
        <v>16</v>
      </c>
      <c r="P247" s="4">
        <v>1</v>
      </c>
    </row>
    <row r="248" spans="1:16" ht="27.9" customHeight="1" x14ac:dyDescent="0.3">
      <c r="A248" s="3">
        <v>45703</v>
      </c>
      <c r="B248" s="4" t="s">
        <v>123</v>
      </c>
      <c r="C248" s="4" t="s">
        <v>141</v>
      </c>
      <c r="D248" s="4">
        <v>2</v>
      </c>
      <c r="E248" s="4">
        <v>1</v>
      </c>
      <c r="F248" s="4" t="s">
        <v>124</v>
      </c>
      <c r="G248" s="4">
        <v>1</v>
      </c>
      <c r="H248" s="4">
        <v>1</v>
      </c>
      <c r="I248" s="4">
        <v>24</v>
      </c>
      <c r="J248" s="4">
        <v>8</v>
      </c>
      <c r="K248" s="4">
        <v>10</v>
      </c>
      <c r="L248" s="4">
        <v>2</v>
      </c>
      <c r="M248" s="4">
        <v>13</v>
      </c>
      <c r="N248" s="4">
        <v>8</v>
      </c>
      <c r="O248" s="4">
        <v>8</v>
      </c>
      <c r="P248" s="4">
        <v>4</v>
      </c>
    </row>
    <row r="249" spans="1:16" ht="27.9" customHeight="1" x14ac:dyDescent="0.3">
      <c r="A249" s="3">
        <v>45703</v>
      </c>
      <c r="B249" s="4" t="s">
        <v>152</v>
      </c>
      <c r="C249" s="4" t="s">
        <v>138</v>
      </c>
      <c r="D249" s="4">
        <v>4</v>
      </c>
      <c r="E249" s="4">
        <v>0</v>
      </c>
      <c r="F249" s="4" t="s">
        <v>124</v>
      </c>
      <c r="G249" s="4">
        <v>3</v>
      </c>
      <c r="H249" s="4">
        <v>0</v>
      </c>
      <c r="I249" s="4">
        <v>11</v>
      </c>
      <c r="J249" s="4">
        <v>3</v>
      </c>
      <c r="K249" s="4">
        <v>7</v>
      </c>
      <c r="L249" s="4">
        <v>1</v>
      </c>
      <c r="M249" s="4">
        <v>5</v>
      </c>
      <c r="N249" s="4">
        <v>13</v>
      </c>
      <c r="O249" s="4">
        <v>7</v>
      </c>
      <c r="P249" s="4">
        <v>4</v>
      </c>
    </row>
    <row r="250" spans="1:16" ht="27.9" customHeight="1" x14ac:dyDescent="0.3">
      <c r="A250" s="3">
        <v>45703</v>
      </c>
      <c r="B250" s="4" t="s">
        <v>139</v>
      </c>
      <c r="C250" s="4" t="s">
        <v>142</v>
      </c>
      <c r="D250" s="4">
        <v>1</v>
      </c>
      <c r="E250" s="4">
        <v>3</v>
      </c>
      <c r="F250" s="4" t="s">
        <v>130</v>
      </c>
      <c r="G250" s="4">
        <v>0</v>
      </c>
      <c r="H250" s="4">
        <v>2</v>
      </c>
      <c r="I250" s="4">
        <v>11</v>
      </c>
      <c r="J250" s="4">
        <v>14</v>
      </c>
      <c r="K250" s="4">
        <v>4</v>
      </c>
      <c r="L250" s="4">
        <v>7</v>
      </c>
      <c r="M250" s="4">
        <v>13</v>
      </c>
      <c r="N250" s="4">
        <v>15</v>
      </c>
      <c r="O250" s="4">
        <v>4</v>
      </c>
      <c r="P250" s="4">
        <v>6</v>
      </c>
    </row>
    <row r="251" spans="1:16" ht="27.9" customHeight="1" x14ac:dyDescent="0.3">
      <c r="A251" s="3">
        <v>45703</v>
      </c>
      <c r="B251" s="4" t="s">
        <v>144</v>
      </c>
      <c r="C251" s="4" t="s">
        <v>148</v>
      </c>
      <c r="D251" s="4">
        <v>0</v>
      </c>
      <c r="E251" s="4">
        <v>1</v>
      </c>
      <c r="F251" s="4" t="s">
        <v>130</v>
      </c>
      <c r="G251" s="4">
        <v>0</v>
      </c>
      <c r="H251" s="4">
        <v>1</v>
      </c>
      <c r="I251" s="4">
        <v>13</v>
      </c>
      <c r="J251" s="4">
        <v>14</v>
      </c>
      <c r="K251" s="4">
        <v>3</v>
      </c>
      <c r="L251" s="4">
        <v>5</v>
      </c>
      <c r="M251" s="4">
        <v>10</v>
      </c>
      <c r="N251" s="4">
        <v>13</v>
      </c>
      <c r="O251" s="4">
        <v>9</v>
      </c>
      <c r="P251" s="4">
        <v>2</v>
      </c>
    </row>
    <row r="252" spans="1:16" ht="27.9" customHeight="1" x14ac:dyDescent="0.3">
      <c r="A252" s="3">
        <v>45703</v>
      </c>
      <c r="B252" s="4" t="s">
        <v>149</v>
      </c>
      <c r="C252" s="4" t="s">
        <v>135</v>
      </c>
      <c r="D252" s="4">
        <v>1</v>
      </c>
      <c r="E252" s="4">
        <v>2</v>
      </c>
      <c r="F252" s="4" t="s">
        <v>130</v>
      </c>
      <c r="G252" s="4">
        <v>0</v>
      </c>
      <c r="H252" s="4">
        <v>1</v>
      </c>
      <c r="I252" s="4">
        <v>17</v>
      </c>
      <c r="J252" s="4">
        <v>11</v>
      </c>
      <c r="K252" s="4">
        <v>6</v>
      </c>
      <c r="L252" s="4">
        <v>6</v>
      </c>
      <c r="M252" s="4">
        <v>9</v>
      </c>
      <c r="N252" s="4">
        <v>12</v>
      </c>
      <c r="O252" s="4">
        <v>6</v>
      </c>
      <c r="P252" s="4">
        <v>2</v>
      </c>
    </row>
    <row r="253" spans="1:16" ht="27.9" customHeight="1" x14ac:dyDescent="0.3">
      <c r="A253" s="3">
        <v>45704</v>
      </c>
      <c r="B253" s="4" t="s">
        <v>129</v>
      </c>
      <c r="C253" s="4" t="s">
        <v>133</v>
      </c>
      <c r="D253" s="4">
        <v>2</v>
      </c>
      <c r="E253" s="4">
        <v>1</v>
      </c>
      <c r="F253" s="4" t="s">
        <v>124</v>
      </c>
      <c r="G253" s="4">
        <v>2</v>
      </c>
      <c r="H253" s="4">
        <v>0</v>
      </c>
      <c r="I253" s="4">
        <v>10</v>
      </c>
      <c r="J253" s="4">
        <v>16</v>
      </c>
      <c r="K253" s="4">
        <v>3</v>
      </c>
      <c r="L253" s="4">
        <v>4</v>
      </c>
      <c r="M253" s="4">
        <v>15</v>
      </c>
      <c r="N253" s="4">
        <v>13</v>
      </c>
      <c r="O253" s="4">
        <v>4</v>
      </c>
      <c r="P253" s="4">
        <v>3</v>
      </c>
    </row>
    <row r="254" spans="1:16" ht="27.9" customHeight="1" x14ac:dyDescent="0.3">
      <c r="A254" s="3">
        <v>45704</v>
      </c>
      <c r="B254" s="4" t="s">
        <v>156</v>
      </c>
      <c r="C254" s="4" t="s">
        <v>122</v>
      </c>
      <c r="D254" s="4">
        <v>1</v>
      </c>
      <c r="E254" s="4">
        <v>0</v>
      </c>
      <c r="F254" s="4" t="s">
        <v>124</v>
      </c>
      <c r="G254" s="4">
        <v>1</v>
      </c>
      <c r="H254" s="4">
        <v>0</v>
      </c>
      <c r="I254" s="4">
        <v>22</v>
      </c>
      <c r="J254" s="4">
        <v>16</v>
      </c>
      <c r="K254" s="4">
        <v>7</v>
      </c>
      <c r="L254" s="4">
        <v>6</v>
      </c>
      <c r="M254" s="4">
        <v>13</v>
      </c>
      <c r="N254" s="4">
        <v>9</v>
      </c>
      <c r="O254" s="4">
        <v>10</v>
      </c>
      <c r="P254" s="4">
        <v>5</v>
      </c>
    </row>
    <row r="255" spans="1:16" ht="27.9" customHeight="1" x14ac:dyDescent="0.3">
      <c r="A255" s="3">
        <v>45707</v>
      </c>
      <c r="B255" s="4" t="s">
        <v>145</v>
      </c>
      <c r="C255" s="4" t="s">
        <v>129</v>
      </c>
      <c r="D255" s="4">
        <v>2</v>
      </c>
      <c r="E255" s="4">
        <v>2</v>
      </c>
      <c r="F255" s="4" t="s">
        <v>125</v>
      </c>
      <c r="G255" s="4">
        <v>2</v>
      </c>
      <c r="H255" s="4">
        <v>1</v>
      </c>
      <c r="I255" s="4">
        <v>9</v>
      </c>
      <c r="J255" s="4">
        <v>17</v>
      </c>
      <c r="K255" s="4">
        <v>4</v>
      </c>
      <c r="L255" s="4">
        <v>3</v>
      </c>
      <c r="M255" s="4">
        <v>8</v>
      </c>
      <c r="N255" s="4">
        <v>6</v>
      </c>
      <c r="O255" s="4">
        <v>6</v>
      </c>
      <c r="P255" s="4">
        <v>8</v>
      </c>
    </row>
    <row r="256" spans="1:16" ht="27.9" customHeight="1" x14ac:dyDescent="0.3">
      <c r="A256" s="3">
        <v>45709</v>
      </c>
      <c r="B256" s="4" t="s">
        <v>155</v>
      </c>
      <c r="C256" s="4" t="s">
        <v>148</v>
      </c>
      <c r="D256" s="4">
        <v>0</v>
      </c>
      <c r="E256" s="4">
        <v>4</v>
      </c>
      <c r="F256" s="4" t="s">
        <v>130</v>
      </c>
      <c r="G256" s="4">
        <v>0</v>
      </c>
      <c r="H256" s="4">
        <v>3</v>
      </c>
      <c r="I256" s="4">
        <v>8</v>
      </c>
      <c r="J256" s="4">
        <v>14</v>
      </c>
      <c r="K256" s="4">
        <v>3</v>
      </c>
      <c r="L256" s="4">
        <v>6</v>
      </c>
      <c r="M256" s="4">
        <v>10</v>
      </c>
      <c r="N256" s="4">
        <v>10</v>
      </c>
      <c r="O256" s="4">
        <v>5</v>
      </c>
      <c r="P256" s="4">
        <v>6</v>
      </c>
    </row>
    <row r="257" spans="1:16" ht="27.9" customHeight="1" x14ac:dyDescent="0.3">
      <c r="A257" s="3">
        <v>45710</v>
      </c>
      <c r="B257" s="4" t="s">
        <v>135</v>
      </c>
      <c r="C257" s="4" t="s">
        <v>122</v>
      </c>
      <c r="D257" s="4">
        <v>2</v>
      </c>
      <c r="E257" s="4">
        <v>2</v>
      </c>
      <c r="F257" s="4" t="s">
        <v>125</v>
      </c>
      <c r="G257" s="4">
        <v>2</v>
      </c>
      <c r="H257" s="4">
        <v>0</v>
      </c>
      <c r="I257" s="4">
        <v>9</v>
      </c>
      <c r="J257" s="4">
        <v>9</v>
      </c>
      <c r="K257" s="4">
        <v>8</v>
      </c>
      <c r="L257" s="4">
        <v>3</v>
      </c>
      <c r="M257" s="4">
        <v>12</v>
      </c>
      <c r="N257" s="4">
        <v>9</v>
      </c>
      <c r="O257" s="4">
        <v>7</v>
      </c>
      <c r="P257" s="4">
        <v>9</v>
      </c>
    </row>
    <row r="258" spans="1:16" ht="27.9" customHeight="1" x14ac:dyDescent="0.3">
      <c r="A258" s="3">
        <v>45710</v>
      </c>
      <c r="B258" s="4" t="s">
        <v>132</v>
      </c>
      <c r="C258" s="4" t="s">
        <v>144</v>
      </c>
      <c r="D258" s="4">
        <v>0</v>
      </c>
      <c r="E258" s="4">
        <v>1</v>
      </c>
      <c r="F258" s="4" t="s">
        <v>130</v>
      </c>
      <c r="G258" s="4">
        <v>0</v>
      </c>
      <c r="H258" s="4">
        <v>1</v>
      </c>
      <c r="I258" s="4">
        <v>20</v>
      </c>
      <c r="J258" s="4">
        <v>5</v>
      </c>
      <c r="K258" s="4">
        <v>2</v>
      </c>
      <c r="L258" s="4">
        <v>2</v>
      </c>
      <c r="M258" s="4">
        <v>16</v>
      </c>
      <c r="N258" s="4">
        <v>15</v>
      </c>
      <c r="O258" s="4">
        <v>2</v>
      </c>
      <c r="P258" s="4">
        <v>0</v>
      </c>
    </row>
    <row r="259" spans="1:16" ht="27.9" customHeight="1" x14ac:dyDescent="0.3">
      <c r="A259" s="3">
        <v>45710</v>
      </c>
      <c r="B259" s="4" t="s">
        <v>142</v>
      </c>
      <c r="C259" s="4" t="s">
        <v>133</v>
      </c>
      <c r="D259" s="4">
        <v>0</v>
      </c>
      <c r="E259" s="4">
        <v>1</v>
      </c>
      <c r="F259" s="4" t="s">
        <v>130</v>
      </c>
      <c r="G259" s="4">
        <v>0</v>
      </c>
      <c r="H259" s="4">
        <v>1</v>
      </c>
      <c r="I259" s="4">
        <v>8</v>
      </c>
      <c r="J259" s="4">
        <v>13</v>
      </c>
      <c r="K259" s="4">
        <v>3</v>
      </c>
      <c r="L259" s="4">
        <v>5</v>
      </c>
      <c r="M259" s="4">
        <v>17</v>
      </c>
      <c r="N259" s="4">
        <v>9</v>
      </c>
      <c r="O259" s="4">
        <v>6</v>
      </c>
      <c r="P259" s="4">
        <v>7</v>
      </c>
    </row>
    <row r="260" spans="1:16" ht="27.9" customHeight="1" x14ac:dyDescent="0.3">
      <c r="A260" s="3">
        <v>45710</v>
      </c>
      <c r="B260" s="4" t="s">
        <v>123</v>
      </c>
      <c r="C260" s="4" t="s">
        <v>149</v>
      </c>
      <c r="D260" s="4">
        <v>0</v>
      </c>
      <c r="E260" s="4">
        <v>2</v>
      </c>
      <c r="F260" s="4" t="s">
        <v>130</v>
      </c>
      <c r="G260" s="4">
        <v>0</v>
      </c>
      <c r="H260" s="4">
        <v>1</v>
      </c>
      <c r="I260" s="4">
        <v>10</v>
      </c>
      <c r="J260" s="4">
        <v>10</v>
      </c>
      <c r="K260" s="4">
        <v>0</v>
      </c>
      <c r="L260" s="4">
        <v>5</v>
      </c>
      <c r="M260" s="4">
        <v>10</v>
      </c>
      <c r="N260" s="4">
        <v>7</v>
      </c>
      <c r="O260" s="4">
        <v>7</v>
      </c>
      <c r="P260" s="4">
        <v>7</v>
      </c>
    </row>
    <row r="261" spans="1:16" ht="27.9" customHeight="1" x14ac:dyDescent="0.3">
      <c r="A261" s="3">
        <v>45710</v>
      </c>
      <c r="B261" s="4" t="s">
        <v>128</v>
      </c>
      <c r="C261" s="4" t="s">
        <v>156</v>
      </c>
      <c r="D261" s="4">
        <v>1</v>
      </c>
      <c r="E261" s="4">
        <v>4</v>
      </c>
      <c r="F261" s="4" t="s">
        <v>130</v>
      </c>
      <c r="G261" s="4">
        <v>1</v>
      </c>
      <c r="H261" s="4">
        <v>2</v>
      </c>
      <c r="I261" s="4">
        <v>17</v>
      </c>
      <c r="J261" s="4">
        <v>10</v>
      </c>
      <c r="K261" s="4">
        <v>5</v>
      </c>
      <c r="L261" s="4">
        <v>6</v>
      </c>
      <c r="M261" s="4">
        <v>15</v>
      </c>
      <c r="N261" s="4">
        <v>14</v>
      </c>
      <c r="O261" s="4">
        <v>4</v>
      </c>
      <c r="P261" s="4">
        <v>4</v>
      </c>
    </row>
    <row r="262" spans="1:16" ht="27.9" customHeight="1" x14ac:dyDescent="0.3">
      <c r="A262" s="3">
        <v>45710</v>
      </c>
      <c r="B262" s="4" t="s">
        <v>139</v>
      </c>
      <c r="C262" s="4" t="s">
        <v>136</v>
      </c>
      <c r="D262" s="4">
        <v>0</v>
      </c>
      <c r="E262" s="4">
        <v>4</v>
      </c>
      <c r="F262" s="4" t="s">
        <v>130</v>
      </c>
      <c r="G262" s="4">
        <v>0</v>
      </c>
      <c r="H262" s="4">
        <v>1</v>
      </c>
      <c r="I262" s="4">
        <v>6</v>
      </c>
      <c r="J262" s="4">
        <v>18</v>
      </c>
      <c r="K262" s="4">
        <v>1</v>
      </c>
      <c r="L262" s="4">
        <v>12</v>
      </c>
      <c r="M262" s="4">
        <v>11</v>
      </c>
      <c r="N262" s="4">
        <v>12</v>
      </c>
      <c r="O262" s="4">
        <v>5</v>
      </c>
      <c r="P262" s="4">
        <v>6</v>
      </c>
    </row>
    <row r="263" spans="1:16" ht="27.9" customHeight="1" x14ac:dyDescent="0.3">
      <c r="A263" s="3">
        <v>45710</v>
      </c>
      <c r="B263" s="4" t="s">
        <v>145</v>
      </c>
      <c r="C263" s="4" t="s">
        <v>151</v>
      </c>
      <c r="D263" s="4">
        <v>2</v>
      </c>
      <c r="E263" s="4">
        <v>1</v>
      </c>
      <c r="F263" s="4" t="s">
        <v>124</v>
      </c>
      <c r="G263" s="4">
        <v>0</v>
      </c>
      <c r="H263" s="4">
        <v>1</v>
      </c>
      <c r="I263" s="4">
        <v>12</v>
      </c>
      <c r="J263" s="4">
        <v>15</v>
      </c>
      <c r="K263" s="4">
        <v>6</v>
      </c>
      <c r="L263" s="4">
        <v>7</v>
      </c>
      <c r="M263" s="4">
        <v>15</v>
      </c>
      <c r="N263" s="4">
        <v>16</v>
      </c>
      <c r="O263" s="4">
        <v>2</v>
      </c>
      <c r="P263" s="4">
        <v>3</v>
      </c>
    </row>
    <row r="264" spans="1:16" ht="27.9" customHeight="1" x14ac:dyDescent="0.3">
      <c r="A264" s="3">
        <v>45711</v>
      </c>
      <c r="B264" s="4" t="s">
        <v>138</v>
      </c>
      <c r="C264" s="4" t="s">
        <v>141</v>
      </c>
      <c r="D264" s="4">
        <v>4</v>
      </c>
      <c r="E264" s="4">
        <v>3</v>
      </c>
      <c r="F264" s="4" t="s">
        <v>124</v>
      </c>
      <c r="G264" s="4">
        <v>4</v>
      </c>
      <c r="H264" s="4">
        <v>1</v>
      </c>
      <c r="I264" s="4">
        <v>13</v>
      </c>
      <c r="J264" s="4">
        <v>17</v>
      </c>
      <c r="K264" s="4">
        <v>5</v>
      </c>
      <c r="L264" s="4">
        <v>5</v>
      </c>
      <c r="M264" s="4">
        <v>11</v>
      </c>
      <c r="N264" s="4">
        <v>13</v>
      </c>
      <c r="O264" s="4">
        <v>7</v>
      </c>
      <c r="P264" s="4">
        <v>6</v>
      </c>
    </row>
    <row r="265" spans="1:16" ht="27.9" customHeight="1" x14ac:dyDescent="0.3">
      <c r="A265" s="3">
        <v>45711</v>
      </c>
      <c r="B265" s="4" t="s">
        <v>152</v>
      </c>
      <c r="C265" s="4" t="s">
        <v>129</v>
      </c>
      <c r="D265" s="4">
        <v>0</v>
      </c>
      <c r="E265" s="4">
        <v>2</v>
      </c>
      <c r="F265" s="4" t="s">
        <v>130</v>
      </c>
      <c r="G265" s="4">
        <v>0</v>
      </c>
      <c r="H265" s="4">
        <v>2</v>
      </c>
      <c r="I265" s="4">
        <v>16</v>
      </c>
      <c r="J265" s="4">
        <v>8</v>
      </c>
      <c r="K265" s="4">
        <v>5</v>
      </c>
      <c r="L265" s="4">
        <v>4</v>
      </c>
      <c r="M265" s="4">
        <v>3</v>
      </c>
      <c r="N265" s="4">
        <v>10</v>
      </c>
      <c r="O265" s="4">
        <v>7</v>
      </c>
      <c r="P265" s="4">
        <v>5</v>
      </c>
    </row>
    <row r="266" spans="1:16" ht="27.9" customHeight="1" x14ac:dyDescent="0.3">
      <c r="A266" s="3">
        <v>45713</v>
      </c>
      <c r="B266" s="4" t="s">
        <v>136</v>
      </c>
      <c r="C266" s="4" t="s">
        <v>142</v>
      </c>
      <c r="D266" s="4">
        <v>2</v>
      </c>
      <c r="E266" s="4">
        <v>1</v>
      </c>
      <c r="F266" s="4" t="s">
        <v>124</v>
      </c>
      <c r="G266" s="4">
        <v>1</v>
      </c>
      <c r="H266" s="4">
        <v>0</v>
      </c>
      <c r="I266" s="4">
        <v>11</v>
      </c>
      <c r="J266" s="4">
        <v>19</v>
      </c>
      <c r="K266" s="4">
        <v>4</v>
      </c>
      <c r="L266" s="4">
        <v>5</v>
      </c>
      <c r="M266" s="4">
        <v>12</v>
      </c>
      <c r="N266" s="4">
        <v>14</v>
      </c>
      <c r="O266" s="4">
        <v>1</v>
      </c>
      <c r="P266" s="4">
        <v>9</v>
      </c>
    </row>
    <row r="267" spans="1:16" ht="27.9" customHeight="1" x14ac:dyDescent="0.3">
      <c r="A267" s="3">
        <v>45713</v>
      </c>
      <c r="B267" s="4" t="s">
        <v>149</v>
      </c>
      <c r="C267" s="4" t="s">
        <v>145</v>
      </c>
      <c r="D267" s="4">
        <v>4</v>
      </c>
      <c r="E267" s="4">
        <v>1</v>
      </c>
      <c r="F267" s="4" t="s">
        <v>124</v>
      </c>
      <c r="G267" s="4">
        <v>1</v>
      </c>
      <c r="H267" s="4">
        <v>0</v>
      </c>
      <c r="I267" s="4">
        <v>19</v>
      </c>
      <c r="J267" s="4">
        <v>6</v>
      </c>
      <c r="K267" s="4">
        <v>6</v>
      </c>
      <c r="L267" s="4">
        <v>2</v>
      </c>
      <c r="M267" s="4">
        <v>19</v>
      </c>
      <c r="N267" s="4">
        <v>10</v>
      </c>
      <c r="O267" s="4">
        <v>3</v>
      </c>
      <c r="P267" s="4">
        <v>8</v>
      </c>
    </row>
    <row r="268" spans="1:16" ht="27.9" customHeight="1" x14ac:dyDescent="0.3">
      <c r="A268" s="3">
        <v>45713</v>
      </c>
      <c r="B268" s="4" t="s">
        <v>133</v>
      </c>
      <c r="C268" s="4" t="s">
        <v>123</v>
      </c>
      <c r="D268" s="4">
        <v>1</v>
      </c>
      <c r="E268" s="4">
        <v>2</v>
      </c>
      <c r="F268" s="4" t="s">
        <v>130</v>
      </c>
      <c r="G268" s="4">
        <v>1</v>
      </c>
      <c r="H268" s="4">
        <v>1</v>
      </c>
      <c r="I268" s="4">
        <v>18</v>
      </c>
      <c r="J268" s="4">
        <v>11</v>
      </c>
      <c r="K268" s="4">
        <v>5</v>
      </c>
      <c r="L268" s="4">
        <v>5</v>
      </c>
      <c r="M268" s="4">
        <v>8</v>
      </c>
      <c r="N268" s="4">
        <v>15</v>
      </c>
      <c r="O268" s="4">
        <v>7</v>
      </c>
      <c r="P268" s="4">
        <v>5</v>
      </c>
    </row>
    <row r="269" spans="1:16" ht="27.9" customHeight="1" x14ac:dyDescent="0.3">
      <c r="A269" s="3">
        <v>45713</v>
      </c>
      <c r="B269" s="4" t="s">
        <v>151</v>
      </c>
      <c r="C269" s="4" t="s">
        <v>139</v>
      </c>
      <c r="D269" s="4">
        <v>4</v>
      </c>
      <c r="E269" s="4">
        <v>0</v>
      </c>
      <c r="F269" s="4" t="s">
        <v>124</v>
      </c>
      <c r="G269" s="4">
        <v>3</v>
      </c>
      <c r="H269" s="4">
        <v>0</v>
      </c>
      <c r="I269" s="4">
        <v>19</v>
      </c>
      <c r="J269" s="4">
        <v>7</v>
      </c>
      <c r="K269" s="4">
        <v>10</v>
      </c>
      <c r="L269" s="4">
        <v>2</v>
      </c>
      <c r="M269" s="4">
        <v>6</v>
      </c>
      <c r="N269" s="4">
        <v>9</v>
      </c>
      <c r="O269" s="4">
        <v>4</v>
      </c>
      <c r="P269" s="4">
        <v>2</v>
      </c>
    </row>
    <row r="270" spans="1:16" ht="27.9" customHeight="1" x14ac:dyDescent="0.3">
      <c r="A270" s="3">
        <v>45714</v>
      </c>
      <c r="B270" s="4" t="s">
        <v>148</v>
      </c>
      <c r="C270" s="4" t="s">
        <v>135</v>
      </c>
      <c r="D270" s="4">
        <v>1</v>
      </c>
      <c r="E270" s="4">
        <v>1</v>
      </c>
      <c r="F270" s="4" t="s">
        <v>125</v>
      </c>
      <c r="G270" s="4">
        <v>1</v>
      </c>
      <c r="H270" s="4">
        <v>0</v>
      </c>
      <c r="I270" s="4">
        <v>12</v>
      </c>
      <c r="J270" s="4">
        <v>14</v>
      </c>
      <c r="K270" s="4">
        <v>3</v>
      </c>
      <c r="L270" s="4">
        <v>4</v>
      </c>
      <c r="M270" s="4">
        <v>3</v>
      </c>
      <c r="N270" s="4">
        <v>6</v>
      </c>
      <c r="O270" s="4">
        <v>2</v>
      </c>
      <c r="P270" s="4">
        <v>5</v>
      </c>
    </row>
    <row r="271" spans="1:16" ht="27.9" customHeight="1" x14ac:dyDescent="0.3">
      <c r="A271" s="3">
        <v>45714</v>
      </c>
      <c r="B271" s="4" t="s">
        <v>122</v>
      </c>
      <c r="C271" s="4" t="s">
        <v>128</v>
      </c>
      <c r="D271" s="4">
        <v>3</v>
      </c>
      <c r="E271" s="4">
        <v>2</v>
      </c>
      <c r="F271" s="4" t="s">
        <v>124</v>
      </c>
      <c r="G271" s="4">
        <v>2</v>
      </c>
      <c r="H271" s="4">
        <v>2</v>
      </c>
      <c r="I271" s="4">
        <v>10</v>
      </c>
      <c r="J271" s="4">
        <v>12</v>
      </c>
      <c r="K271" s="4">
        <v>6</v>
      </c>
      <c r="L271" s="4">
        <v>3</v>
      </c>
      <c r="M271" s="4">
        <v>9</v>
      </c>
      <c r="N271" s="4">
        <v>16</v>
      </c>
      <c r="O271" s="4">
        <v>5</v>
      </c>
      <c r="P271" s="4">
        <v>6</v>
      </c>
    </row>
    <row r="272" spans="1:16" ht="27.9" customHeight="1" x14ac:dyDescent="0.3">
      <c r="A272" s="3">
        <v>45714</v>
      </c>
      <c r="B272" s="4" t="s">
        <v>141</v>
      </c>
      <c r="C272" s="4" t="s">
        <v>132</v>
      </c>
      <c r="D272" s="4">
        <v>0</v>
      </c>
      <c r="E272" s="4">
        <v>0</v>
      </c>
      <c r="F272" s="4" t="s">
        <v>125</v>
      </c>
      <c r="G272" s="4">
        <v>0</v>
      </c>
      <c r="H272" s="4">
        <v>0</v>
      </c>
      <c r="I272" s="4">
        <v>6</v>
      </c>
      <c r="J272" s="4">
        <v>13</v>
      </c>
      <c r="K272" s="4">
        <v>2</v>
      </c>
      <c r="L272" s="4">
        <v>1</v>
      </c>
      <c r="M272" s="4">
        <v>10</v>
      </c>
      <c r="N272" s="4">
        <v>17</v>
      </c>
      <c r="O272" s="4">
        <v>3</v>
      </c>
      <c r="P272" s="4">
        <v>11</v>
      </c>
    </row>
    <row r="273" spans="1:16" ht="27.9" customHeight="1" x14ac:dyDescent="0.3">
      <c r="A273" s="3">
        <v>45714</v>
      </c>
      <c r="B273" s="4" t="s">
        <v>156</v>
      </c>
      <c r="C273" s="4" t="s">
        <v>152</v>
      </c>
      <c r="D273" s="4">
        <v>0</v>
      </c>
      <c r="E273" s="4">
        <v>1</v>
      </c>
      <c r="F273" s="4" t="s">
        <v>130</v>
      </c>
      <c r="G273" s="4">
        <v>0</v>
      </c>
      <c r="H273" s="4">
        <v>1</v>
      </c>
      <c r="I273" s="4">
        <v>11</v>
      </c>
      <c r="J273" s="4">
        <v>12</v>
      </c>
      <c r="K273" s="4">
        <v>6</v>
      </c>
      <c r="L273" s="4">
        <v>5</v>
      </c>
      <c r="M273" s="4">
        <v>12</v>
      </c>
      <c r="N273" s="4">
        <v>15</v>
      </c>
      <c r="O273" s="4">
        <v>8</v>
      </c>
      <c r="P273" s="4">
        <v>3</v>
      </c>
    </row>
    <row r="274" spans="1:16" ht="27.9" customHeight="1" x14ac:dyDescent="0.3">
      <c r="A274" s="3">
        <v>45714</v>
      </c>
      <c r="B274" s="4" t="s">
        <v>129</v>
      </c>
      <c r="C274" s="4" t="s">
        <v>138</v>
      </c>
      <c r="D274" s="4">
        <v>2</v>
      </c>
      <c r="E274" s="4">
        <v>0</v>
      </c>
      <c r="F274" s="4" t="s">
        <v>124</v>
      </c>
      <c r="G274" s="4">
        <v>1</v>
      </c>
      <c r="H274" s="4">
        <v>0</v>
      </c>
      <c r="I274" s="4">
        <v>12</v>
      </c>
      <c r="J274" s="4">
        <v>3</v>
      </c>
      <c r="K274" s="4">
        <v>3</v>
      </c>
      <c r="L274" s="4">
        <v>0</v>
      </c>
      <c r="M274" s="4">
        <v>12</v>
      </c>
      <c r="N274" s="4">
        <v>11</v>
      </c>
      <c r="O274" s="4">
        <v>4</v>
      </c>
      <c r="P274" s="4">
        <v>2</v>
      </c>
    </row>
    <row r="275" spans="1:16" ht="27.9" customHeight="1" x14ac:dyDescent="0.3">
      <c r="A275" s="3">
        <v>45715</v>
      </c>
      <c r="B275" s="4" t="s">
        <v>144</v>
      </c>
      <c r="C275" s="4" t="s">
        <v>155</v>
      </c>
      <c r="D275" s="4">
        <v>2</v>
      </c>
      <c r="E275" s="4">
        <v>0</v>
      </c>
      <c r="F275" s="4" t="s">
        <v>124</v>
      </c>
      <c r="G275" s="4">
        <v>2</v>
      </c>
      <c r="H275" s="4">
        <v>0</v>
      </c>
      <c r="I275" s="4">
        <v>8</v>
      </c>
      <c r="J275" s="4">
        <v>10</v>
      </c>
      <c r="K275" s="4">
        <v>2</v>
      </c>
      <c r="L275" s="4">
        <v>2</v>
      </c>
      <c r="M275" s="4">
        <v>12</v>
      </c>
      <c r="N275" s="4">
        <v>6</v>
      </c>
      <c r="O275" s="4">
        <v>3</v>
      </c>
      <c r="P275" s="4">
        <v>3</v>
      </c>
    </row>
    <row r="276" spans="1:16" ht="27.9" customHeight="1" x14ac:dyDescent="0.3">
      <c r="A276" s="3">
        <v>45724</v>
      </c>
      <c r="B276" s="4" t="s">
        <v>141</v>
      </c>
      <c r="C276" s="4" t="s">
        <v>152</v>
      </c>
      <c r="D276" s="4">
        <v>1</v>
      </c>
      <c r="E276" s="4">
        <v>0</v>
      </c>
      <c r="F276" s="4" t="s">
        <v>124</v>
      </c>
      <c r="G276" s="4">
        <v>0</v>
      </c>
      <c r="H276" s="4">
        <v>0</v>
      </c>
      <c r="I276" s="4">
        <v>9</v>
      </c>
      <c r="J276" s="4">
        <v>14</v>
      </c>
      <c r="K276" s="4">
        <v>4</v>
      </c>
      <c r="L276" s="4">
        <v>3</v>
      </c>
      <c r="M276" s="4">
        <v>9</v>
      </c>
      <c r="N276" s="4">
        <v>7</v>
      </c>
      <c r="O276" s="4">
        <v>3</v>
      </c>
      <c r="P276" s="4">
        <v>2</v>
      </c>
    </row>
    <row r="277" spans="1:16" ht="27.9" customHeight="1" x14ac:dyDescent="0.3">
      <c r="A277" s="3">
        <v>45724</v>
      </c>
      <c r="B277" s="4" t="s">
        <v>136</v>
      </c>
      <c r="C277" s="4" t="s">
        <v>123</v>
      </c>
      <c r="D277" s="4">
        <v>2</v>
      </c>
      <c r="E277" s="4">
        <v>1</v>
      </c>
      <c r="F277" s="4" t="s">
        <v>124</v>
      </c>
      <c r="G277" s="4">
        <v>1</v>
      </c>
      <c r="H277" s="4">
        <v>1</v>
      </c>
      <c r="I277" s="4">
        <v>9</v>
      </c>
      <c r="J277" s="4">
        <v>6</v>
      </c>
      <c r="K277" s="4">
        <v>4</v>
      </c>
      <c r="L277" s="4">
        <v>1</v>
      </c>
      <c r="M277" s="4">
        <v>6</v>
      </c>
      <c r="N277" s="4">
        <v>12</v>
      </c>
      <c r="O277" s="4">
        <v>3</v>
      </c>
      <c r="P277" s="4">
        <v>7</v>
      </c>
    </row>
    <row r="278" spans="1:16" ht="27.9" customHeight="1" x14ac:dyDescent="0.3">
      <c r="A278" s="3">
        <v>45724</v>
      </c>
      <c r="B278" s="4" t="s">
        <v>149</v>
      </c>
      <c r="C278" s="4" t="s">
        <v>128</v>
      </c>
      <c r="D278" s="4">
        <v>1</v>
      </c>
      <c r="E278" s="4">
        <v>0</v>
      </c>
      <c r="F278" s="4" t="s">
        <v>124</v>
      </c>
      <c r="G278" s="4">
        <v>0</v>
      </c>
      <c r="H278" s="4">
        <v>0</v>
      </c>
      <c r="I278" s="4">
        <v>19</v>
      </c>
      <c r="J278" s="4">
        <v>15</v>
      </c>
      <c r="K278" s="4">
        <v>4</v>
      </c>
      <c r="L278" s="4">
        <v>8</v>
      </c>
      <c r="M278" s="4">
        <v>8</v>
      </c>
      <c r="N278" s="4">
        <v>7</v>
      </c>
      <c r="O278" s="4">
        <v>5</v>
      </c>
      <c r="P278" s="4">
        <v>4</v>
      </c>
    </row>
    <row r="279" spans="1:16" ht="27.9" customHeight="1" x14ac:dyDescent="0.3">
      <c r="A279" s="3">
        <v>45724</v>
      </c>
      <c r="B279" s="4" t="s">
        <v>129</v>
      </c>
      <c r="C279" s="4" t="s">
        <v>139</v>
      </c>
      <c r="D279" s="4">
        <v>3</v>
      </c>
      <c r="E279" s="4">
        <v>1</v>
      </c>
      <c r="F279" s="4" t="s">
        <v>124</v>
      </c>
      <c r="G279" s="4">
        <v>0</v>
      </c>
      <c r="H279" s="4">
        <v>1</v>
      </c>
      <c r="I279" s="4">
        <v>28</v>
      </c>
      <c r="J279" s="4">
        <v>6</v>
      </c>
      <c r="K279" s="4">
        <v>7</v>
      </c>
      <c r="L279" s="4">
        <v>4</v>
      </c>
      <c r="M279" s="4">
        <v>10</v>
      </c>
      <c r="N279" s="4">
        <v>9</v>
      </c>
      <c r="O279" s="4">
        <v>6</v>
      </c>
      <c r="P279" s="4">
        <v>4</v>
      </c>
    </row>
    <row r="280" spans="1:16" ht="27.9" customHeight="1" x14ac:dyDescent="0.3">
      <c r="A280" s="3">
        <v>45724</v>
      </c>
      <c r="B280" s="4" t="s">
        <v>148</v>
      </c>
      <c r="C280" s="4" t="s">
        <v>145</v>
      </c>
      <c r="D280" s="4">
        <v>0</v>
      </c>
      <c r="E280" s="4">
        <v>1</v>
      </c>
      <c r="F280" s="4" t="s">
        <v>130</v>
      </c>
      <c r="G280" s="4">
        <v>0</v>
      </c>
      <c r="H280" s="4">
        <v>0</v>
      </c>
      <c r="I280" s="4">
        <v>13</v>
      </c>
      <c r="J280" s="4">
        <v>12</v>
      </c>
      <c r="K280" s="4">
        <v>3</v>
      </c>
      <c r="L280" s="4">
        <v>4</v>
      </c>
      <c r="M280" s="4">
        <v>10</v>
      </c>
      <c r="N280" s="4">
        <v>5</v>
      </c>
      <c r="O280" s="4">
        <v>6</v>
      </c>
      <c r="P280" s="4">
        <v>5</v>
      </c>
    </row>
    <row r="281" spans="1:16" ht="27.9" customHeight="1" x14ac:dyDescent="0.3">
      <c r="A281" s="3">
        <v>45724</v>
      </c>
      <c r="B281" s="4" t="s">
        <v>133</v>
      </c>
      <c r="C281" s="4" t="s">
        <v>135</v>
      </c>
      <c r="D281" s="4">
        <v>1</v>
      </c>
      <c r="E281" s="4">
        <v>1</v>
      </c>
      <c r="F281" s="4" t="s">
        <v>125</v>
      </c>
      <c r="G281" s="4">
        <v>1</v>
      </c>
      <c r="H281" s="4">
        <v>1</v>
      </c>
      <c r="I281" s="4">
        <v>11</v>
      </c>
      <c r="J281" s="4">
        <v>12</v>
      </c>
      <c r="K281" s="4">
        <v>3</v>
      </c>
      <c r="L281" s="4">
        <v>4</v>
      </c>
      <c r="M281" s="4">
        <v>11</v>
      </c>
      <c r="N281" s="4">
        <v>16</v>
      </c>
      <c r="O281" s="4">
        <v>5</v>
      </c>
      <c r="P281" s="4">
        <v>5</v>
      </c>
    </row>
    <row r="282" spans="1:16" ht="27.9" customHeight="1" x14ac:dyDescent="0.3">
      <c r="A282" s="3">
        <v>45725</v>
      </c>
      <c r="B282" s="4" t="s">
        <v>151</v>
      </c>
      <c r="C282" s="4" t="s">
        <v>155</v>
      </c>
      <c r="D282" s="4">
        <v>1</v>
      </c>
      <c r="E282" s="4">
        <v>0</v>
      </c>
      <c r="F282" s="4" t="s">
        <v>124</v>
      </c>
      <c r="G282" s="4">
        <v>0</v>
      </c>
      <c r="H282" s="4">
        <v>0</v>
      </c>
      <c r="I282" s="4">
        <v>20</v>
      </c>
      <c r="J282" s="4">
        <v>3</v>
      </c>
      <c r="K282" s="4">
        <v>7</v>
      </c>
      <c r="L282" s="4">
        <v>3</v>
      </c>
      <c r="M282" s="4">
        <v>12</v>
      </c>
      <c r="N282" s="4">
        <v>13</v>
      </c>
      <c r="O282" s="4">
        <v>12</v>
      </c>
      <c r="P282" s="4">
        <v>2</v>
      </c>
    </row>
    <row r="283" spans="1:16" ht="27.9" customHeight="1" x14ac:dyDescent="0.3">
      <c r="A283" s="3">
        <v>45725</v>
      </c>
      <c r="B283" s="4" t="s">
        <v>156</v>
      </c>
      <c r="C283" s="4" t="s">
        <v>142</v>
      </c>
      <c r="D283" s="4">
        <v>2</v>
      </c>
      <c r="E283" s="4">
        <v>2</v>
      </c>
      <c r="F283" s="4" t="s">
        <v>125</v>
      </c>
      <c r="G283" s="4">
        <v>0</v>
      </c>
      <c r="H283" s="4">
        <v>1</v>
      </c>
      <c r="I283" s="4">
        <v>12</v>
      </c>
      <c r="J283" s="4">
        <v>17</v>
      </c>
      <c r="K283" s="4">
        <v>4</v>
      </c>
      <c r="L283" s="4">
        <v>8</v>
      </c>
      <c r="M283" s="4">
        <v>15</v>
      </c>
      <c r="N283" s="4">
        <v>16</v>
      </c>
      <c r="O283" s="4">
        <v>3</v>
      </c>
      <c r="P283" s="4">
        <v>6</v>
      </c>
    </row>
    <row r="284" spans="1:16" ht="27.9" customHeight="1" x14ac:dyDescent="0.3">
      <c r="A284" s="3">
        <v>45725</v>
      </c>
      <c r="B284" s="4" t="s">
        <v>122</v>
      </c>
      <c r="C284" s="4" t="s">
        <v>132</v>
      </c>
      <c r="D284" s="4">
        <v>1</v>
      </c>
      <c r="E284" s="4">
        <v>1</v>
      </c>
      <c r="F284" s="4" t="s">
        <v>125</v>
      </c>
      <c r="G284" s="4">
        <v>1</v>
      </c>
      <c r="H284" s="4">
        <v>0</v>
      </c>
      <c r="I284" s="4">
        <v>10</v>
      </c>
      <c r="J284" s="4">
        <v>17</v>
      </c>
      <c r="K284" s="4">
        <v>6</v>
      </c>
      <c r="L284" s="4">
        <v>6</v>
      </c>
      <c r="M284" s="4">
        <v>8</v>
      </c>
      <c r="N284" s="4">
        <v>11</v>
      </c>
      <c r="O284" s="4">
        <v>2</v>
      </c>
      <c r="P284" s="4">
        <v>9</v>
      </c>
    </row>
    <row r="285" spans="1:16" ht="27.9" customHeight="1" x14ac:dyDescent="0.3">
      <c r="A285" s="3">
        <v>45726</v>
      </c>
      <c r="B285" s="4" t="s">
        <v>144</v>
      </c>
      <c r="C285" s="4" t="s">
        <v>138</v>
      </c>
      <c r="D285" s="4">
        <v>0</v>
      </c>
      <c r="E285" s="4">
        <v>1</v>
      </c>
      <c r="F285" s="4" t="s">
        <v>130</v>
      </c>
      <c r="G285" s="4">
        <v>0</v>
      </c>
      <c r="H285" s="4">
        <v>0</v>
      </c>
      <c r="I285" s="4">
        <v>9</v>
      </c>
      <c r="J285" s="4">
        <v>9</v>
      </c>
      <c r="K285" s="4">
        <v>2</v>
      </c>
      <c r="L285" s="4">
        <v>3</v>
      </c>
      <c r="M285" s="4">
        <v>7</v>
      </c>
      <c r="N285" s="4">
        <v>15</v>
      </c>
      <c r="O285" s="4">
        <v>3</v>
      </c>
      <c r="P285" s="4">
        <v>4</v>
      </c>
    </row>
    <row r="286" spans="1:16" ht="27.9" customHeight="1" x14ac:dyDescent="0.3">
      <c r="A286" s="3">
        <v>45731</v>
      </c>
      <c r="B286" s="4" t="s">
        <v>135</v>
      </c>
      <c r="C286" s="4" t="s">
        <v>144</v>
      </c>
      <c r="D286" s="4">
        <v>1</v>
      </c>
      <c r="E286" s="4">
        <v>1</v>
      </c>
      <c r="F286" s="4" t="s">
        <v>125</v>
      </c>
      <c r="G286" s="4">
        <v>0</v>
      </c>
      <c r="H286" s="4">
        <v>0</v>
      </c>
      <c r="I286" s="4">
        <v>13</v>
      </c>
      <c r="J286" s="4">
        <v>10</v>
      </c>
      <c r="K286" s="4">
        <v>5</v>
      </c>
      <c r="L286" s="4">
        <v>5</v>
      </c>
      <c r="M286" s="4">
        <v>12</v>
      </c>
      <c r="N286" s="4">
        <v>8</v>
      </c>
      <c r="O286" s="4">
        <v>6</v>
      </c>
      <c r="P286" s="4">
        <v>5</v>
      </c>
    </row>
    <row r="287" spans="1:16" ht="27.9" customHeight="1" x14ac:dyDescent="0.3">
      <c r="A287" s="3">
        <v>45731</v>
      </c>
      <c r="B287" s="4" t="s">
        <v>128</v>
      </c>
      <c r="C287" s="4" t="s">
        <v>141</v>
      </c>
      <c r="D287" s="4">
        <v>2</v>
      </c>
      <c r="E287" s="4">
        <v>4</v>
      </c>
      <c r="F287" s="4" t="s">
        <v>130</v>
      </c>
      <c r="G287" s="4">
        <v>0</v>
      </c>
      <c r="H287" s="4">
        <v>3</v>
      </c>
      <c r="I287" s="4">
        <v>11</v>
      </c>
      <c r="J287" s="4">
        <v>11</v>
      </c>
      <c r="K287" s="4">
        <v>4</v>
      </c>
      <c r="L287" s="4">
        <v>6</v>
      </c>
      <c r="M287" s="4">
        <v>4</v>
      </c>
      <c r="N287" s="4">
        <v>13</v>
      </c>
      <c r="O287" s="4">
        <v>6</v>
      </c>
      <c r="P287" s="4">
        <v>3</v>
      </c>
    </row>
    <row r="288" spans="1:16" ht="27.9" customHeight="1" x14ac:dyDescent="0.3">
      <c r="A288" s="3">
        <v>45731</v>
      </c>
      <c r="B288" s="4" t="s">
        <v>152</v>
      </c>
      <c r="C288" s="4" t="s">
        <v>136</v>
      </c>
      <c r="D288" s="4">
        <v>2</v>
      </c>
      <c r="E288" s="4">
        <v>2</v>
      </c>
      <c r="F288" s="4" t="s">
        <v>125</v>
      </c>
      <c r="G288" s="4">
        <v>2</v>
      </c>
      <c r="H288" s="4">
        <v>1</v>
      </c>
      <c r="I288" s="4">
        <v>11</v>
      </c>
      <c r="J288" s="4">
        <v>15</v>
      </c>
      <c r="K288" s="4">
        <v>3</v>
      </c>
      <c r="L288" s="4">
        <v>3</v>
      </c>
      <c r="M288" s="4">
        <v>10</v>
      </c>
      <c r="N288" s="4">
        <v>10</v>
      </c>
      <c r="O288" s="4">
        <v>4</v>
      </c>
      <c r="P288" s="4">
        <v>5</v>
      </c>
    </row>
    <row r="289" spans="1:16" ht="27.9" customHeight="1" x14ac:dyDescent="0.3">
      <c r="A289" s="3">
        <v>45731</v>
      </c>
      <c r="B289" s="4" t="s">
        <v>139</v>
      </c>
      <c r="C289" s="4" t="s">
        <v>133</v>
      </c>
      <c r="D289" s="4">
        <v>1</v>
      </c>
      <c r="E289" s="4">
        <v>2</v>
      </c>
      <c r="F289" s="4" t="s">
        <v>130</v>
      </c>
      <c r="G289" s="4">
        <v>0</v>
      </c>
      <c r="H289" s="4">
        <v>1</v>
      </c>
      <c r="I289" s="4">
        <v>10</v>
      </c>
      <c r="J289" s="4">
        <v>5</v>
      </c>
      <c r="K289" s="4">
        <v>3</v>
      </c>
      <c r="L289" s="4">
        <v>3</v>
      </c>
      <c r="M289" s="4">
        <v>12</v>
      </c>
      <c r="N289" s="4">
        <v>13</v>
      </c>
      <c r="O289" s="4">
        <v>5</v>
      </c>
      <c r="P289" s="4">
        <v>1</v>
      </c>
    </row>
    <row r="290" spans="1:16" ht="27.9" customHeight="1" x14ac:dyDescent="0.3">
      <c r="A290" s="3">
        <v>45731</v>
      </c>
      <c r="B290" s="4" t="s">
        <v>142</v>
      </c>
      <c r="C290" s="4" t="s">
        <v>148</v>
      </c>
      <c r="D290" s="4">
        <v>1</v>
      </c>
      <c r="E290" s="4">
        <v>2</v>
      </c>
      <c r="F290" s="4" t="s">
        <v>130</v>
      </c>
      <c r="G290" s="4">
        <v>1</v>
      </c>
      <c r="H290" s="4">
        <v>1</v>
      </c>
      <c r="I290" s="4">
        <v>17</v>
      </c>
      <c r="J290" s="4">
        <v>10</v>
      </c>
      <c r="K290" s="4">
        <v>5</v>
      </c>
      <c r="L290" s="4">
        <v>4</v>
      </c>
      <c r="M290" s="4">
        <v>13</v>
      </c>
      <c r="N290" s="4">
        <v>7</v>
      </c>
      <c r="O290" s="4">
        <v>4</v>
      </c>
      <c r="P290" s="4">
        <v>3</v>
      </c>
    </row>
    <row r="291" spans="1:16" ht="27.9" customHeight="1" x14ac:dyDescent="0.3">
      <c r="A291" s="3">
        <v>45732</v>
      </c>
      <c r="B291" s="4" t="s">
        <v>132</v>
      </c>
      <c r="C291" s="4" t="s">
        <v>151</v>
      </c>
      <c r="D291" s="4">
        <v>1</v>
      </c>
      <c r="E291" s="4">
        <v>0</v>
      </c>
      <c r="F291" s="4" t="s">
        <v>124</v>
      </c>
      <c r="G291" s="4">
        <v>1</v>
      </c>
      <c r="H291" s="4">
        <v>0</v>
      </c>
      <c r="I291" s="4">
        <v>12</v>
      </c>
      <c r="J291" s="4">
        <v>8</v>
      </c>
      <c r="K291" s="4">
        <v>4</v>
      </c>
      <c r="L291" s="4">
        <v>2</v>
      </c>
      <c r="M291" s="4">
        <v>10</v>
      </c>
      <c r="N291" s="4">
        <v>13</v>
      </c>
      <c r="O291" s="4">
        <v>5</v>
      </c>
      <c r="P291" s="4">
        <v>4</v>
      </c>
    </row>
    <row r="292" spans="1:16" ht="27.9" customHeight="1" x14ac:dyDescent="0.3">
      <c r="A292" s="3">
        <v>45732</v>
      </c>
      <c r="B292" s="4" t="s">
        <v>123</v>
      </c>
      <c r="C292" s="4" t="s">
        <v>156</v>
      </c>
      <c r="D292" s="4">
        <v>2</v>
      </c>
      <c r="E292" s="4">
        <v>0</v>
      </c>
      <c r="F292" s="4" t="s">
        <v>124</v>
      </c>
      <c r="G292" s="4">
        <v>0</v>
      </c>
      <c r="H292" s="4">
        <v>0</v>
      </c>
      <c r="I292" s="4">
        <v>13</v>
      </c>
      <c r="J292" s="4">
        <v>12</v>
      </c>
      <c r="K292" s="4">
        <v>4</v>
      </c>
      <c r="L292" s="4">
        <v>4</v>
      </c>
      <c r="M292" s="4">
        <v>13</v>
      </c>
      <c r="N292" s="4">
        <v>10</v>
      </c>
      <c r="O292" s="4">
        <v>6</v>
      </c>
      <c r="P292" s="4">
        <v>5</v>
      </c>
    </row>
    <row r="293" spans="1:16" ht="27.9" customHeight="1" x14ac:dyDescent="0.3">
      <c r="A293" s="3">
        <v>45732</v>
      </c>
      <c r="B293" s="4" t="s">
        <v>155</v>
      </c>
      <c r="C293" s="4" t="s">
        <v>122</v>
      </c>
      <c r="D293" s="4">
        <v>0</v>
      </c>
      <c r="E293" s="4">
        <v>3</v>
      </c>
      <c r="F293" s="4" t="s">
        <v>130</v>
      </c>
      <c r="G293" s="4">
        <v>0</v>
      </c>
      <c r="H293" s="4">
        <v>1</v>
      </c>
      <c r="I293" s="4">
        <v>11</v>
      </c>
      <c r="J293" s="4">
        <v>18</v>
      </c>
      <c r="K293" s="4">
        <v>3</v>
      </c>
      <c r="L293" s="4">
        <v>5</v>
      </c>
      <c r="M293" s="4">
        <v>6</v>
      </c>
      <c r="N293" s="4">
        <v>6</v>
      </c>
      <c r="O293" s="4">
        <v>6</v>
      </c>
      <c r="P293" s="4">
        <v>4</v>
      </c>
    </row>
    <row r="294" spans="1:16" ht="27.9" customHeight="1" x14ac:dyDescent="0.3">
      <c r="A294" s="3">
        <v>45748</v>
      </c>
      <c r="B294" s="4" t="s">
        <v>132</v>
      </c>
      <c r="C294" s="4" t="s">
        <v>123</v>
      </c>
      <c r="D294" s="4">
        <v>2</v>
      </c>
      <c r="E294" s="4">
        <v>1</v>
      </c>
      <c r="F294" s="4" t="s">
        <v>124</v>
      </c>
      <c r="G294" s="4">
        <v>1</v>
      </c>
      <c r="H294" s="4">
        <v>0</v>
      </c>
      <c r="I294" s="4">
        <v>17</v>
      </c>
      <c r="J294" s="4">
        <v>9</v>
      </c>
      <c r="K294" s="4">
        <v>4</v>
      </c>
      <c r="L294" s="4">
        <v>3</v>
      </c>
      <c r="M294" s="4">
        <v>2</v>
      </c>
      <c r="N294" s="4">
        <v>10</v>
      </c>
      <c r="O294" s="4">
        <v>5</v>
      </c>
      <c r="P294" s="4">
        <v>4</v>
      </c>
    </row>
    <row r="295" spans="1:16" ht="27.9" customHeight="1" x14ac:dyDescent="0.3">
      <c r="A295" s="3">
        <v>45748</v>
      </c>
      <c r="B295" s="4" t="s">
        <v>133</v>
      </c>
      <c r="C295" s="4" t="s">
        <v>144</v>
      </c>
      <c r="D295" s="4">
        <v>1</v>
      </c>
      <c r="E295" s="4">
        <v>0</v>
      </c>
      <c r="F295" s="4" t="s">
        <v>124</v>
      </c>
      <c r="G295" s="4">
        <v>1</v>
      </c>
      <c r="H295" s="4">
        <v>0</v>
      </c>
      <c r="I295" s="4">
        <v>9</v>
      </c>
      <c r="J295" s="4">
        <v>10</v>
      </c>
      <c r="K295" s="4">
        <v>2</v>
      </c>
      <c r="L295" s="4">
        <v>1</v>
      </c>
      <c r="M295" s="4">
        <v>16</v>
      </c>
      <c r="N295" s="4">
        <v>12</v>
      </c>
      <c r="O295" s="4">
        <v>1</v>
      </c>
      <c r="P295" s="4">
        <v>2</v>
      </c>
    </row>
    <row r="296" spans="1:16" ht="27.9" customHeight="1" x14ac:dyDescent="0.3">
      <c r="A296" s="3">
        <v>45748</v>
      </c>
      <c r="B296" s="4" t="s">
        <v>141</v>
      </c>
      <c r="C296" s="4" t="s">
        <v>122</v>
      </c>
      <c r="D296" s="4">
        <v>1</v>
      </c>
      <c r="E296" s="4">
        <v>0</v>
      </c>
      <c r="F296" s="4" t="s">
        <v>124</v>
      </c>
      <c r="G296" s="4">
        <v>1</v>
      </c>
      <c r="H296" s="4">
        <v>0</v>
      </c>
      <c r="I296" s="4">
        <v>8</v>
      </c>
      <c r="J296" s="4">
        <v>23</v>
      </c>
      <c r="K296" s="4">
        <v>2</v>
      </c>
      <c r="L296" s="4">
        <v>6</v>
      </c>
      <c r="M296" s="4">
        <v>5</v>
      </c>
      <c r="N296" s="4">
        <v>12</v>
      </c>
      <c r="O296" s="4">
        <v>3</v>
      </c>
      <c r="P296" s="4">
        <v>10</v>
      </c>
    </row>
    <row r="297" spans="1:16" ht="27.9" customHeight="1" x14ac:dyDescent="0.3">
      <c r="A297" s="3">
        <v>45749</v>
      </c>
      <c r="B297" s="4" t="s">
        <v>142</v>
      </c>
      <c r="C297" s="4" t="s">
        <v>128</v>
      </c>
      <c r="D297" s="4">
        <v>1</v>
      </c>
      <c r="E297" s="4">
        <v>2</v>
      </c>
      <c r="F297" s="4" t="s">
        <v>130</v>
      </c>
      <c r="G297" s="4">
        <v>0</v>
      </c>
      <c r="H297" s="4">
        <v>1</v>
      </c>
      <c r="I297" s="4">
        <v>24</v>
      </c>
      <c r="J297" s="4">
        <v>10</v>
      </c>
      <c r="K297" s="4">
        <v>7</v>
      </c>
      <c r="L297" s="4">
        <v>2</v>
      </c>
      <c r="M297" s="4">
        <v>14</v>
      </c>
      <c r="N297" s="4">
        <v>15</v>
      </c>
      <c r="O297" s="4">
        <v>8</v>
      </c>
      <c r="P297" s="4">
        <v>3</v>
      </c>
    </row>
    <row r="298" spans="1:16" ht="27.9" customHeight="1" x14ac:dyDescent="0.3">
      <c r="A298" s="3">
        <v>45749</v>
      </c>
      <c r="B298" s="4" t="s">
        <v>136</v>
      </c>
      <c r="C298" s="4" t="s">
        <v>145</v>
      </c>
      <c r="D298" s="4">
        <v>0</v>
      </c>
      <c r="E298" s="4">
        <v>3</v>
      </c>
      <c r="F298" s="4" t="s">
        <v>130</v>
      </c>
      <c r="G298" s="4">
        <v>0</v>
      </c>
      <c r="H298" s="4">
        <v>0</v>
      </c>
      <c r="I298" s="4">
        <v>11</v>
      </c>
      <c r="J298" s="4">
        <v>8</v>
      </c>
      <c r="K298" s="4">
        <v>4</v>
      </c>
      <c r="L298" s="4">
        <v>5</v>
      </c>
      <c r="M298" s="4">
        <v>16</v>
      </c>
      <c r="N298" s="4">
        <v>11</v>
      </c>
      <c r="O298" s="4">
        <v>4</v>
      </c>
      <c r="P298" s="4">
        <v>0</v>
      </c>
    </row>
    <row r="299" spans="1:16" ht="27.9" customHeight="1" x14ac:dyDescent="0.3">
      <c r="A299" s="3">
        <v>45749</v>
      </c>
      <c r="B299" s="4" t="s">
        <v>152</v>
      </c>
      <c r="C299" s="4" t="s">
        <v>155</v>
      </c>
      <c r="D299" s="4">
        <v>2</v>
      </c>
      <c r="E299" s="4">
        <v>0</v>
      </c>
      <c r="F299" s="4" t="s">
        <v>124</v>
      </c>
      <c r="G299" s="4">
        <v>2</v>
      </c>
      <c r="H299" s="4">
        <v>0</v>
      </c>
      <c r="I299" s="4">
        <v>18</v>
      </c>
      <c r="J299" s="4">
        <v>2</v>
      </c>
      <c r="K299" s="4">
        <v>5</v>
      </c>
      <c r="L299" s="4">
        <v>0</v>
      </c>
      <c r="M299" s="4">
        <v>11</v>
      </c>
      <c r="N299" s="4">
        <v>8</v>
      </c>
      <c r="O299" s="4">
        <v>5</v>
      </c>
      <c r="P299" s="4">
        <v>0</v>
      </c>
    </row>
    <row r="300" spans="1:16" ht="27.9" customHeight="1" x14ac:dyDescent="0.3">
      <c r="A300" s="3">
        <v>45749</v>
      </c>
      <c r="B300" s="4" t="s">
        <v>138</v>
      </c>
      <c r="C300" s="4" t="s">
        <v>148</v>
      </c>
      <c r="D300" s="4">
        <v>2</v>
      </c>
      <c r="E300" s="4">
        <v>1</v>
      </c>
      <c r="F300" s="4" t="s">
        <v>124</v>
      </c>
      <c r="G300" s="4">
        <v>1</v>
      </c>
      <c r="H300" s="4">
        <v>0</v>
      </c>
      <c r="I300" s="4">
        <v>21</v>
      </c>
      <c r="J300" s="4">
        <v>12</v>
      </c>
      <c r="K300" s="4">
        <v>4</v>
      </c>
      <c r="L300" s="4">
        <v>3</v>
      </c>
      <c r="M300" s="4">
        <v>12</v>
      </c>
      <c r="N300" s="4">
        <v>12</v>
      </c>
      <c r="O300" s="4">
        <v>4</v>
      </c>
      <c r="P300" s="4">
        <v>5</v>
      </c>
    </row>
    <row r="301" spans="1:16" ht="27.9" customHeight="1" x14ac:dyDescent="0.3">
      <c r="A301" s="3">
        <v>45749</v>
      </c>
      <c r="B301" s="4" t="s">
        <v>139</v>
      </c>
      <c r="C301" s="4" t="s">
        <v>149</v>
      </c>
      <c r="D301" s="4">
        <v>1</v>
      </c>
      <c r="E301" s="4">
        <v>1</v>
      </c>
      <c r="F301" s="4" t="s">
        <v>125</v>
      </c>
      <c r="G301" s="4">
        <v>1</v>
      </c>
      <c r="H301" s="4">
        <v>0</v>
      </c>
      <c r="I301" s="4">
        <v>8</v>
      </c>
      <c r="J301" s="4">
        <v>9</v>
      </c>
      <c r="K301" s="4">
        <v>2</v>
      </c>
      <c r="L301" s="4">
        <v>3</v>
      </c>
      <c r="M301" s="4">
        <v>14</v>
      </c>
      <c r="N301" s="4">
        <v>9</v>
      </c>
      <c r="O301" s="4">
        <v>2</v>
      </c>
      <c r="P301" s="4">
        <v>2</v>
      </c>
    </row>
    <row r="302" spans="1:16" ht="27.9" customHeight="1" x14ac:dyDescent="0.3">
      <c r="A302" s="3">
        <v>45749</v>
      </c>
      <c r="B302" s="4" t="s">
        <v>129</v>
      </c>
      <c r="C302" s="4" t="s">
        <v>135</v>
      </c>
      <c r="D302" s="4">
        <v>1</v>
      </c>
      <c r="E302" s="4">
        <v>0</v>
      </c>
      <c r="F302" s="4" t="s">
        <v>124</v>
      </c>
      <c r="G302" s="4">
        <v>0</v>
      </c>
      <c r="H302" s="4">
        <v>0</v>
      </c>
      <c r="I302" s="4">
        <v>17</v>
      </c>
      <c r="J302" s="4">
        <v>5</v>
      </c>
      <c r="K302" s="4">
        <v>3</v>
      </c>
      <c r="L302" s="4">
        <v>0</v>
      </c>
      <c r="M302" s="4">
        <v>7</v>
      </c>
      <c r="N302" s="4">
        <v>11</v>
      </c>
      <c r="O302" s="4">
        <v>11</v>
      </c>
      <c r="P302" s="4">
        <v>5</v>
      </c>
    </row>
    <row r="303" spans="1:16" ht="27.9" customHeight="1" x14ac:dyDescent="0.3">
      <c r="A303" s="3">
        <v>45750</v>
      </c>
      <c r="B303" s="4" t="s">
        <v>151</v>
      </c>
      <c r="C303" s="4" t="s">
        <v>156</v>
      </c>
      <c r="D303" s="4">
        <v>1</v>
      </c>
      <c r="E303" s="4">
        <v>0</v>
      </c>
      <c r="F303" s="4" t="s">
        <v>124</v>
      </c>
      <c r="G303" s="4">
        <v>0</v>
      </c>
      <c r="H303" s="4">
        <v>0</v>
      </c>
      <c r="I303" s="4">
        <v>11</v>
      </c>
      <c r="J303" s="4">
        <v>8</v>
      </c>
      <c r="K303" s="4">
        <v>5</v>
      </c>
      <c r="L303" s="4">
        <v>2</v>
      </c>
      <c r="M303" s="4">
        <v>7</v>
      </c>
      <c r="N303" s="4">
        <v>16</v>
      </c>
      <c r="O303" s="4">
        <v>4</v>
      </c>
      <c r="P303" s="4">
        <v>6</v>
      </c>
    </row>
    <row r="304" spans="1:16" ht="27.9" customHeight="1" x14ac:dyDescent="0.3">
      <c r="A304" s="3">
        <v>45752</v>
      </c>
      <c r="B304" s="4" t="s">
        <v>135</v>
      </c>
      <c r="C304" s="4" t="s">
        <v>132</v>
      </c>
      <c r="D304" s="4">
        <v>1</v>
      </c>
      <c r="E304" s="4">
        <v>1</v>
      </c>
      <c r="F304" s="4" t="s">
        <v>125</v>
      </c>
      <c r="G304" s="4">
        <v>0</v>
      </c>
      <c r="H304" s="4">
        <v>1</v>
      </c>
      <c r="I304" s="4">
        <v>5</v>
      </c>
      <c r="J304" s="4">
        <v>14</v>
      </c>
      <c r="K304" s="4">
        <v>2</v>
      </c>
      <c r="L304" s="4">
        <v>5</v>
      </c>
      <c r="M304" s="4">
        <v>17</v>
      </c>
      <c r="N304" s="4">
        <v>13</v>
      </c>
      <c r="O304" s="4">
        <v>3</v>
      </c>
      <c r="P304" s="4">
        <v>8</v>
      </c>
    </row>
    <row r="305" spans="1:16" ht="27.9" customHeight="1" x14ac:dyDescent="0.3">
      <c r="A305" s="3">
        <v>45752</v>
      </c>
      <c r="B305" s="4" t="s">
        <v>149</v>
      </c>
      <c r="C305" s="4" t="s">
        <v>136</v>
      </c>
      <c r="D305" s="4">
        <v>2</v>
      </c>
      <c r="E305" s="4">
        <v>1</v>
      </c>
      <c r="F305" s="4" t="s">
        <v>124</v>
      </c>
      <c r="G305" s="4">
        <v>1</v>
      </c>
      <c r="H305" s="4">
        <v>1</v>
      </c>
      <c r="I305" s="4">
        <v>8</v>
      </c>
      <c r="J305" s="4">
        <v>11</v>
      </c>
      <c r="K305" s="4">
        <v>3</v>
      </c>
      <c r="L305" s="4">
        <v>5</v>
      </c>
      <c r="M305" s="4">
        <v>12</v>
      </c>
      <c r="N305" s="4">
        <v>13</v>
      </c>
      <c r="O305" s="4">
        <v>2</v>
      </c>
      <c r="P305" s="4">
        <v>4</v>
      </c>
    </row>
    <row r="306" spans="1:16" ht="27.9" customHeight="1" x14ac:dyDescent="0.3">
      <c r="A306" s="3">
        <v>45752</v>
      </c>
      <c r="B306" s="4" t="s">
        <v>128</v>
      </c>
      <c r="C306" s="4" t="s">
        <v>133</v>
      </c>
      <c r="D306" s="4">
        <v>1</v>
      </c>
      <c r="E306" s="4">
        <v>2</v>
      </c>
      <c r="F306" s="4" t="s">
        <v>130</v>
      </c>
      <c r="G306" s="4">
        <v>1</v>
      </c>
      <c r="H306" s="4">
        <v>0</v>
      </c>
      <c r="I306" s="4">
        <v>6</v>
      </c>
      <c r="J306" s="4">
        <v>22</v>
      </c>
      <c r="K306" s="4">
        <v>2</v>
      </c>
      <c r="L306" s="4">
        <v>7</v>
      </c>
      <c r="M306" s="4">
        <v>12</v>
      </c>
      <c r="N306" s="4">
        <v>16</v>
      </c>
      <c r="O306" s="4">
        <v>4</v>
      </c>
      <c r="P306" s="4">
        <v>8</v>
      </c>
    </row>
    <row r="307" spans="1:16" ht="27.9" customHeight="1" x14ac:dyDescent="0.3">
      <c r="A307" s="3">
        <v>45752</v>
      </c>
      <c r="B307" s="4" t="s">
        <v>144</v>
      </c>
      <c r="C307" s="4" t="s">
        <v>142</v>
      </c>
      <c r="D307" s="4">
        <v>2</v>
      </c>
      <c r="E307" s="4">
        <v>2</v>
      </c>
      <c r="F307" s="4" t="s">
        <v>125</v>
      </c>
      <c r="G307" s="4">
        <v>0</v>
      </c>
      <c r="H307" s="4">
        <v>1</v>
      </c>
      <c r="I307" s="4">
        <v>9</v>
      </c>
      <c r="J307" s="4">
        <v>11</v>
      </c>
      <c r="K307" s="4">
        <v>3</v>
      </c>
      <c r="L307" s="4">
        <v>4</v>
      </c>
      <c r="M307" s="4">
        <v>13</v>
      </c>
      <c r="N307" s="4">
        <v>13</v>
      </c>
      <c r="O307" s="4">
        <v>4</v>
      </c>
      <c r="P307" s="4">
        <v>7</v>
      </c>
    </row>
    <row r="308" spans="1:16" ht="27.9" customHeight="1" x14ac:dyDescent="0.3">
      <c r="A308" s="3">
        <v>45752</v>
      </c>
      <c r="B308" s="4" t="s">
        <v>145</v>
      </c>
      <c r="C308" s="4" t="s">
        <v>141</v>
      </c>
      <c r="D308" s="4">
        <v>2</v>
      </c>
      <c r="E308" s="4">
        <v>1</v>
      </c>
      <c r="F308" s="4" t="s">
        <v>124</v>
      </c>
      <c r="G308" s="4">
        <v>2</v>
      </c>
      <c r="H308" s="4">
        <v>0</v>
      </c>
      <c r="I308" s="4">
        <v>17</v>
      </c>
      <c r="J308" s="4">
        <v>19</v>
      </c>
      <c r="K308" s="4">
        <v>8</v>
      </c>
      <c r="L308" s="4">
        <v>3</v>
      </c>
      <c r="M308" s="4">
        <v>7</v>
      </c>
      <c r="N308" s="4">
        <v>15</v>
      </c>
      <c r="O308" s="4">
        <v>4</v>
      </c>
      <c r="P308" s="4">
        <v>4</v>
      </c>
    </row>
    <row r="309" spans="1:16" ht="27.9" customHeight="1" x14ac:dyDescent="0.3">
      <c r="A309" s="3">
        <v>45753</v>
      </c>
      <c r="B309" s="4" t="s">
        <v>148</v>
      </c>
      <c r="C309" s="4" t="s">
        <v>151</v>
      </c>
      <c r="D309" s="4">
        <v>0</v>
      </c>
      <c r="E309" s="4">
        <v>0</v>
      </c>
      <c r="F309" s="4" t="s">
        <v>125</v>
      </c>
      <c r="G309" s="4">
        <v>0</v>
      </c>
      <c r="H309" s="4">
        <v>0</v>
      </c>
      <c r="I309" s="4">
        <v>9</v>
      </c>
      <c r="J309" s="4">
        <v>21</v>
      </c>
      <c r="K309" s="4">
        <v>2</v>
      </c>
      <c r="L309" s="4">
        <v>5</v>
      </c>
      <c r="M309" s="4">
        <v>12</v>
      </c>
      <c r="N309" s="4">
        <v>12</v>
      </c>
      <c r="O309" s="4">
        <v>3</v>
      </c>
      <c r="P309" s="4">
        <v>6</v>
      </c>
    </row>
    <row r="310" spans="1:16" ht="27.9" customHeight="1" x14ac:dyDescent="0.3">
      <c r="A310" s="3">
        <v>45753</v>
      </c>
      <c r="B310" s="4" t="s">
        <v>123</v>
      </c>
      <c r="C310" s="4" t="s">
        <v>129</v>
      </c>
      <c r="D310" s="4">
        <v>3</v>
      </c>
      <c r="E310" s="4">
        <v>2</v>
      </c>
      <c r="F310" s="4" t="s">
        <v>124</v>
      </c>
      <c r="G310" s="4">
        <v>3</v>
      </c>
      <c r="H310" s="4">
        <v>1</v>
      </c>
      <c r="I310" s="4">
        <v>12</v>
      </c>
      <c r="J310" s="4">
        <v>14</v>
      </c>
      <c r="K310" s="4">
        <v>6</v>
      </c>
      <c r="L310" s="4">
        <v>6</v>
      </c>
      <c r="M310" s="4">
        <v>10</v>
      </c>
      <c r="N310" s="4">
        <v>9</v>
      </c>
      <c r="O310" s="4">
        <v>4</v>
      </c>
      <c r="P310" s="4">
        <v>4</v>
      </c>
    </row>
    <row r="311" spans="1:16" ht="27.9" customHeight="1" x14ac:dyDescent="0.3">
      <c r="A311" s="3">
        <v>45753</v>
      </c>
      <c r="B311" s="4" t="s">
        <v>156</v>
      </c>
      <c r="C311" s="4" t="s">
        <v>139</v>
      </c>
      <c r="D311" s="4">
        <v>3</v>
      </c>
      <c r="E311" s="4">
        <v>1</v>
      </c>
      <c r="F311" s="4" t="s">
        <v>124</v>
      </c>
      <c r="G311" s="4">
        <v>2</v>
      </c>
      <c r="H311" s="4">
        <v>0</v>
      </c>
      <c r="I311" s="4">
        <v>13</v>
      </c>
      <c r="J311" s="4">
        <v>12</v>
      </c>
      <c r="K311" s="4">
        <v>8</v>
      </c>
      <c r="L311" s="4">
        <v>4</v>
      </c>
      <c r="M311" s="4">
        <v>16</v>
      </c>
      <c r="N311" s="4">
        <v>20</v>
      </c>
      <c r="O311" s="4">
        <v>4</v>
      </c>
      <c r="P311" s="4">
        <v>1</v>
      </c>
    </row>
    <row r="312" spans="1:16" ht="27.9" customHeight="1" x14ac:dyDescent="0.3">
      <c r="A312" s="3">
        <v>45753</v>
      </c>
      <c r="B312" s="4" t="s">
        <v>122</v>
      </c>
      <c r="C312" s="4" t="s">
        <v>152</v>
      </c>
      <c r="D312" s="4">
        <v>0</v>
      </c>
      <c r="E312" s="4">
        <v>0</v>
      </c>
      <c r="F312" s="4" t="s">
        <v>125</v>
      </c>
      <c r="G312" s="4">
        <v>0</v>
      </c>
      <c r="H312" s="4">
        <v>0</v>
      </c>
      <c r="I312" s="4">
        <v>13</v>
      </c>
      <c r="J312" s="4">
        <v>9</v>
      </c>
      <c r="K312" s="4">
        <v>2</v>
      </c>
      <c r="L312" s="4">
        <v>5</v>
      </c>
      <c r="M312" s="4">
        <v>13</v>
      </c>
      <c r="N312" s="4">
        <v>9</v>
      </c>
      <c r="O312" s="4">
        <v>5</v>
      </c>
      <c r="P312" s="4">
        <v>3</v>
      </c>
    </row>
    <row r="313" spans="1:16" ht="27.9" customHeight="1" x14ac:dyDescent="0.3">
      <c r="A313" s="3">
        <v>45754</v>
      </c>
      <c r="B313" s="4" t="s">
        <v>155</v>
      </c>
      <c r="C313" s="4" t="s">
        <v>138</v>
      </c>
      <c r="D313" s="4">
        <v>0</v>
      </c>
      <c r="E313" s="4">
        <v>3</v>
      </c>
      <c r="F313" s="4" t="s">
        <v>130</v>
      </c>
      <c r="G313" s="4">
        <v>0</v>
      </c>
      <c r="H313" s="4">
        <v>3</v>
      </c>
      <c r="I313" s="4">
        <v>7</v>
      </c>
      <c r="J313" s="4">
        <v>16</v>
      </c>
      <c r="K313" s="4">
        <v>2</v>
      </c>
      <c r="L313" s="4">
        <v>5</v>
      </c>
      <c r="M313" s="4">
        <v>8</v>
      </c>
      <c r="N313" s="4">
        <v>9</v>
      </c>
      <c r="O313" s="4">
        <v>12</v>
      </c>
      <c r="P313" s="4">
        <v>2</v>
      </c>
    </row>
    <row r="314" spans="1:16" ht="27.9" customHeight="1" x14ac:dyDescent="0.3">
      <c r="A314" s="3">
        <v>45759</v>
      </c>
      <c r="B314" s="4" t="s">
        <v>152</v>
      </c>
      <c r="C314" s="4" t="s">
        <v>149</v>
      </c>
      <c r="D314" s="4">
        <v>5</v>
      </c>
      <c r="E314" s="4">
        <v>2</v>
      </c>
      <c r="F314" s="4" t="s">
        <v>124</v>
      </c>
      <c r="G314" s="4">
        <v>2</v>
      </c>
      <c r="H314" s="4">
        <v>2</v>
      </c>
      <c r="I314" s="4">
        <v>21</v>
      </c>
      <c r="J314" s="4">
        <v>8</v>
      </c>
      <c r="K314" s="4">
        <v>9</v>
      </c>
      <c r="L314" s="4">
        <v>3</v>
      </c>
      <c r="M314" s="4">
        <v>10</v>
      </c>
      <c r="N314" s="4">
        <v>16</v>
      </c>
      <c r="O314" s="4">
        <v>1</v>
      </c>
      <c r="P314" s="4">
        <v>4</v>
      </c>
    </row>
    <row r="315" spans="1:16" ht="27.9" customHeight="1" x14ac:dyDescent="0.3">
      <c r="A315" s="3">
        <v>45759</v>
      </c>
      <c r="B315" s="4" t="s">
        <v>136</v>
      </c>
      <c r="C315" s="4" t="s">
        <v>155</v>
      </c>
      <c r="D315" s="4">
        <v>2</v>
      </c>
      <c r="E315" s="4">
        <v>2</v>
      </c>
      <c r="F315" s="4" t="s">
        <v>125</v>
      </c>
      <c r="G315" s="4">
        <v>1</v>
      </c>
      <c r="H315" s="4">
        <v>1</v>
      </c>
      <c r="I315" s="4">
        <v>21</v>
      </c>
      <c r="J315" s="4">
        <v>15</v>
      </c>
      <c r="K315" s="4">
        <v>7</v>
      </c>
      <c r="L315" s="4">
        <v>6</v>
      </c>
      <c r="M315" s="4">
        <v>9</v>
      </c>
      <c r="N315" s="4">
        <v>11</v>
      </c>
      <c r="O315" s="4">
        <v>3</v>
      </c>
      <c r="P315" s="4">
        <v>6</v>
      </c>
    </row>
    <row r="316" spans="1:16" ht="27.9" customHeight="1" x14ac:dyDescent="0.3">
      <c r="A316" s="3">
        <v>45759</v>
      </c>
      <c r="B316" s="4" t="s">
        <v>141</v>
      </c>
      <c r="C316" s="4" t="s">
        <v>135</v>
      </c>
      <c r="D316" s="4">
        <v>0</v>
      </c>
      <c r="E316" s="4">
        <v>1</v>
      </c>
      <c r="F316" s="4" t="s">
        <v>130</v>
      </c>
      <c r="G316" s="4">
        <v>0</v>
      </c>
      <c r="H316" s="4">
        <v>0</v>
      </c>
      <c r="I316" s="4">
        <v>10</v>
      </c>
      <c r="J316" s="4">
        <v>13</v>
      </c>
      <c r="K316" s="4">
        <v>5</v>
      </c>
      <c r="L316" s="4">
        <v>5</v>
      </c>
      <c r="M316" s="4">
        <v>9</v>
      </c>
      <c r="N316" s="4">
        <v>13</v>
      </c>
      <c r="O316" s="4">
        <v>1</v>
      </c>
      <c r="P316" s="4">
        <v>7</v>
      </c>
    </row>
    <row r="317" spans="1:16" ht="27.9" customHeight="1" x14ac:dyDescent="0.3">
      <c r="A317" s="3">
        <v>45759</v>
      </c>
      <c r="B317" s="4" t="s">
        <v>139</v>
      </c>
      <c r="C317" s="4" t="s">
        <v>145</v>
      </c>
      <c r="D317" s="4">
        <v>0</v>
      </c>
      <c r="E317" s="4">
        <v>3</v>
      </c>
      <c r="F317" s="4" t="s">
        <v>130</v>
      </c>
      <c r="G317" s="4">
        <v>0</v>
      </c>
      <c r="H317" s="4">
        <v>0</v>
      </c>
      <c r="I317" s="4">
        <v>7</v>
      </c>
      <c r="J317" s="4">
        <v>25</v>
      </c>
      <c r="K317" s="4">
        <v>2</v>
      </c>
      <c r="L317" s="4">
        <v>10</v>
      </c>
      <c r="M317" s="4">
        <v>11</v>
      </c>
      <c r="N317" s="4">
        <v>4</v>
      </c>
      <c r="O317" s="4">
        <v>2</v>
      </c>
      <c r="P317" s="4">
        <v>14</v>
      </c>
    </row>
    <row r="318" spans="1:16" ht="27.9" customHeight="1" x14ac:dyDescent="0.3">
      <c r="A318" s="3">
        <v>45759</v>
      </c>
      <c r="B318" s="4" t="s">
        <v>132</v>
      </c>
      <c r="C318" s="4" t="s">
        <v>148</v>
      </c>
      <c r="D318" s="4">
        <v>1</v>
      </c>
      <c r="E318" s="4">
        <v>1</v>
      </c>
      <c r="F318" s="4" t="s">
        <v>125</v>
      </c>
      <c r="G318" s="4">
        <v>0</v>
      </c>
      <c r="H318" s="4">
        <v>0</v>
      </c>
      <c r="I318" s="4">
        <v>14</v>
      </c>
      <c r="J318" s="4">
        <v>3</v>
      </c>
      <c r="K318" s="4">
        <v>3</v>
      </c>
      <c r="L318" s="4">
        <v>2</v>
      </c>
      <c r="M318" s="4">
        <v>7</v>
      </c>
      <c r="N318" s="4">
        <v>9</v>
      </c>
      <c r="O318" s="4">
        <v>13</v>
      </c>
      <c r="P318" s="4">
        <v>5</v>
      </c>
    </row>
    <row r="319" spans="1:16" ht="27.9" customHeight="1" x14ac:dyDescent="0.3">
      <c r="A319" s="3">
        <v>45760</v>
      </c>
      <c r="B319" s="4" t="s">
        <v>151</v>
      </c>
      <c r="C319" s="4" t="s">
        <v>128</v>
      </c>
      <c r="D319" s="4">
        <v>2</v>
      </c>
      <c r="E319" s="4">
        <v>2</v>
      </c>
      <c r="F319" s="4" t="s">
        <v>125</v>
      </c>
      <c r="G319" s="4">
        <v>0</v>
      </c>
      <c r="H319" s="4">
        <v>2</v>
      </c>
      <c r="I319" s="4">
        <v>34</v>
      </c>
      <c r="J319" s="4">
        <v>13</v>
      </c>
      <c r="K319" s="4">
        <v>9</v>
      </c>
      <c r="L319" s="4">
        <v>4</v>
      </c>
      <c r="M319" s="4">
        <v>11</v>
      </c>
      <c r="N319" s="4">
        <v>7</v>
      </c>
      <c r="O319" s="4">
        <v>15</v>
      </c>
      <c r="P319" s="4">
        <v>4</v>
      </c>
    </row>
    <row r="320" spans="1:16" ht="27.9" customHeight="1" x14ac:dyDescent="0.3">
      <c r="A320" s="3">
        <v>45760</v>
      </c>
      <c r="B320" s="4" t="s">
        <v>129</v>
      </c>
      <c r="C320" s="4" t="s">
        <v>144</v>
      </c>
      <c r="D320" s="4">
        <v>2</v>
      </c>
      <c r="E320" s="4">
        <v>1</v>
      </c>
      <c r="F320" s="4" t="s">
        <v>124</v>
      </c>
      <c r="G320" s="4">
        <v>1</v>
      </c>
      <c r="H320" s="4">
        <v>0</v>
      </c>
      <c r="I320" s="4">
        <v>15</v>
      </c>
      <c r="J320" s="4">
        <v>11</v>
      </c>
      <c r="K320" s="4">
        <v>6</v>
      </c>
      <c r="L320" s="4">
        <v>4</v>
      </c>
      <c r="M320" s="4">
        <v>15</v>
      </c>
      <c r="N320" s="4">
        <v>8</v>
      </c>
      <c r="O320" s="4">
        <v>10</v>
      </c>
      <c r="P320" s="4">
        <v>3</v>
      </c>
    </row>
    <row r="321" spans="1:16" ht="27.9" customHeight="1" x14ac:dyDescent="0.3">
      <c r="A321" s="3">
        <v>45760</v>
      </c>
      <c r="B321" s="4" t="s">
        <v>133</v>
      </c>
      <c r="C321" s="4" t="s">
        <v>156</v>
      </c>
      <c r="D321" s="4">
        <v>4</v>
      </c>
      <c r="E321" s="4">
        <v>2</v>
      </c>
      <c r="F321" s="4" t="s">
        <v>124</v>
      </c>
      <c r="G321" s="4">
        <v>2</v>
      </c>
      <c r="H321" s="4">
        <v>0</v>
      </c>
      <c r="I321" s="4">
        <v>13</v>
      </c>
      <c r="J321" s="4">
        <v>11</v>
      </c>
      <c r="K321" s="4">
        <v>5</v>
      </c>
      <c r="L321" s="4">
        <v>4</v>
      </c>
      <c r="M321" s="4">
        <v>12</v>
      </c>
      <c r="N321" s="4">
        <v>15</v>
      </c>
      <c r="O321" s="4">
        <v>1</v>
      </c>
      <c r="P321" s="4">
        <v>4</v>
      </c>
    </row>
    <row r="322" spans="1:16" ht="27.9" customHeight="1" x14ac:dyDescent="0.3">
      <c r="A322" s="3">
        <v>45760</v>
      </c>
      <c r="B322" s="4" t="s">
        <v>138</v>
      </c>
      <c r="C322" s="4" t="s">
        <v>122</v>
      </c>
      <c r="D322" s="4">
        <v>4</v>
      </c>
      <c r="E322" s="4">
        <v>1</v>
      </c>
      <c r="F322" s="4" t="s">
        <v>124</v>
      </c>
      <c r="G322" s="4">
        <v>1</v>
      </c>
      <c r="H322" s="4">
        <v>1</v>
      </c>
      <c r="I322" s="4">
        <v>13</v>
      </c>
      <c r="J322" s="4">
        <v>9</v>
      </c>
      <c r="K322" s="4">
        <v>6</v>
      </c>
      <c r="L322" s="4">
        <v>5</v>
      </c>
      <c r="M322" s="4">
        <v>7</v>
      </c>
      <c r="N322" s="4">
        <v>9</v>
      </c>
      <c r="O322" s="4">
        <v>7</v>
      </c>
      <c r="P322" s="4">
        <v>2</v>
      </c>
    </row>
    <row r="323" spans="1:16" ht="27.9" customHeight="1" x14ac:dyDescent="0.3">
      <c r="A323" s="3">
        <v>45761</v>
      </c>
      <c r="B323" s="4" t="s">
        <v>142</v>
      </c>
      <c r="C323" s="4" t="s">
        <v>123</v>
      </c>
      <c r="D323" s="4">
        <v>1</v>
      </c>
      <c r="E323" s="4">
        <v>0</v>
      </c>
      <c r="F323" s="4" t="s">
        <v>124</v>
      </c>
      <c r="G323" s="4">
        <v>1</v>
      </c>
      <c r="H323" s="4">
        <v>0</v>
      </c>
      <c r="I323" s="4">
        <v>12</v>
      </c>
      <c r="J323" s="4">
        <v>12</v>
      </c>
      <c r="K323" s="4">
        <v>3</v>
      </c>
      <c r="L323" s="4">
        <v>7</v>
      </c>
      <c r="M323" s="4">
        <v>11</v>
      </c>
      <c r="N323" s="4">
        <v>10</v>
      </c>
      <c r="O323" s="4">
        <v>6</v>
      </c>
      <c r="P323" s="4">
        <v>9</v>
      </c>
    </row>
    <row r="324" spans="1:16" ht="27.9" customHeight="1" x14ac:dyDescent="0.3">
      <c r="A324" s="3">
        <v>45763</v>
      </c>
      <c r="B324" s="4" t="s">
        <v>138</v>
      </c>
      <c r="C324" s="4" t="s">
        <v>149</v>
      </c>
      <c r="D324" s="4">
        <v>5</v>
      </c>
      <c r="E324" s="4">
        <v>0</v>
      </c>
      <c r="F324" s="4" t="s">
        <v>124</v>
      </c>
      <c r="G324" s="4">
        <v>4</v>
      </c>
      <c r="H324" s="4">
        <v>0</v>
      </c>
      <c r="I324" s="4">
        <v>14</v>
      </c>
      <c r="J324" s="4">
        <v>11</v>
      </c>
      <c r="K324" s="4">
        <v>7</v>
      </c>
      <c r="L324" s="4">
        <v>4</v>
      </c>
      <c r="M324" s="4">
        <v>9</v>
      </c>
      <c r="N324" s="4">
        <v>15</v>
      </c>
      <c r="O324" s="4">
        <v>5</v>
      </c>
      <c r="P324" s="4">
        <v>4</v>
      </c>
    </row>
    <row r="325" spans="1:16" ht="27.9" customHeight="1" x14ac:dyDescent="0.3">
      <c r="A325" s="3">
        <v>45766</v>
      </c>
      <c r="B325" s="4" t="s">
        <v>148</v>
      </c>
      <c r="C325" s="4" t="s">
        <v>136</v>
      </c>
      <c r="D325" s="4">
        <v>4</v>
      </c>
      <c r="E325" s="4">
        <v>2</v>
      </c>
      <c r="F325" s="4" t="s">
        <v>124</v>
      </c>
      <c r="G325" s="4">
        <v>1</v>
      </c>
      <c r="H325" s="4">
        <v>1</v>
      </c>
      <c r="I325" s="4">
        <v>16</v>
      </c>
      <c r="J325" s="4">
        <v>12</v>
      </c>
      <c r="K325" s="4">
        <v>8</v>
      </c>
      <c r="L325" s="4">
        <v>3</v>
      </c>
      <c r="M325" s="4">
        <v>7</v>
      </c>
      <c r="N325" s="4">
        <v>11</v>
      </c>
      <c r="O325" s="4">
        <v>4</v>
      </c>
      <c r="P325" s="4">
        <v>8</v>
      </c>
    </row>
    <row r="326" spans="1:16" ht="27.9" customHeight="1" x14ac:dyDescent="0.3">
      <c r="A326" s="3">
        <v>45766</v>
      </c>
      <c r="B326" s="4" t="s">
        <v>149</v>
      </c>
      <c r="C326" s="4" t="s">
        <v>142</v>
      </c>
      <c r="D326" s="4">
        <v>0</v>
      </c>
      <c r="E326" s="4">
        <v>0</v>
      </c>
      <c r="F326" s="4" t="s">
        <v>125</v>
      </c>
      <c r="G326" s="4">
        <v>0</v>
      </c>
      <c r="H326" s="4">
        <v>0</v>
      </c>
      <c r="I326" s="4">
        <v>5</v>
      </c>
      <c r="J326" s="4">
        <v>15</v>
      </c>
      <c r="K326" s="4">
        <v>0</v>
      </c>
      <c r="L326" s="4">
        <v>4</v>
      </c>
      <c r="M326" s="4">
        <v>13</v>
      </c>
      <c r="N326" s="4">
        <v>10</v>
      </c>
      <c r="O326" s="4">
        <v>5</v>
      </c>
      <c r="P326" s="4">
        <v>4</v>
      </c>
    </row>
    <row r="327" spans="1:16" ht="27.9" customHeight="1" x14ac:dyDescent="0.3">
      <c r="A327" s="3">
        <v>45766</v>
      </c>
      <c r="B327" s="4" t="s">
        <v>135</v>
      </c>
      <c r="C327" s="4" t="s">
        <v>152</v>
      </c>
      <c r="D327" s="4">
        <v>0</v>
      </c>
      <c r="E327" s="4">
        <v>2</v>
      </c>
      <c r="F327" s="4" t="s">
        <v>130</v>
      </c>
      <c r="G327" s="4">
        <v>0</v>
      </c>
      <c r="H327" s="4">
        <v>0</v>
      </c>
      <c r="I327" s="4">
        <v>8</v>
      </c>
      <c r="J327" s="4">
        <v>12</v>
      </c>
      <c r="K327" s="4">
        <v>3</v>
      </c>
      <c r="L327" s="4">
        <v>7</v>
      </c>
      <c r="M327" s="4">
        <v>7</v>
      </c>
      <c r="N327" s="4">
        <v>6</v>
      </c>
      <c r="O327" s="4">
        <v>2</v>
      </c>
      <c r="P327" s="4">
        <v>5</v>
      </c>
    </row>
    <row r="328" spans="1:16" ht="27.9" customHeight="1" x14ac:dyDescent="0.3">
      <c r="A328" s="3">
        <v>45766</v>
      </c>
      <c r="B328" s="4" t="s">
        <v>144</v>
      </c>
      <c r="C328" s="4" t="s">
        <v>139</v>
      </c>
      <c r="D328" s="4">
        <v>1</v>
      </c>
      <c r="E328" s="4">
        <v>1</v>
      </c>
      <c r="F328" s="4" t="s">
        <v>125</v>
      </c>
      <c r="G328" s="4">
        <v>0</v>
      </c>
      <c r="H328" s="4">
        <v>0</v>
      </c>
      <c r="I328" s="4">
        <v>12</v>
      </c>
      <c r="J328" s="4">
        <v>15</v>
      </c>
      <c r="K328" s="4">
        <v>4</v>
      </c>
      <c r="L328" s="4">
        <v>4</v>
      </c>
      <c r="M328" s="4">
        <v>14</v>
      </c>
      <c r="N328" s="4">
        <v>13</v>
      </c>
      <c r="O328" s="4">
        <v>2</v>
      </c>
      <c r="P328" s="4">
        <v>5</v>
      </c>
    </row>
    <row r="329" spans="1:16" ht="27.9" customHeight="1" x14ac:dyDescent="0.3">
      <c r="A329" s="3">
        <v>45766</v>
      </c>
      <c r="B329" s="4" t="s">
        <v>145</v>
      </c>
      <c r="C329" s="4" t="s">
        <v>138</v>
      </c>
      <c r="D329" s="4">
        <v>4</v>
      </c>
      <c r="E329" s="4">
        <v>1</v>
      </c>
      <c r="F329" s="4" t="s">
        <v>124</v>
      </c>
      <c r="G329" s="4">
        <v>1</v>
      </c>
      <c r="H329" s="4">
        <v>1</v>
      </c>
      <c r="I329" s="4">
        <v>23</v>
      </c>
      <c r="J329" s="4">
        <v>10</v>
      </c>
      <c r="K329" s="4">
        <v>9</v>
      </c>
      <c r="L329" s="4">
        <v>3</v>
      </c>
      <c r="M329" s="4">
        <v>9</v>
      </c>
      <c r="N329" s="4">
        <v>12</v>
      </c>
      <c r="O329" s="4">
        <v>7</v>
      </c>
      <c r="P329" s="4">
        <v>7</v>
      </c>
    </row>
    <row r="330" spans="1:16" ht="27.9" customHeight="1" x14ac:dyDescent="0.3">
      <c r="A330" s="3">
        <v>45767</v>
      </c>
      <c r="B330" s="4" t="s">
        <v>123</v>
      </c>
      <c r="C330" s="4" t="s">
        <v>151</v>
      </c>
      <c r="D330" s="4">
        <v>1</v>
      </c>
      <c r="E330" s="4">
        <v>2</v>
      </c>
      <c r="F330" s="4" t="s">
        <v>130</v>
      </c>
      <c r="G330" s="4">
        <v>1</v>
      </c>
      <c r="H330" s="4">
        <v>0</v>
      </c>
      <c r="I330" s="4">
        <v>6</v>
      </c>
      <c r="J330" s="4">
        <v>13</v>
      </c>
      <c r="K330" s="4">
        <v>1</v>
      </c>
      <c r="L330" s="4">
        <v>8</v>
      </c>
      <c r="M330" s="4">
        <v>13</v>
      </c>
      <c r="N330" s="4">
        <v>9</v>
      </c>
      <c r="O330" s="4">
        <v>6</v>
      </c>
      <c r="P330" s="4">
        <v>4</v>
      </c>
    </row>
    <row r="331" spans="1:16" ht="27.9" customHeight="1" x14ac:dyDescent="0.3">
      <c r="A331" s="3">
        <v>45767</v>
      </c>
      <c r="B331" s="4" t="s">
        <v>128</v>
      </c>
      <c r="C331" s="4" t="s">
        <v>132</v>
      </c>
      <c r="D331" s="4">
        <v>0</v>
      </c>
      <c r="E331" s="4">
        <v>4</v>
      </c>
      <c r="F331" s="4" t="s">
        <v>130</v>
      </c>
      <c r="G331" s="4">
        <v>0</v>
      </c>
      <c r="H331" s="4">
        <v>2</v>
      </c>
      <c r="I331" s="4">
        <v>4</v>
      </c>
      <c r="J331" s="4">
        <v>24</v>
      </c>
      <c r="K331" s="4">
        <v>0</v>
      </c>
      <c r="L331" s="4">
        <v>7</v>
      </c>
      <c r="M331" s="4">
        <v>10</v>
      </c>
      <c r="N331" s="4">
        <v>7</v>
      </c>
      <c r="O331" s="4">
        <v>0</v>
      </c>
      <c r="P331" s="4">
        <v>12</v>
      </c>
    </row>
    <row r="332" spans="1:16" ht="27.9" customHeight="1" x14ac:dyDescent="0.3">
      <c r="A332" s="3">
        <v>45767</v>
      </c>
      <c r="B332" s="4" t="s">
        <v>122</v>
      </c>
      <c r="C332" s="4" t="s">
        <v>133</v>
      </c>
      <c r="D332" s="4">
        <v>0</v>
      </c>
      <c r="E332" s="4">
        <v>1</v>
      </c>
      <c r="F332" s="4" t="s">
        <v>130</v>
      </c>
      <c r="G332" s="4">
        <v>0</v>
      </c>
      <c r="H332" s="4">
        <v>0</v>
      </c>
      <c r="I332" s="4">
        <v>12</v>
      </c>
      <c r="J332" s="4">
        <v>4</v>
      </c>
      <c r="K332" s="4">
        <v>2</v>
      </c>
      <c r="L332" s="4">
        <v>2</v>
      </c>
      <c r="M332" s="4">
        <v>11</v>
      </c>
      <c r="N332" s="4">
        <v>18</v>
      </c>
      <c r="O332" s="4">
        <v>9</v>
      </c>
      <c r="P332" s="4">
        <v>2</v>
      </c>
    </row>
    <row r="333" spans="1:16" ht="27.9" customHeight="1" x14ac:dyDescent="0.3">
      <c r="A333" s="3">
        <v>45767</v>
      </c>
      <c r="B333" s="4" t="s">
        <v>155</v>
      </c>
      <c r="C333" s="4" t="s">
        <v>129</v>
      </c>
      <c r="D333" s="4">
        <v>0</v>
      </c>
      <c r="E333" s="4">
        <v>1</v>
      </c>
      <c r="F333" s="4" t="s">
        <v>130</v>
      </c>
      <c r="G333" s="4">
        <v>0</v>
      </c>
      <c r="H333" s="4">
        <v>0</v>
      </c>
      <c r="I333" s="4">
        <v>5</v>
      </c>
      <c r="J333" s="4">
        <v>28</v>
      </c>
      <c r="K333" s="4">
        <v>0</v>
      </c>
      <c r="L333" s="4">
        <v>10</v>
      </c>
      <c r="M333" s="4">
        <v>11</v>
      </c>
      <c r="N333" s="4">
        <v>7</v>
      </c>
      <c r="O333" s="4">
        <v>1</v>
      </c>
      <c r="P333" s="4">
        <v>13</v>
      </c>
    </row>
    <row r="334" spans="1:16" ht="27.9" customHeight="1" x14ac:dyDescent="0.3">
      <c r="A334" s="3">
        <v>45768</v>
      </c>
      <c r="B334" s="4" t="s">
        <v>156</v>
      </c>
      <c r="C334" s="4" t="s">
        <v>141</v>
      </c>
      <c r="D334" s="4">
        <v>1</v>
      </c>
      <c r="E334" s="4">
        <v>2</v>
      </c>
      <c r="F334" s="4" t="s">
        <v>130</v>
      </c>
      <c r="G334" s="4">
        <v>0</v>
      </c>
      <c r="H334" s="4">
        <v>2</v>
      </c>
      <c r="I334" s="4">
        <v>22</v>
      </c>
      <c r="J334" s="4">
        <v>4</v>
      </c>
      <c r="K334" s="4">
        <v>6</v>
      </c>
      <c r="L334" s="4">
        <v>3</v>
      </c>
      <c r="M334" s="4">
        <v>11</v>
      </c>
      <c r="N334" s="4">
        <v>12</v>
      </c>
      <c r="O334" s="4">
        <v>7</v>
      </c>
      <c r="P334" s="4">
        <v>1</v>
      </c>
    </row>
    <row r="335" spans="1:16" ht="27.9" customHeight="1" x14ac:dyDescent="0.3">
      <c r="A335" s="3">
        <v>45769</v>
      </c>
      <c r="B335" s="4" t="s">
        <v>152</v>
      </c>
      <c r="C335" s="4" t="s">
        <v>145</v>
      </c>
      <c r="D335" s="4">
        <v>2</v>
      </c>
      <c r="E335" s="4">
        <v>1</v>
      </c>
      <c r="F335" s="4" t="s">
        <v>124</v>
      </c>
      <c r="G335" s="4">
        <v>1</v>
      </c>
      <c r="H335" s="4">
        <v>1</v>
      </c>
      <c r="I335" s="4">
        <v>14</v>
      </c>
      <c r="J335" s="4">
        <v>7</v>
      </c>
      <c r="K335" s="4">
        <v>6</v>
      </c>
      <c r="L335" s="4">
        <v>3</v>
      </c>
      <c r="M335" s="4">
        <v>9</v>
      </c>
      <c r="N335" s="4">
        <v>10</v>
      </c>
      <c r="O335" s="4">
        <v>10</v>
      </c>
      <c r="P335" s="4">
        <v>2</v>
      </c>
    </row>
    <row r="336" spans="1:16" ht="27.9" customHeight="1" x14ac:dyDescent="0.3">
      <c r="A336" s="3">
        <v>45770</v>
      </c>
      <c r="B336" s="4" t="s">
        <v>132</v>
      </c>
      <c r="C336" s="4" t="s">
        <v>149</v>
      </c>
      <c r="D336" s="4">
        <v>2</v>
      </c>
      <c r="E336" s="4">
        <v>2</v>
      </c>
      <c r="F336" s="4" t="s">
        <v>125</v>
      </c>
      <c r="G336" s="4">
        <v>2</v>
      </c>
      <c r="H336" s="4">
        <v>1</v>
      </c>
      <c r="I336" s="4">
        <v>12</v>
      </c>
      <c r="J336" s="4">
        <v>15</v>
      </c>
      <c r="K336" s="4">
        <v>6</v>
      </c>
      <c r="L336" s="4">
        <v>4</v>
      </c>
      <c r="M336" s="4">
        <v>4</v>
      </c>
      <c r="N336" s="4">
        <v>6</v>
      </c>
      <c r="O336" s="4">
        <v>3</v>
      </c>
      <c r="P336" s="4">
        <v>6</v>
      </c>
    </row>
    <row r="337" spans="1:16" ht="27.9" customHeight="1" x14ac:dyDescent="0.3">
      <c r="A337" s="3">
        <v>45773</v>
      </c>
      <c r="B337" s="4" t="s">
        <v>151</v>
      </c>
      <c r="C337" s="4" t="s">
        <v>135</v>
      </c>
      <c r="D337" s="4">
        <v>1</v>
      </c>
      <c r="E337" s="4">
        <v>0</v>
      </c>
      <c r="F337" s="4" t="s">
        <v>124</v>
      </c>
      <c r="G337" s="4">
        <v>1</v>
      </c>
      <c r="H337" s="4">
        <v>0</v>
      </c>
      <c r="I337" s="4">
        <v>10</v>
      </c>
      <c r="J337" s="4">
        <v>6</v>
      </c>
      <c r="K337" s="4">
        <v>7</v>
      </c>
      <c r="L337" s="4">
        <v>3</v>
      </c>
      <c r="M337" s="4">
        <v>11</v>
      </c>
      <c r="N337" s="4">
        <v>11</v>
      </c>
      <c r="O337" s="4">
        <v>10</v>
      </c>
      <c r="P337" s="4">
        <v>2</v>
      </c>
    </row>
    <row r="338" spans="1:16" ht="27.9" customHeight="1" x14ac:dyDescent="0.3">
      <c r="A338" s="3">
        <v>45773</v>
      </c>
      <c r="B338" s="4" t="s">
        <v>136</v>
      </c>
      <c r="C338" s="4" t="s">
        <v>144</v>
      </c>
      <c r="D338" s="4">
        <v>3</v>
      </c>
      <c r="E338" s="4">
        <v>2</v>
      </c>
      <c r="F338" s="4" t="s">
        <v>124</v>
      </c>
      <c r="G338" s="4">
        <v>1</v>
      </c>
      <c r="H338" s="4">
        <v>0</v>
      </c>
      <c r="I338" s="4">
        <v>16</v>
      </c>
      <c r="J338" s="4">
        <v>12</v>
      </c>
      <c r="K338" s="4">
        <v>9</v>
      </c>
      <c r="L338" s="4">
        <v>4</v>
      </c>
      <c r="M338" s="4">
        <v>7</v>
      </c>
      <c r="N338" s="4">
        <v>9</v>
      </c>
      <c r="O338" s="4">
        <v>8</v>
      </c>
      <c r="P338" s="4">
        <v>1</v>
      </c>
    </row>
    <row r="339" spans="1:16" ht="27.9" customHeight="1" x14ac:dyDescent="0.3">
      <c r="A339" s="3">
        <v>45773</v>
      </c>
      <c r="B339" s="4" t="s">
        <v>138</v>
      </c>
      <c r="C339" s="4" t="s">
        <v>128</v>
      </c>
      <c r="D339" s="4">
        <v>3</v>
      </c>
      <c r="E339" s="4">
        <v>0</v>
      </c>
      <c r="F339" s="4" t="s">
        <v>124</v>
      </c>
      <c r="G339" s="4">
        <v>1</v>
      </c>
      <c r="H339" s="4">
        <v>0</v>
      </c>
      <c r="I339" s="4">
        <v>25</v>
      </c>
      <c r="J339" s="4">
        <v>4</v>
      </c>
      <c r="K339" s="4">
        <v>5</v>
      </c>
      <c r="L339" s="4">
        <v>0</v>
      </c>
      <c r="M339" s="4">
        <v>9</v>
      </c>
      <c r="N339" s="4">
        <v>9</v>
      </c>
      <c r="O339" s="4">
        <v>11</v>
      </c>
      <c r="P339" s="4">
        <v>2</v>
      </c>
    </row>
    <row r="340" spans="1:16" ht="27.9" customHeight="1" x14ac:dyDescent="0.3">
      <c r="A340" s="3">
        <v>45773</v>
      </c>
      <c r="B340" s="4" t="s">
        <v>139</v>
      </c>
      <c r="C340" s="4" t="s">
        <v>123</v>
      </c>
      <c r="D340" s="4">
        <v>1</v>
      </c>
      <c r="E340" s="4">
        <v>2</v>
      </c>
      <c r="F340" s="4" t="s">
        <v>130</v>
      </c>
      <c r="G340" s="4">
        <v>1</v>
      </c>
      <c r="H340" s="4">
        <v>0</v>
      </c>
      <c r="I340" s="4">
        <v>7</v>
      </c>
      <c r="J340" s="4">
        <v>26</v>
      </c>
      <c r="K340" s="4">
        <v>3</v>
      </c>
      <c r="L340" s="4">
        <v>5</v>
      </c>
      <c r="M340" s="4">
        <v>10</v>
      </c>
      <c r="N340" s="4">
        <v>12</v>
      </c>
      <c r="O340" s="4">
        <v>0</v>
      </c>
      <c r="P340" s="4">
        <v>13</v>
      </c>
    </row>
    <row r="341" spans="1:16" ht="27.9" customHeight="1" x14ac:dyDescent="0.3">
      <c r="A341" s="3">
        <v>45773</v>
      </c>
      <c r="B341" s="4" t="s">
        <v>133</v>
      </c>
      <c r="C341" s="4" t="s">
        <v>155</v>
      </c>
      <c r="D341" s="4">
        <v>3</v>
      </c>
      <c r="E341" s="4">
        <v>0</v>
      </c>
      <c r="F341" s="4" t="s">
        <v>124</v>
      </c>
      <c r="G341" s="4">
        <v>1</v>
      </c>
      <c r="H341" s="4">
        <v>0</v>
      </c>
      <c r="I341" s="4">
        <v>20</v>
      </c>
      <c r="J341" s="4">
        <v>8</v>
      </c>
      <c r="K341" s="4">
        <v>6</v>
      </c>
      <c r="L341" s="4">
        <v>2</v>
      </c>
      <c r="M341" s="4">
        <v>7</v>
      </c>
      <c r="N341" s="4">
        <v>17</v>
      </c>
      <c r="O341" s="4">
        <v>4</v>
      </c>
      <c r="P341" s="4">
        <v>2</v>
      </c>
    </row>
    <row r="342" spans="1:16" ht="27.9" customHeight="1" x14ac:dyDescent="0.3">
      <c r="A342" s="3">
        <v>45774</v>
      </c>
      <c r="B342" s="4" t="s">
        <v>142</v>
      </c>
      <c r="C342" s="4" t="s">
        <v>122</v>
      </c>
      <c r="D342" s="4">
        <v>1</v>
      </c>
      <c r="E342" s="4">
        <v>1</v>
      </c>
      <c r="F342" s="4" t="s">
        <v>125</v>
      </c>
      <c r="G342" s="4">
        <v>1</v>
      </c>
      <c r="H342" s="4">
        <v>0</v>
      </c>
      <c r="I342" s="4">
        <v>8</v>
      </c>
      <c r="J342" s="4">
        <v>25</v>
      </c>
      <c r="K342" s="4">
        <v>1</v>
      </c>
      <c r="L342" s="4">
        <v>6</v>
      </c>
      <c r="M342" s="4">
        <v>11</v>
      </c>
      <c r="N342" s="4">
        <v>12</v>
      </c>
      <c r="O342" s="4">
        <v>5</v>
      </c>
      <c r="P342" s="4">
        <v>10</v>
      </c>
    </row>
    <row r="343" spans="1:16" ht="27.9" customHeight="1" x14ac:dyDescent="0.3">
      <c r="A343" s="3">
        <v>45774</v>
      </c>
      <c r="B343" s="4" t="s">
        <v>129</v>
      </c>
      <c r="C343" s="4" t="s">
        <v>156</v>
      </c>
      <c r="D343" s="4">
        <v>5</v>
      </c>
      <c r="E343" s="4">
        <v>1</v>
      </c>
      <c r="F343" s="4" t="s">
        <v>124</v>
      </c>
      <c r="G343" s="4">
        <v>3</v>
      </c>
      <c r="H343" s="4">
        <v>1</v>
      </c>
      <c r="I343" s="4">
        <v>25</v>
      </c>
      <c r="J343" s="4">
        <v>8</v>
      </c>
      <c r="K343" s="4">
        <v>8</v>
      </c>
      <c r="L343" s="4">
        <v>3</v>
      </c>
      <c r="M343" s="4">
        <v>16</v>
      </c>
      <c r="N343" s="4">
        <v>9</v>
      </c>
      <c r="O343" s="4">
        <v>8</v>
      </c>
      <c r="P343" s="4">
        <v>2</v>
      </c>
    </row>
    <row r="344" spans="1:16" ht="27.9" customHeight="1" x14ac:dyDescent="0.3">
      <c r="A344" s="3">
        <v>45778</v>
      </c>
      <c r="B344" s="4" t="s">
        <v>141</v>
      </c>
      <c r="C344" s="4" t="s">
        <v>148</v>
      </c>
      <c r="D344" s="4">
        <v>0</v>
      </c>
      <c r="E344" s="4">
        <v>2</v>
      </c>
      <c r="F344" s="4" t="s">
        <v>130</v>
      </c>
      <c r="G344" s="4">
        <v>0</v>
      </c>
      <c r="H344" s="4">
        <v>1</v>
      </c>
      <c r="I344" s="4">
        <v>14</v>
      </c>
      <c r="J344" s="4">
        <v>11</v>
      </c>
      <c r="K344" s="4">
        <v>5</v>
      </c>
      <c r="L344" s="4">
        <v>3</v>
      </c>
      <c r="M344" s="4">
        <v>10</v>
      </c>
      <c r="N344" s="4">
        <v>12</v>
      </c>
      <c r="O344" s="4">
        <v>4</v>
      </c>
      <c r="P344" s="4">
        <v>5</v>
      </c>
    </row>
    <row r="345" spans="1:16" ht="27.9" customHeight="1" x14ac:dyDescent="0.3">
      <c r="A345" s="3">
        <v>45779</v>
      </c>
      <c r="B345" s="4" t="s">
        <v>152</v>
      </c>
      <c r="C345" s="4" t="s">
        <v>133</v>
      </c>
      <c r="D345" s="4">
        <v>1</v>
      </c>
      <c r="E345" s="4">
        <v>0</v>
      </c>
      <c r="F345" s="4" t="s">
        <v>124</v>
      </c>
      <c r="G345" s="4">
        <v>1</v>
      </c>
      <c r="H345" s="4">
        <v>0</v>
      </c>
      <c r="I345" s="4">
        <v>9</v>
      </c>
      <c r="J345" s="4">
        <v>6</v>
      </c>
      <c r="K345" s="4">
        <v>2</v>
      </c>
      <c r="L345" s="4">
        <v>1</v>
      </c>
      <c r="M345" s="4">
        <v>7</v>
      </c>
      <c r="N345" s="4">
        <v>11</v>
      </c>
      <c r="O345" s="4">
        <v>4</v>
      </c>
      <c r="P345" s="4">
        <v>5</v>
      </c>
    </row>
    <row r="346" spans="1:16" ht="27.9" customHeight="1" x14ac:dyDescent="0.3">
      <c r="A346" s="3">
        <v>45780</v>
      </c>
      <c r="B346" s="4" t="s">
        <v>145</v>
      </c>
      <c r="C346" s="4" t="s">
        <v>123</v>
      </c>
      <c r="D346" s="4">
        <v>1</v>
      </c>
      <c r="E346" s="4">
        <v>0</v>
      </c>
      <c r="F346" s="4" t="s">
        <v>124</v>
      </c>
      <c r="G346" s="4">
        <v>1</v>
      </c>
      <c r="H346" s="4">
        <v>0</v>
      </c>
      <c r="I346" s="4">
        <v>10</v>
      </c>
      <c r="J346" s="4">
        <v>11</v>
      </c>
      <c r="K346" s="4">
        <v>3</v>
      </c>
      <c r="L346" s="4">
        <v>3</v>
      </c>
      <c r="M346" s="4">
        <v>6</v>
      </c>
      <c r="N346" s="4">
        <v>17</v>
      </c>
      <c r="O346" s="4">
        <v>5</v>
      </c>
      <c r="P346" s="4">
        <v>3</v>
      </c>
    </row>
    <row r="347" spans="1:16" ht="27.9" customHeight="1" x14ac:dyDescent="0.3">
      <c r="A347" s="3">
        <v>45780</v>
      </c>
      <c r="B347" s="4" t="s">
        <v>135</v>
      </c>
      <c r="C347" s="4" t="s">
        <v>128</v>
      </c>
      <c r="D347" s="4">
        <v>2</v>
      </c>
      <c r="E347" s="4">
        <v>2</v>
      </c>
      <c r="F347" s="4" t="s">
        <v>125</v>
      </c>
      <c r="G347" s="4">
        <v>2</v>
      </c>
      <c r="H347" s="4">
        <v>1</v>
      </c>
      <c r="I347" s="4">
        <v>8</v>
      </c>
      <c r="J347" s="4">
        <v>12</v>
      </c>
      <c r="K347" s="4">
        <v>3</v>
      </c>
      <c r="L347" s="4">
        <v>5</v>
      </c>
      <c r="M347" s="4">
        <v>12</v>
      </c>
      <c r="N347" s="4">
        <v>15</v>
      </c>
      <c r="O347" s="4">
        <v>3</v>
      </c>
      <c r="P347" s="4">
        <v>3</v>
      </c>
    </row>
    <row r="348" spans="1:16" ht="27.9" customHeight="1" x14ac:dyDescent="0.3">
      <c r="A348" s="3">
        <v>45780</v>
      </c>
      <c r="B348" s="4" t="s">
        <v>155</v>
      </c>
      <c r="C348" s="4" t="s">
        <v>139</v>
      </c>
      <c r="D348" s="4">
        <v>2</v>
      </c>
      <c r="E348" s="4">
        <v>0</v>
      </c>
      <c r="F348" s="4" t="s">
        <v>124</v>
      </c>
      <c r="G348" s="4">
        <v>2</v>
      </c>
      <c r="H348" s="4">
        <v>0</v>
      </c>
      <c r="I348" s="4">
        <v>14</v>
      </c>
      <c r="J348" s="4">
        <v>8</v>
      </c>
      <c r="K348" s="4">
        <v>4</v>
      </c>
      <c r="L348" s="4">
        <v>2</v>
      </c>
      <c r="M348" s="4">
        <v>12</v>
      </c>
      <c r="N348" s="4">
        <v>13</v>
      </c>
      <c r="O348" s="4">
        <v>7</v>
      </c>
      <c r="P348" s="4">
        <v>7</v>
      </c>
    </row>
    <row r="349" spans="1:16" ht="27.9" customHeight="1" x14ac:dyDescent="0.3">
      <c r="A349" s="3">
        <v>45780</v>
      </c>
      <c r="B349" s="4" t="s">
        <v>132</v>
      </c>
      <c r="C349" s="4" t="s">
        <v>142</v>
      </c>
      <c r="D349" s="4">
        <v>1</v>
      </c>
      <c r="E349" s="4">
        <v>2</v>
      </c>
      <c r="F349" s="4" t="s">
        <v>130</v>
      </c>
      <c r="G349" s="4">
        <v>1</v>
      </c>
      <c r="H349" s="4">
        <v>0</v>
      </c>
      <c r="I349" s="4">
        <v>13</v>
      </c>
      <c r="J349" s="4">
        <v>9</v>
      </c>
      <c r="K349" s="4">
        <v>4</v>
      </c>
      <c r="L349" s="4">
        <v>2</v>
      </c>
      <c r="M349" s="4">
        <v>7</v>
      </c>
      <c r="N349" s="4">
        <v>16</v>
      </c>
      <c r="O349" s="4">
        <v>2</v>
      </c>
      <c r="P349" s="4">
        <v>3</v>
      </c>
    </row>
    <row r="350" spans="1:16" ht="27.9" customHeight="1" x14ac:dyDescent="0.3">
      <c r="A350" s="3">
        <v>45781</v>
      </c>
      <c r="B350" s="4" t="s">
        <v>148</v>
      </c>
      <c r="C350" s="4" t="s">
        <v>122</v>
      </c>
      <c r="D350" s="4">
        <v>4</v>
      </c>
      <c r="E350" s="4">
        <v>3</v>
      </c>
      <c r="F350" s="4" t="s">
        <v>124</v>
      </c>
      <c r="G350" s="4">
        <v>2</v>
      </c>
      <c r="H350" s="4">
        <v>1</v>
      </c>
      <c r="I350" s="4">
        <v>12</v>
      </c>
      <c r="J350" s="4">
        <v>14</v>
      </c>
      <c r="K350" s="4">
        <v>6</v>
      </c>
      <c r="L350" s="4">
        <v>5</v>
      </c>
      <c r="M350" s="4">
        <v>8</v>
      </c>
      <c r="N350" s="4">
        <v>10</v>
      </c>
      <c r="O350" s="4">
        <v>7</v>
      </c>
      <c r="P350" s="4">
        <v>4</v>
      </c>
    </row>
    <row r="351" spans="1:16" ht="27.9" customHeight="1" x14ac:dyDescent="0.3">
      <c r="A351" s="3">
        <v>45781</v>
      </c>
      <c r="B351" s="4" t="s">
        <v>136</v>
      </c>
      <c r="C351" s="4" t="s">
        <v>138</v>
      </c>
      <c r="D351" s="4">
        <v>1</v>
      </c>
      <c r="E351" s="4">
        <v>1</v>
      </c>
      <c r="F351" s="4" t="s">
        <v>125</v>
      </c>
      <c r="G351" s="4">
        <v>1</v>
      </c>
      <c r="H351" s="4">
        <v>0</v>
      </c>
      <c r="I351" s="4">
        <v>5</v>
      </c>
      <c r="J351" s="4">
        <v>13</v>
      </c>
      <c r="K351" s="4">
        <v>2</v>
      </c>
      <c r="L351" s="4">
        <v>5</v>
      </c>
      <c r="M351" s="4">
        <v>15</v>
      </c>
      <c r="N351" s="4">
        <v>10</v>
      </c>
      <c r="O351" s="4">
        <v>1</v>
      </c>
      <c r="P351" s="4">
        <v>4</v>
      </c>
    </row>
    <row r="352" spans="1:16" ht="27.9" customHeight="1" x14ac:dyDescent="0.3">
      <c r="A352" s="3">
        <v>45781</v>
      </c>
      <c r="B352" s="4" t="s">
        <v>144</v>
      </c>
      <c r="C352" s="4" t="s">
        <v>156</v>
      </c>
      <c r="D352" s="4">
        <v>1</v>
      </c>
      <c r="E352" s="4">
        <v>1</v>
      </c>
      <c r="F352" s="4" t="s">
        <v>125</v>
      </c>
      <c r="G352" s="4">
        <v>1</v>
      </c>
      <c r="H352" s="4">
        <v>1</v>
      </c>
      <c r="I352" s="4">
        <v>11</v>
      </c>
      <c r="J352" s="4">
        <v>7</v>
      </c>
      <c r="K352" s="4">
        <v>2</v>
      </c>
      <c r="L352" s="4">
        <v>2</v>
      </c>
      <c r="M352" s="4">
        <v>18</v>
      </c>
      <c r="N352" s="4">
        <v>15</v>
      </c>
      <c r="O352" s="4">
        <v>1</v>
      </c>
      <c r="P352" s="4">
        <v>3</v>
      </c>
    </row>
    <row r="353" spans="1:16" ht="27.9" customHeight="1" x14ac:dyDescent="0.3">
      <c r="A353" s="3">
        <v>45781</v>
      </c>
      <c r="B353" s="4" t="s">
        <v>151</v>
      </c>
      <c r="C353" s="4" t="s">
        <v>129</v>
      </c>
      <c r="D353" s="4">
        <v>3</v>
      </c>
      <c r="E353" s="4">
        <v>1</v>
      </c>
      <c r="F353" s="4" t="s">
        <v>124</v>
      </c>
      <c r="G353" s="4">
        <v>1</v>
      </c>
      <c r="H353" s="4">
        <v>0</v>
      </c>
      <c r="I353" s="4">
        <v>17</v>
      </c>
      <c r="J353" s="4">
        <v>11</v>
      </c>
      <c r="K353" s="4">
        <v>7</v>
      </c>
      <c r="L353" s="4">
        <v>2</v>
      </c>
      <c r="M353" s="4">
        <v>10</v>
      </c>
      <c r="N353" s="4">
        <v>11</v>
      </c>
      <c r="O353" s="4">
        <v>3</v>
      </c>
      <c r="P353" s="4">
        <v>6</v>
      </c>
    </row>
    <row r="354" spans="1:16" ht="27.9" customHeight="1" x14ac:dyDescent="0.3">
      <c r="A354" s="3">
        <v>45782</v>
      </c>
      <c r="B354" s="4" t="s">
        <v>149</v>
      </c>
      <c r="C354" s="4" t="s">
        <v>141</v>
      </c>
      <c r="D354" s="4">
        <v>1</v>
      </c>
      <c r="E354" s="4">
        <v>1</v>
      </c>
      <c r="F354" s="4" t="s">
        <v>125</v>
      </c>
      <c r="G354" s="4">
        <v>0</v>
      </c>
      <c r="H354" s="4">
        <v>0</v>
      </c>
      <c r="I354" s="4">
        <v>20</v>
      </c>
      <c r="J354" s="4">
        <v>12</v>
      </c>
      <c r="K354" s="4">
        <v>3</v>
      </c>
      <c r="L354" s="4">
        <v>4</v>
      </c>
      <c r="M354" s="4">
        <v>9</v>
      </c>
      <c r="N354" s="4">
        <v>15</v>
      </c>
      <c r="O354" s="4">
        <v>7</v>
      </c>
      <c r="P354" s="4">
        <v>4</v>
      </c>
    </row>
    <row r="355" spans="1:16" ht="27.9" customHeight="1" x14ac:dyDescent="0.3">
      <c r="A355" s="3">
        <v>45787</v>
      </c>
      <c r="B355" s="4" t="s">
        <v>123</v>
      </c>
      <c r="C355" s="4" t="s">
        <v>135</v>
      </c>
      <c r="D355" s="4">
        <v>1</v>
      </c>
      <c r="E355" s="4">
        <v>3</v>
      </c>
      <c r="F355" s="4" t="s">
        <v>130</v>
      </c>
      <c r="G355" s="4">
        <v>1</v>
      </c>
      <c r="H355" s="4">
        <v>1</v>
      </c>
      <c r="I355" s="4">
        <v>18</v>
      </c>
      <c r="J355" s="4">
        <v>11</v>
      </c>
      <c r="K355" s="4">
        <v>6</v>
      </c>
      <c r="L355" s="4">
        <v>7</v>
      </c>
      <c r="M355" s="4">
        <v>15</v>
      </c>
      <c r="N355" s="4">
        <v>9</v>
      </c>
      <c r="O355" s="4">
        <v>5</v>
      </c>
      <c r="P355" s="4">
        <v>5</v>
      </c>
    </row>
    <row r="356" spans="1:16" ht="27.9" customHeight="1" x14ac:dyDescent="0.3">
      <c r="A356" s="3">
        <v>45787</v>
      </c>
      <c r="B356" s="4" t="s">
        <v>128</v>
      </c>
      <c r="C356" s="4" t="s">
        <v>148</v>
      </c>
      <c r="D356" s="4">
        <v>0</v>
      </c>
      <c r="E356" s="4">
        <v>1</v>
      </c>
      <c r="F356" s="4" t="s">
        <v>130</v>
      </c>
      <c r="G356" s="4">
        <v>0</v>
      </c>
      <c r="H356" s="4">
        <v>1</v>
      </c>
      <c r="I356" s="4">
        <v>11</v>
      </c>
      <c r="J356" s="4">
        <v>15</v>
      </c>
      <c r="K356" s="4">
        <v>4</v>
      </c>
      <c r="L356" s="4">
        <v>5</v>
      </c>
      <c r="M356" s="4">
        <v>6</v>
      </c>
      <c r="N356" s="4">
        <v>12</v>
      </c>
      <c r="O356" s="4">
        <v>5</v>
      </c>
      <c r="P356" s="4">
        <v>6</v>
      </c>
    </row>
    <row r="357" spans="1:16" ht="27.9" customHeight="1" x14ac:dyDescent="0.3">
      <c r="A357" s="3">
        <v>45787</v>
      </c>
      <c r="B357" s="4" t="s">
        <v>139</v>
      </c>
      <c r="C357" s="4" t="s">
        <v>152</v>
      </c>
      <c r="D357" s="4">
        <v>0</v>
      </c>
      <c r="E357" s="4">
        <v>0</v>
      </c>
      <c r="F357" s="4" t="s">
        <v>125</v>
      </c>
      <c r="G357" s="4">
        <v>0</v>
      </c>
      <c r="H357" s="4">
        <v>0</v>
      </c>
      <c r="I357" s="4">
        <v>2</v>
      </c>
      <c r="J357" s="4">
        <v>26</v>
      </c>
      <c r="K357" s="4">
        <v>0</v>
      </c>
      <c r="L357" s="4">
        <v>5</v>
      </c>
      <c r="M357" s="4">
        <v>9</v>
      </c>
      <c r="N357" s="4">
        <v>8</v>
      </c>
      <c r="O357" s="4">
        <v>1</v>
      </c>
      <c r="P357" s="4">
        <v>15</v>
      </c>
    </row>
    <row r="358" spans="1:16" ht="27.9" customHeight="1" x14ac:dyDescent="0.3">
      <c r="A358" s="3">
        <v>45787</v>
      </c>
      <c r="B358" s="4" t="s">
        <v>133</v>
      </c>
      <c r="C358" s="4" t="s">
        <v>136</v>
      </c>
      <c r="D358" s="4">
        <v>0</v>
      </c>
      <c r="E358" s="4">
        <v>2</v>
      </c>
      <c r="F358" s="4" t="s">
        <v>130</v>
      </c>
      <c r="G358" s="4">
        <v>0</v>
      </c>
      <c r="H358" s="4">
        <v>1</v>
      </c>
      <c r="I358" s="4">
        <v>10</v>
      </c>
      <c r="J358" s="4">
        <v>7</v>
      </c>
      <c r="K358" s="4">
        <v>3</v>
      </c>
      <c r="L358" s="4">
        <v>2</v>
      </c>
      <c r="M358" s="4">
        <v>8</v>
      </c>
      <c r="N358" s="4">
        <v>12</v>
      </c>
      <c r="O358" s="4">
        <v>7</v>
      </c>
      <c r="P358" s="4">
        <v>4</v>
      </c>
    </row>
    <row r="359" spans="1:16" ht="27.9" customHeight="1" x14ac:dyDescent="0.3">
      <c r="A359" s="3">
        <v>45787</v>
      </c>
      <c r="B359" s="4" t="s">
        <v>142</v>
      </c>
      <c r="C359" s="4" t="s">
        <v>145</v>
      </c>
      <c r="D359" s="4">
        <v>0</v>
      </c>
      <c r="E359" s="4">
        <v>1</v>
      </c>
      <c r="F359" s="4" t="s">
        <v>130</v>
      </c>
      <c r="G359" s="4">
        <v>0</v>
      </c>
      <c r="H359" s="4">
        <v>1</v>
      </c>
      <c r="I359" s="4">
        <v>10</v>
      </c>
      <c r="J359" s="4">
        <v>6</v>
      </c>
      <c r="K359" s="4">
        <v>4</v>
      </c>
      <c r="L359" s="4">
        <v>3</v>
      </c>
      <c r="M359" s="4">
        <v>19</v>
      </c>
      <c r="N359" s="4">
        <v>12</v>
      </c>
      <c r="O359" s="4">
        <v>10</v>
      </c>
      <c r="P359" s="4">
        <v>0</v>
      </c>
    </row>
    <row r="360" spans="1:16" ht="27.9" customHeight="1" x14ac:dyDescent="0.3">
      <c r="A360" s="3">
        <v>45788</v>
      </c>
      <c r="B360" s="4" t="s">
        <v>138</v>
      </c>
      <c r="C360" s="4" t="s">
        <v>151</v>
      </c>
      <c r="D360" s="4">
        <v>2</v>
      </c>
      <c r="E360" s="4">
        <v>0</v>
      </c>
      <c r="F360" s="4" t="s">
        <v>124</v>
      </c>
      <c r="G360" s="4">
        <v>1</v>
      </c>
      <c r="H360" s="4">
        <v>0</v>
      </c>
      <c r="I360" s="4">
        <v>15</v>
      </c>
      <c r="J360" s="4">
        <v>10</v>
      </c>
      <c r="K360" s="4">
        <v>6</v>
      </c>
      <c r="L360" s="4">
        <v>3</v>
      </c>
      <c r="M360" s="4">
        <v>9</v>
      </c>
      <c r="N360" s="4">
        <v>13</v>
      </c>
      <c r="O360" s="4">
        <v>2</v>
      </c>
      <c r="P360" s="4">
        <v>8</v>
      </c>
    </row>
    <row r="361" spans="1:16" ht="27.9" customHeight="1" x14ac:dyDescent="0.3">
      <c r="A361" s="3">
        <v>45788</v>
      </c>
      <c r="B361" s="4" t="s">
        <v>122</v>
      </c>
      <c r="C361" s="4" t="s">
        <v>144</v>
      </c>
      <c r="D361" s="4">
        <v>0</v>
      </c>
      <c r="E361" s="4">
        <v>2</v>
      </c>
      <c r="F361" s="4" t="s">
        <v>130</v>
      </c>
      <c r="G361" s="4">
        <v>0</v>
      </c>
      <c r="H361" s="4">
        <v>1</v>
      </c>
      <c r="I361" s="4">
        <v>20</v>
      </c>
      <c r="J361" s="4">
        <v>9</v>
      </c>
      <c r="K361" s="4">
        <v>5</v>
      </c>
      <c r="L361" s="4">
        <v>4</v>
      </c>
      <c r="M361" s="4">
        <v>3</v>
      </c>
      <c r="N361" s="4">
        <v>13</v>
      </c>
      <c r="O361" s="4">
        <v>8</v>
      </c>
      <c r="P361" s="4">
        <v>5</v>
      </c>
    </row>
    <row r="362" spans="1:16" ht="27.9" customHeight="1" x14ac:dyDescent="0.3">
      <c r="A362" s="3">
        <v>45788</v>
      </c>
      <c r="B362" s="4" t="s">
        <v>141</v>
      </c>
      <c r="C362" s="4" t="s">
        <v>155</v>
      </c>
      <c r="D362" s="4">
        <v>2</v>
      </c>
      <c r="E362" s="4">
        <v>2</v>
      </c>
      <c r="F362" s="4" t="s">
        <v>125</v>
      </c>
      <c r="G362" s="4">
        <v>1</v>
      </c>
      <c r="H362" s="4">
        <v>1</v>
      </c>
      <c r="I362" s="4">
        <v>15</v>
      </c>
      <c r="J362" s="4">
        <v>10</v>
      </c>
      <c r="K362" s="4">
        <v>4</v>
      </c>
      <c r="L362" s="4">
        <v>6</v>
      </c>
      <c r="M362" s="4">
        <v>11</v>
      </c>
      <c r="N362" s="4">
        <v>11</v>
      </c>
      <c r="O362" s="4">
        <v>4</v>
      </c>
      <c r="P362" s="4">
        <v>4</v>
      </c>
    </row>
    <row r="363" spans="1:16" ht="27.9" customHeight="1" x14ac:dyDescent="0.3">
      <c r="A363" s="3">
        <v>45788</v>
      </c>
      <c r="B363" s="4" t="s">
        <v>156</v>
      </c>
      <c r="C363" s="4" t="s">
        <v>149</v>
      </c>
      <c r="D363" s="4">
        <v>0</v>
      </c>
      <c r="E363" s="4">
        <v>2</v>
      </c>
      <c r="F363" s="4" t="s">
        <v>130</v>
      </c>
      <c r="G363" s="4">
        <v>0</v>
      </c>
      <c r="H363" s="4">
        <v>1</v>
      </c>
      <c r="I363" s="4">
        <v>8</v>
      </c>
      <c r="J363" s="4">
        <v>23</v>
      </c>
      <c r="K363" s="4">
        <v>1</v>
      </c>
      <c r="L363" s="4">
        <v>10</v>
      </c>
      <c r="M363" s="4">
        <v>12</v>
      </c>
      <c r="N363" s="4">
        <v>10</v>
      </c>
      <c r="O363" s="4">
        <v>4</v>
      </c>
      <c r="P363" s="4">
        <v>8</v>
      </c>
    </row>
    <row r="364" spans="1:16" ht="27.9" customHeight="1" x14ac:dyDescent="0.3">
      <c r="A364" s="3">
        <v>45788</v>
      </c>
      <c r="B364" s="4" t="s">
        <v>129</v>
      </c>
      <c r="C364" s="4" t="s">
        <v>132</v>
      </c>
      <c r="D364" s="4">
        <v>2</v>
      </c>
      <c r="E364" s="4">
        <v>2</v>
      </c>
      <c r="F364" s="4" t="s">
        <v>125</v>
      </c>
      <c r="G364" s="4">
        <v>2</v>
      </c>
      <c r="H364" s="4">
        <v>0</v>
      </c>
      <c r="I364" s="4">
        <v>14</v>
      </c>
      <c r="J364" s="4">
        <v>15</v>
      </c>
      <c r="K364" s="4">
        <v>5</v>
      </c>
      <c r="L364" s="4">
        <v>7</v>
      </c>
      <c r="M364" s="4">
        <v>13</v>
      </c>
      <c r="N364" s="4">
        <v>10</v>
      </c>
      <c r="O364" s="4">
        <v>3</v>
      </c>
      <c r="P364" s="4">
        <v>1</v>
      </c>
    </row>
    <row r="365" spans="1:16" ht="27.9" customHeight="1" x14ac:dyDescent="0.3">
      <c r="A365" s="3">
        <v>45793</v>
      </c>
      <c r="B365" s="4" t="s">
        <v>145</v>
      </c>
      <c r="C365" s="4" t="s">
        <v>156</v>
      </c>
      <c r="D365" s="4">
        <v>2</v>
      </c>
      <c r="E365" s="4">
        <v>0</v>
      </c>
      <c r="F365" s="4" t="s">
        <v>124</v>
      </c>
      <c r="G365" s="4">
        <v>0</v>
      </c>
      <c r="H365" s="4">
        <v>0</v>
      </c>
      <c r="I365" s="4">
        <v>18</v>
      </c>
      <c r="J365" s="4">
        <v>3</v>
      </c>
      <c r="K365" s="4">
        <v>7</v>
      </c>
      <c r="L365" s="4">
        <v>1</v>
      </c>
      <c r="M365" s="4">
        <v>5</v>
      </c>
      <c r="N365" s="4">
        <v>12</v>
      </c>
      <c r="O365" s="4">
        <v>9</v>
      </c>
      <c r="P365" s="4">
        <v>1</v>
      </c>
    </row>
    <row r="366" spans="1:16" ht="27.9" customHeight="1" x14ac:dyDescent="0.3">
      <c r="A366" s="3">
        <v>45793</v>
      </c>
      <c r="B366" s="4" t="s">
        <v>151</v>
      </c>
      <c r="C366" s="4" t="s">
        <v>122</v>
      </c>
      <c r="D366" s="4">
        <v>1</v>
      </c>
      <c r="E366" s="4">
        <v>0</v>
      </c>
      <c r="F366" s="4" t="s">
        <v>124</v>
      </c>
      <c r="G366" s="4">
        <v>0</v>
      </c>
      <c r="H366" s="4">
        <v>0</v>
      </c>
      <c r="I366" s="4">
        <v>11</v>
      </c>
      <c r="J366" s="4">
        <v>4</v>
      </c>
      <c r="K366" s="4">
        <v>3</v>
      </c>
      <c r="L366" s="4">
        <v>1</v>
      </c>
      <c r="M366" s="4">
        <v>10</v>
      </c>
      <c r="N366" s="4">
        <v>14</v>
      </c>
      <c r="O366" s="4">
        <v>7</v>
      </c>
      <c r="P366" s="4">
        <v>2</v>
      </c>
    </row>
    <row r="367" spans="1:16" ht="27.9" customHeight="1" x14ac:dyDescent="0.3">
      <c r="A367" s="3">
        <v>45795</v>
      </c>
      <c r="B367" s="4" t="s">
        <v>135</v>
      </c>
      <c r="C367" s="4" t="s">
        <v>139</v>
      </c>
      <c r="D367" s="4">
        <v>2</v>
      </c>
      <c r="E367" s="4">
        <v>0</v>
      </c>
      <c r="F367" s="4" t="s">
        <v>124</v>
      </c>
      <c r="G367" s="4">
        <v>2</v>
      </c>
      <c r="H367" s="4">
        <v>0</v>
      </c>
      <c r="I367" s="4">
        <v>13</v>
      </c>
      <c r="J367" s="4">
        <v>6</v>
      </c>
      <c r="K367" s="4">
        <v>5</v>
      </c>
      <c r="L367" s="4">
        <v>2</v>
      </c>
      <c r="M367" s="4">
        <v>6</v>
      </c>
      <c r="N367" s="4">
        <v>10</v>
      </c>
      <c r="O367" s="4">
        <v>4</v>
      </c>
      <c r="P367" s="4">
        <v>5</v>
      </c>
    </row>
    <row r="368" spans="1:16" ht="27.9" customHeight="1" x14ac:dyDescent="0.3">
      <c r="A368" s="3">
        <v>45795</v>
      </c>
      <c r="B368" s="4" t="s">
        <v>144</v>
      </c>
      <c r="C368" s="4" t="s">
        <v>141</v>
      </c>
      <c r="D368" s="4">
        <v>1</v>
      </c>
      <c r="E368" s="4">
        <v>2</v>
      </c>
      <c r="F368" s="4" t="s">
        <v>130</v>
      </c>
      <c r="G368" s="4">
        <v>0</v>
      </c>
      <c r="H368" s="4">
        <v>1</v>
      </c>
      <c r="I368" s="4">
        <v>16</v>
      </c>
      <c r="J368" s="4">
        <v>10</v>
      </c>
      <c r="K368" s="4">
        <v>5</v>
      </c>
      <c r="L368" s="4">
        <v>5</v>
      </c>
      <c r="M368" s="4">
        <v>14</v>
      </c>
      <c r="N368" s="4">
        <v>7</v>
      </c>
      <c r="O368" s="4">
        <v>8</v>
      </c>
      <c r="P368" s="4">
        <v>7</v>
      </c>
    </row>
    <row r="369" spans="1:16" ht="27.9" customHeight="1" x14ac:dyDescent="0.3">
      <c r="A369" s="3">
        <v>45795</v>
      </c>
      <c r="B369" s="4" t="s">
        <v>148</v>
      </c>
      <c r="C369" s="4" t="s">
        <v>123</v>
      </c>
      <c r="D369" s="4">
        <v>2</v>
      </c>
      <c r="E369" s="4">
        <v>3</v>
      </c>
      <c r="F369" s="4" t="s">
        <v>130</v>
      </c>
      <c r="G369" s="4">
        <v>2</v>
      </c>
      <c r="H369" s="4">
        <v>1</v>
      </c>
      <c r="I369" s="4">
        <v>11</v>
      </c>
      <c r="J369" s="4">
        <v>16</v>
      </c>
      <c r="K369" s="4">
        <v>6</v>
      </c>
      <c r="L369" s="4">
        <v>7</v>
      </c>
      <c r="M369" s="4">
        <v>12</v>
      </c>
      <c r="N369" s="4">
        <v>8</v>
      </c>
      <c r="O369" s="4">
        <v>5</v>
      </c>
      <c r="P369" s="4">
        <v>3</v>
      </c>
    </row>
    <row r="370" spans="1:16" ht="27.9" customHeight="1" x14ac:dyDescent="0.3">
      <c r="A370" s="3">
        <v>45795</v>
      </c>
      <c r="B370" s="4" t="s">
        <v>155</v>
      </c>
      <c r="C370" s="4" t="s">
        <v>128</v>
      </c>
      <c r="D370" s="4">
        <v>2</v>
      </c>
      <c r="E370" s="4">
        <v>0</v>
      </c>
      <c r="F370" s="4" t="s">
        <v>124</v>
      </c>
      <c r="G370" s="4">
        <v>1</v>
      </c>
      <c r="H370" s="4">
        <v>0</v>
      </c>
      <c r="I370" s="4">
        <v>9</v>
      </c>
      <c r="J370" s="4">
        <v>20</v>
      </c>
      <c r="K370" s="4">
        <v>3</v>
      </c>
      <c r="L370" s="4">
        <v>2</v>
      </c>
      <c r="M370" s="4">
        <v>15</v>
      </c>
      <c r="N370" s="4">
        <v>12</v>
      </c>
      <c r="O370" s="4">
        <v>2</v>
      </c>
      <c r="P370" s="4">
        <v>2</v>
      </c>
    </row>
    <row r="371" spans="1:16" ht="27.9" customHeight="1" x14ac:dyDescent="0.3">
      <c r="A371" s="3">
        <v>45795</v>
      </c>
      <c r="B371" s="4" t="s">
        <v>132</v>
      </c>
      <c r="C371" s="4" t="s">
        <v>138</v>
      </c>
      <c r="D371" s="4">
        <v>1</v>
      </c>
      <c r="E371" s="4">
        <v>0</v>
      </c>
      <c r="F371" s="4" t="s">
        <v>124</v>
      </c>
      <c r="G371" s="4">
        <v>0</v>
      </c>
      <c r="H371" s="4">
        <v>0</v>
      </c>
      <c r="I371" s="4">
        <v>12</v>
      </c>
      <c r="J371" s="4">
        <v>14</v>
      </c>
      <c r="K371" s="4">
        <v>4</v>
      </c>
      <c r="L371" s="4">
        <v>5</v>
      </c>
      <c r="M371" s="4">
        <v>9</v>
      </c>
      <c r="N371" s="4">
        <v>9</v>
      </c>
      <c r="O371" s="4">
        <v>10</v>
      </c>
      <c r="P371" s="4">
        <v>7</v>
      </c>
    </row>
    <row r="372" spans="1:16" ht="27.9" customHeight="1" x14ac:dyDescent="0.3">
      <c r="A372" s="3">
        <v>45796</v>
      </c>
      <c r="B372" s="4" t="s">
        <v>136</v>
      </c>
      <c r="C372" s="4" t="s">
        <v>129</v>
      </c>
      <c r="D372" s="4">
        <v>3</v>
      </c>
      <c r="E372" s="4">
        <v>2</v>
      </c>
      <c r="F372" s="4" t="s">
        <v>124</v>
      </c>
      <c r="G372" s="4">
        <v>1</v>
      </c>
      <c r="H372" s="4">
        <v>2</v>
      </c>
      <c r="I372" s="4">
        <v>25</v>
      </c>
      <c r="J372" s="4">
        <v>18</v>
      </c>
      <c r="K372" s="4">
        <v>12</v>
      </c>
      <c r="L372" s="4">
        <v>5</v>
      </c>
      <c r="M372" s="4">
        <v>9</v>
      </c>
      <c r="N372" s="4">
        <v>8</v>
      </c>
      <c r="O372" s="4">
        <v>3</v>
      </c>
      <c r="P372" s="4">
        <v>3</v>
      </c>
    </row>
    <row r="373" spans="1:16" ht="27.9" customHeight="1" x14ac:dyDescent="0.3">
      <c r="A373" s="3">
        <v>45797</v>
      </c>
      <c r="B373" s="4" t="s">
        <v>149</v>
      </c>
      <c r="C373" s="4" t="s">
        <v>133</v>
      </c>
      <c r="D373" s="4">
        <v>4</v>
      </c>
      <c r="E373" s="4">
        <v>2</v>
      </c>
      <c r="F373" s="4" t="s">
        <v>124</v>
      </c>
      <c r="G373" s="4">
        <v>2</v>
      </c>
      <c r="H373" s="4">
        <v>1</v>
      </c>
      <c r="I373" s="4">
        <v>14</v>
      </c>
      <c r="J373" s="4">
        <v>12</v>
      </c>
      <c r="K373" s="4">
        <v>10</v>
      </c>
      <c r="L373" s="4">
        <v>3</v>
      </c>
      <c r="M373" s="4">
        <v>14</v>
      </c>
      <c r="N373" s="4">
        <v>8</v>
      </c>
      <c r="O373" s="4">
        <v>0</v>
      </c>
      <c r="P373" s="4">
        <v>10</v>
      </c>
    </row>
    <row r="374" spans="1:16" ht="27.9" customHeight="1" x14ac:dyDescent="0.3">
      <c r="A374" s="3">
        <v>45797</v>
      </c>
      <c r="B374" s="4" t="s">
        <v>152</v>
      </c>
      <c r="C374" s="4" t="s">
        <v>142</v>
      </c>
      <c r="D374" s="4">
        <v>3</v>
      </c>
      <c r="E374" s="4">
        <v>1</v>
      </c>
      <c r="F374" s="4" t="s">
        <v>124</v>
      </c>
      <c r="G374" s="4">
        <v>2</v>
      </c>
      <c r="H374" s="4">
        <v>0</v>
      </c>
      <c r="I374" s="4">
        <v>12</v>
      </c>
      <c r="J374" s="4">
        <v>8</v>
      </c>
      <c r="K374" s="4">
        <v>5</v>
      </c>
      <c r="L374" s="4">
        <v>2</v>
      </c>
      <c r="M374" s="4">
        <v>7</v>
      </c>
      <c r="N374" s="4">
        <v>13</v>
      </c>
      <c r="O374" s="4">
        <v>3</v>
      </c>
      <c r="P374" s="4">
        <v>1</v>
      </c>
    </row>
    <row r="375" spans="1:16" ht="27.9" customHeight="1" x14ac:dyDescent="0.3">
      <c r="A375" s="3">
        <v>45802</v>
      </c>
      <c r="B375" s="4" t="s">
        <v>142</v>
      </c>
      <c r="C375" s="4" t="s">
        <v>155</v>
      </c>
      <c r="D375" s="4">
        <v>2</v>
      </c>
      <c r="E375" s="4">
        <v>0</v>
      </c>
      <c r="F375" s="4" t="s">
        <v>124</v>
      </c>
      <c r="G375" s="4">
        <v>0</v>
      </c>
      <c r="H375" s="4">
        <v>0</v>
      </c>
      <c r="I375" s="4">
        <v>20</v>
      </c>
      <c r="J375" s="4">
        <v>3</v>
      </c>
      <c r="K375" s="4">
        <v>7</v>
      </c>
      <c r="L375" s="4">
        <v>0</v>
      </c>
      <c r="M375" s="4">
        <v>19</v>
      </c>
      <c r="N375" s="4">
        <v>16</v>
      </c>
      <c r="O375" s="4">
        <v>6</v>
      </c>
      <c r="P375" s="4">
        <v>1</v>
      </c>
    </row>
    <row r="376" spans="1:16" ht="27.9" customHeight="1" x14ac:dyDescent="0.3">
      <c r="A376" s="3">
        <v>45802</v>
      </c>
      <c r="B376" s="4" t="s">
        <v>123</v>
      </c>
      <c r="C376" s="4" t="s">
        <v>152</v>
      </c>
      <c r="D376" s="4">
        <v>0</v>
      </c>
      <c r="E376" s="4">
        <v>2</v>
      </c>
      <c r="F376" s="4" t="s">
        <v>130</v>
      </c>
      <c r="G376" s="4">
        <v>0</v>
      </c>
      <c r="H376" s="4">
        <v>1</v>
      </c>
      <c r="I376" s="4">
        <v>13</v>
      </c>
      <c r="J376" s="4">
        <v>20</v>
      </c>
      <c r="K376" s="4">
        <v>3</v>
      </c>
      <c r="L376" s="4">
        <v>5</v>
      </c>
      <c r="M376" s="4">
        <v>11</v>
      </c>
      <c r="N376" s="4">
        <v>5</v>
      </c>
      <c r="O376" s="4">
        <v>1</v>
      </c>
      <c r="P376" s="4">
        <v>6</v>
      </c>
    </row>
    <row r="377" spans="1:16" ht="27.9" customHeight="1" x14ac:dyDescent="0.3">
      <c r="A377" s="3">
        <v>45802</v>
      </c>
      <c r="B377" s="4" t="s">
        <v>128</v>
      </c>
      <c r="C377" s="4" t="s">
        <v>144</v>
      </c>
      <c r="D377" s="4">
        <v>1</v>
      </c>
      <c r="E377" s="4">
        <v>3</v>
      </c>
      <c r="F377" s="4" t="s">
        <v>130</v>
      </c>
      <c r="G377" s="4">
        <v>0</v>
      </c>
      <c r="H377" s="4">
        <v>1</v>
      </c>
      <c r="I377" s="4">
        <v>14</v>
      </c>
      <c r="J377" s="4">
        <v>10</v>
      </c>
      <c r="K377" s="4">
        <v>4</v>
      </c>
      <c r="L377" s="4">
        <v>6</v>
      </c>
      <c r="M377" s="4">
        <v>10</v>
      </c>
      <c r="N377" s="4">
        <v>9</v>
      </c>
      <c r="O377" s="4">
        <v>4</v>
      </c>
      <c r="P377" s="4">
        <v>0</v>
      </c>
    </row>
    <row r="378" spans="1:16" ht="27.9" customHeight="1" x14ac:dyDescent="0.3">
      <c r="A378" s="3">
        <v>45802</v>
      </c>
      <c r="B378" s="4" t="s">
        <v>129</v>
      </c>
      <c r="C378" s="4" t="s">
        <v>149</v>
      </c>
      <c r="D378" s="4">
        <v>1</v>
      </c>
      <c r="E378" s="4">
        <v>1</v>
      </c>
      <c r="F378" s="4" t="s">
        <v>125</v>
      </c>
      <c r="G378" s="4">
        <v>0</v>
      </c>
      <c r="H378" s="4">
        <v>1</v>
      </c>
      <c r="I378" s="4">
        <v>14</v>
      </c>
      <c r="J378" s="4">
        <v>8</v>
      </c>
      <c r="K378" s="4">
        <v>3</v>
      </c>
      <c r="L378" s="4">
        <v>5</v>
      </c>
      <c r="M378" s="4">
        <v>7</v>
      </c>
      <c r="N378" s="4">
        <v>10</v>
      </c>
      <c r="O378" s="4">
        <v>11</v>
      </c>
      <c r="P378" s="4">
        <v>0</v>
      </c>
    </row>
    <row r="379" spans="1:16" ht="27.9" customHeight="1" x14ac:dyDescent="0.3">
      <c r="A379" s="3">
        <v>45802</v>
      </c>
      <c r="B379" s="4" t="s">
        <v>122</v>
      </c>
      <c r="C379" s="4" t="s">
        <v>145</v>
      </c>
      <c r="D379" s="4">
        <v>2</v>
      </c>
      <c r="E379" s="4">
        <v>0</v>
      </c>
      <c r="F379" s="4" t="s">
        <v>124</v>
      </c>
      <c r="G379" s="4">
        <v>0</v>
      </c>
      <c r="H379" s="4">
        <v>0</v>
      </c>
      <c r="I379" s="4">
        <v>25</v>
      </c>
      <c r="J379" s="4">
        <v>6</v>
      </c>
      <c r="K379" s="4">
        <v>10</v>
      </c>
      <c r="L379" s="4">
        <v>1</v>
      </c>
      <c r="M379" s="4">
        <v>10</v>
      </c>
      <c r="N379" s="4">
        <v>10</v>
      </c>
      <c r="O379" s="4">
        <v>4</v>
      </c>
      <c r="P379" s="4">
        <v>3</v>
      </c>
    </row>
    <row r="380" spans="1:16" ht="27.9" customHeight="1" x14ac:dyDescent="0.3">
      <c r="A380" s="3">
        <v>45802</v>
      </c>
      <c r="B380" s="4" t="s">
        <v>138</v>
      </c>
      <c r="C380" s="4" t="s">
        <v>135</v>
      </c>
      <c r="D380" s="4">
        <v>0</v>
      </c>
      <c r="E380" s="4">
        <v>1</v>
      </c>
      <c r="F380" s="4" t="s">
        <v>130</v>
      </c>
      <c r="G380" s="4">
        <v>0</v>
      </c>
      <c r="H380" s="4">
        <v>0</v>
      </c>
      <c r="I380" s="4">
        <v>17</v>
      </c>
      <c r="J380" s="4">
        <v>14</v>
      </c>
      <c r="K380" s="4">
        <v>6</v>
      </c>
      <c r="L380" s="4">
        <v>6</v>
      </c>
      <c r="M380" s="4">
        <v>12</v>
      </c>
      <c r="N380" s="4">
        <v>9</v>
      </c>
      <c r="O380" s="4">
        <v>12</v>
      </c>
      <c r="P380" s="4">
        <v>3</v>
      </c>
    </row>
    <row r="381" spans="1:16" ht="27.9" customHeight="1" x14ac:dyDescent="0.3">
      <c r="A381" s="3">
        <v>45802</v>
      </c>
      <c r="B381" s="4" t="s">
        <v>141</v>
      </c>
      <c r="C381" s="4" t="s">
        <v>151</v>
      </c>
      <c r="D381" s="4">
        <v>0</v>
      </c>
      <c r="E381" s="4">
        <v>1</v>
      </c>
      <c r="F381" s="4" t="s">
        <v>130</v>
      </c>
      <c r="G381" s="4">
        <v>0</v>
      </c>
      <c r="H381" s="4">
        <v>0</v>
      </c>
      <c r="I381" s="4">
        <v>10</v>
      </c>
      <c r="J381" s="4">
        <v>6</v>
      </c>
      <c r="K381" s="4">
        <v>2</v>
      </c>
      <c r="L381" s="4">
        <v>2</v>
      </c>
      <c r="M381" s="4">
        <v>10</v>
      </c>
      <c r="N381" s="4">
        <v>11</v>
      </c>
      <c r="O381" s="4">
        <v>7</v>
      </c>
      <c r="P381" s="4">
        <v>4</v>
      </c>
    </row>
    <row r="382" spans="1:16" ht="27.9" customHeight="1" x14ac:dyDescent="0.3">
      <c r="A382" s="3">
        <v>45802</v>
      </c>
      <c r="B382" s="4" t="s">
        <v>139</v>
      </c>
      <c r="C382" s="4" t="s">
        <v>132</v>
      </c>
      <c r="D382" s="4">
        <v>1</v>
      </c>
      <c r="E382" s="4">
        <v>2</v>
      </c>
      <c r="F382" s="4" t="s">
        <v>130</v>
      </c>
      <c r="G382" s="4">
        <v>0</v>
      </c>
      <c r="H382" s="4">
        <v>1</v>
      </c>
      <c r="I382" s="4">
        <v>7</v>
      </c>
      <c r="J382" s="4">
        <v>23</v>
      </c>
      <c r="K382" s="4">
        <v>2</v>
      </c>
      <c r="L382" s="4">
        <v>8</v>
      </c>
      <c r="M382" s="4">
        <v>7</v>
      </c>
      <c r="N382" s="4">
        <v>8</v>
      </c>
      <c r="O382" s="4">
        <v>5</v>
      </c>
      <c r="P382" s="4">
        <v>8</v>
      </c>
    </row>
    <row r="383" spans="1:16" ht="27.9" customHeight="1" x14ac:dyDescent="0.3">
      <c r="A383" s="3">
        <v>45802</v>
      </c>
      <c r="B383" s="4" t="s">
        <v>156</v>
      </c>
      <c r="C383" s="4" t="s">
        <v>136</v>
      </c>
      <c r="D383" s="4">
        <v>1</v>
      </c>
      <c r="E383" s="4">
        <v>4</v>
      </c>
      <c r="F383" s="4" t="s">
        <v>130</v>
      </c>
      <c r="G383" s="4">
        <v>1</v>
      </c>
      <c r="H383" s="4">
        <v>0</v>
      </c>
      <c r="I383" s="4">
        <v>4</v>
      </c>
      <c r="J383" s="4">
        <v>23</v>
      </c>
      <c r="K383" s="4">
        <v>2</v>
      </c>
      <c r="L383" s="4">
        <v>8</v>
      </c>
      <c r="M383" s="4">
        <v>13</v>
      </c>
      <c r="N383" s="4">
        <v>8</v>
      </c>
      <c r="O383" s="4">
        <v>2</v>
      </c>
      <c r="P383" s="4">
        <v>11</v>
      </c>
    </row>
    <row r="384" spans="1:16" ht="27.9" customHeight="1" x14ac:dyDescent="0.3">
      <c r="A384" s="3">
        <v>45802</v>
      </c>
      <c r="B384" s="4" t="s">
        <v>133</v>
      </c>
      <c r="C384" s="4" t="s">
        <v>148</v>
      </c>
      <c r="D384" s="4">
        <v>1</v>
      </c>
      <c r="E384" s="4">
        <v>1</v>
      </c>
      <c r="F384" s="4" t="s">
        <v>125</v>
      </c>
      <c r="G384" s="4">
        <v>0</v>
      </c>
      <c r="H384" s="4">
        <v>1</v>
      </c>
      <c r="I384" s="4">
        <v>18</v>
      </c>
      <c r="J384" s="4">
        <v>13</v>
      </c>
      <c r="K384" s="4">
        <v>6</v>
      </c>
      <c r="L384" s="4">
        <v>7</v>
      </c>
      <c r="M384" s="4">
        <v>7</v>
      </c>
      <c r="N384" s="4">
        <v>9</v>
      </c>
      <c r="O384" s="4">
        <v>8</v>
      </c>
      <c r="P384" s="4">
        <v>3</v>
      </c>
    </row>
  </sheetData>
  <mergeCells count="4">
    <mergeCell ref="A3:W3"/>
    <mergeCell ref="Q4:Q20"/>
    <mergeCell ref="R20:W20"/>
    <mergeCell ref="W4:W19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C4BD-6476-4FC6-8516-300D9657E2EB}">
  <dimension ref="A3:S764"/>
  <sheetViews>
    <sheetView tabSelected="1" zoomScale="88" workbookViewId="0">
      <selection activeCell="A4" sqref="A4"/>
    </sheetView>
  </sheetViews>
  <sheetFormatPr defaultColWidth="12.21875" defaultRowHeight="27.9" customHeight="1" x14ac:dyDescent="0.3"/>
  <cols>
    <col min="5" max="5" width="15.6640625" customWidth="1"/>
  </cols>
  <sheetData>
    <row r="3" spans="1:19" ht="27.9" customHeight="1" x14ac:dyDescent="0.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</row>
    <row r="4" spans="1:19" ht="37.799999999999997" customHeight="1" x14ac:dyDescent="0.3">
      <c r="A4" s="6" t="s">
        <v>1</v>
      </c>
      <c r="B4" s="6" t="s">
        <v>239</v>
      </c>
      <c r="C4" s="6" t="s">
        <v>240</v>
      </c>
      <c r="D4" s="6" t="s">
        <v>287</v>
      </c>
      <c r="E4" s="6" t="s">
        <v>288</v>
      </c>
      <c r="F4" s="6" t="s">
        <v>7</v>
      </c>
      <c r="G4" s="6" t="s">
        <v>242</v>
      </c>
      <c r="H4" s="6" t="s">
        <v>243</v>
      </c>
      <c r="I4" s="6" t="s">
        <v>244</v>
      </c>
      <c r="J4" s="6" t="s">
        <v>245</v>
      </c>
      <c r="K4" s="6" t="s">
        <v>248</v>
      </c>
      <c r="L4" s="84"/>
      <c r="R4" s="84"/>
      <c r="S4" s="84"/>
    </row>
    <row r="5" spans="1:19" ht="27.9" customHeight="1" x14ac:dyDescent="0.3">
      <c r="A5" s="3">
        <v>45520</v>
      </c>
      <c r="B5" s="4" t="s">
        <v>122</v>
      </c>
      <c r="C5" s="4" t="s">
        <v>123</v>
      </c>
      <c r="D5" s="4">
        <v>1</v>
      </c>
      <c r="E5" s="4">
        <v>0</v>
      </c>
      <c r="F5" s="4" t="s">
        <v>124</v>
      </c>
      <c r="G5" s="4">
        <v>14</v>
      </c>
      <c r="H5" s="4">
        <v>5</v>
      </c>
      <c r="I5" s="4" t="s">
        <v>246</v>
      </c>
      <c r="J5" s="7">
        <v>3</v>
      </c>
      <c r="K5" s="4" t="s">
        <v>249</v>
      </c>
      <c r="L5" s="84"/>
      <c r="R5" s="84"/>
      <c r="S5" s="84"/>
    </row>
    <row r="6" spans="1:19" ht="27.9" customHeight="1" x14ac:dyDescent="0.3">
      <c r="A6" s="3">
        <v>45521</v>
      </c>
      <c r="B6" s="4" t="s">
        <v>128</v>
      </c>
      <c r="C6" s="4" t="s">
        <v>129</v>
      </c>
      <c r="D6" s="4">
        <v>0</v>
      </c>
      <c r="E6" s="4">
        <v>2</v>
      </c>
      <c r="F6" s="4" t="s">
        <v>130</v>
      </c>
      <c r="G6" s="4">
        <v>7</v>
      </c>
      <c r="H6" s="4">
        <v>2</v>
      </c>
      <c r="I6" s="4" t="s">
        <v>246</v>
      </c>
      <c r="J6" s="7">
        <v>0</v>
      </c>
      <c r="K6" s="4" t="s">
        <v>250</v>
      </c>
      <c r="L6" s="84"/>
      <c r="R6" s="84"/>
      <c r="S6" s="84"/>
    </row>
    <row r="7" spans="1:19" ht="27.9" customHeight="1" x14ac:dyDescent="0.3">
      <c r="A7" s="3">
        <v>45521</v>
      </c>
      <c r="B7" s="4" t="s">
        <v>132</v>
      </c>
      <c r="C7" s="4" t="s">
        <v>133</v>
      </c>
      <c r="D7" s="4">
        <v>2</v>
      </c>
      <c r="E7" s="4">
        <v>0</v>
      </c>
      <c r="F7" s="4" t="s">
        <v>124</v>
      </c>
      <c r="G7" s="4">
        <v>18</v>
      </c>
      <c r="H7" s="4">
        <v>6</v>
      </c>
      <c r="I7" s="4" t="s">
        <v>246</v>
      </c>
      <c r="J7" s="7">
        <v>3</v>
      </c>
      <c r="K7" s="4" t="s">
        <v>249</v>
      </c>
      <c r="L7" s="84"/>
      <c r="R7" s="84"/>
      <c r="S7" s="84"/>
    </row>
    <row r="8" spans="1:19" ht="27.9" customHeight="1" x14ac:dyDescent="0.3">
      <c r="A8" s="3">
        <v>45521</v>
      </c>
      <c r="B8" s="4" t="s">
        <v>135</v>
      </c>
      <c r="C8" s="4" t="s">
        <v>136</v>
      </c>
      <c r="D8" s="4">
        <v>0</v>
      </c>
      <c r="E8" s="4">
        <v>3</v>
      </c>
      <c r="F8" s="4" t="s">
        <v>130</v>
      </c>
      <c r="G8" s="4">
        <v>9</v>
      </c>
      <c r="H8" s="4">
        <v>1</v>
      </c>
      <c r="I8" s="4" t="s">
        <v>246</v>
      </c>
      <c r="J8" s="7">
        <v>0</v>
      </c>
      <c r="K8" s="4" t="s">
        <v>250</v>
      </c>
      <c r="L8" s="84"/>
      <c r="R8" s="84"/>
      <c r="S8" s="84"/>
    </row>
    <row r="9" spans="1:19" ht="27.9" customHeight="1" x14ac:dyDescent="0.3">
      <c r="A9" s="3">
        <v>45521</v>
      </c>
      <c r="B9" s="4" t="s">
        <v>138</v>
      </c>
      <c r="C9" s="4" t="s">
        <v>139</v>
      </c>
      <c r="D9" s="4">
        <v>1</v>
      </c>
      <c r="E9" s="4">
        <v>0</v>
      </c>
      <c r="F9" s="4" t="s">
        <v>124</v>
      </c>
      <c r="G9" s="4">
        <v>3</v>
      </c>
      <c r="H9" s="4">
        <v>1</v>
      </c>
      <c r="I9" s="4" t="s">
        <v>246</v>
      </c>
      <c r="J9" s="7">
        <v>3</v>
      </c>
      <c r="K9" s="4" t="s">
        <v>249</v>
      </c>
      <c r="L9" s="84"/>
      <c r="R9" s="84"/>
      <c r="S9" s="84"/>
    </row>
    <row r="10" spans="1:19" ht="27.9" customHeight="1" x14ac:dyDescent="0.3">
      <c r="A10" s="3">
        <v>45521</v>
      </c>
      <c r="B10" s="4" t="s">
        <v>141</v>
      </c>
      <c r="C10" s="4" t="s">
        <v>142</v>
      </c>
      <c r="D10" s="4">
        <v>1</v>
      </c>
      <c r="E10" s="4">
        <v>1</v>
      </c>
      <c r="F10" s="4" t="s">
        <v>125</v>
      </c>
      <c r="G10" s="4">
        <v>14</v>
      </c>
      <c r="H10" s="4">
        <v>8</v>
      </c>
      <c r="I10" s="4" t="s">
        <v>246</v>
      </c>
      <c r="J10" s="7">
        <v>1</v>
      </c>
      <c r="K10" s="4" t="s">
        <v>125</v>
      </c>
      <c r="L10" s="84"/>
      <c r="R10" s="84"/>
      <c r="S10" s="84"/>
    </row>
    <row r="11" spans="1:19" ht="27.9" customHeight="1" x14ac:dyDescent="0.3">
      <c r="A11" s="3">
        <v>45521</v>
      </c>
      <c r="B11" s="4" t="s">
        <v>144</v>
      </c>
      <c r="C11" s="4" t="s">
        <v>145</v>
      </c>
      <c r="D11" s="4">
        <v>1</v>
      </c>
      <c r="E11" s="4">
        <v>2</v>
      </c>
      <c r="F11" s="4" t="s">
        <v>130</v>
      </c>
      <c r="G11" s="4">
        <v>14</v>
      </c>
      <c r="H11" s="4">
        <v>3</v>
      </c>
      <c r="I11" s="4" t="s">
        <v>246</v>
      </c>
      <c r="J11" s="7">
        <v>0</v>
      </c>
      <c r="K11" s="4" t="s">
        <v>250</v>
      </c>
      <c r="L11" s="84"/>
      <c r="R11" s="84"/>
      <c r="S11" s="84"/>
    </row>
    <row r="12" spans="1:19" ht="27.9" customHeight="1" x14ac:dyDescent="0.3">
      <c r="A12" s="3">
        <v>45522</v>
      </c>
      <c r="B12" s="4" t="s">
        <v>148</v>
      </c>
      <c r="C12" s="4" t="s">
        <v>149</v>
      </c>
      <c r="D12" s="4">
        <v>2</v>
      </c>
      <c r="E12" s="4">
        <v>1</v>
      </c>
      <c r="F12" s="4" t="s">
        <v>124</v>
      </c>
      <c r="G12" s="4">
        <v>9</v>
      </c>
      <c r="H12" s="4">
        <v>5</v>
      </c>
      <c r="I12" s="4" t="s">
        <v>246</v>
      </c>
      <c r="J12" s="7">
        <v>3</v>
      </c>
      <c r="K12" s="4" t="s">
        <v>249</v>
      </c>
      <c r="L12" s="84"/>
      <c r="R12" s="84"/>
      <c r="S12" s="84"/>
    </row>
    <row r="13" spans="1:19" ht="27.9" customHeight="1" x14ac:dyDescent="0.3">
      <c r="A13" s="3">
        <v>45522</v>
      </c>
      <c r="B13" s="4" t="s">
        <v>151</v>
      </c>
      <c r="C13" s="4" t="s">
        <v>152</v>
      </c>
      <c r="D13" s="4">
        <v>0</v>
      </c>
      <c r="E13" s="4">
        <v>2</v>
      </c>
      <c r="F13" s="4" t="s">
        <v>130</v>
      </c>
      <c r="G13" s="4">
        <v>10</v>
      </c>
      <c r="H13" s="4">
        <v>3</v>
      </c>
      <c r="I13" s="4" t="s">
        <v>246</v>
      </c>
      <c r="J13" s="7">
        <v>0</v>
      </c>
      <c r="K13" s="4" t="s">
        <v>250</v>
      </c>
      <c r="L13" s="84"/>
      <c r="R13" s="84"/>
      <c r="S13" s="84"/>
    </row>
    <row r="14" spans="1:19" ht="27.9" customHeight="1" x14ac:dyDescent="0.3">
      <c r="A14" s="3">
        <v>45523</v>
      </c>
      <c r="B14" s="4" t="s">
        <v>155</v>
      </c>
      <c r="C14" s="4" t="s">
        <v>156</v>
      </c>
      <c r="D14" s="4">
        <v>1</v>
      </c>
      <c r="E14" s="4">
        <v>1</v>
      </c>
      <c r="F14" s="4" t="s">
        <v>125</v>
      </c>
      <c r="G14" s="4">
        <v>7</v>
      </c>
      <c r="H14" s="4">
        <v>3</v>
      </c>
      <c r="I14" s="4" t="s">
        <v>246</v>
      </c>
      <c r="J14" s="7">
        <v>1</v>
      </c>
      <c r="K14" s="4" t="s">
        <v>125</v>
      </c>
      <c r="L14" s="84"/>
      <c r="R14" s="84"/>
      <c r="S14" s="84"/>
    </row>
    <row r="15" spans="1:19" ht="27.9" customHeight="1" x14ac:dyDescent="0.3">
      <c r="A15" s="3">
        <v>45528</v>
      </c>
      <c r="B15" s="4" t="s">
        <v>136</v>
      </c>
      <c r="C15" s="4" t="s">
        <v>122</v>
      </c>
      <c r="D15" s="4">
        <v>2</v>
      </c>
      <c r="E15" s="4">
        <v>1</v>
      </c>
      <c r="F15" s="4" t="s">
        <v>124</v>
      </c>
      <c r="G15" s="4">
        <v>14</v>
      </c>
      <c r="H15" s="4">
        <v>5</v>
      </c>
      <c r="I15" s="4" t="s">
        <v>246</v>
      </c>
      <c r="J15" s="7">
        <v>3</v>
      </c>
      <c r="K15" s="4" t="s">
        <v>249</v>
      </c>
      <c r="L15" s="84"/>
      <c r="R15" s="84"/>
      <c r="S15" s="84"/>
    </row>
    <row r="16" spans="1:19" ht="27.9" customHeight="1" x14ac:dyDescent="0.3">
      <c r="A16" s="3">
        <v>45528</v>
      </c>
      <c r="B16" s="4" t="s">
        <v>149</v>
      </c>
      <c r="C16" s="4" t="s">
        <v>144</v>
      </c>
      <c r="D16" s="4">
        <v>0</v>
      </c>
      <c r="E16" s="4">
        <v>2</v>
      </c>
      <c r="F16" s="4" t="s">
        <v>130</v>
      </c>
      <c r="G16" s="4">
        <v>14</v>
      </c>
      <c r="H16" s="4">
        <v>2</v>
      </c>
      <c r="I16" s="4" t="s">
        <v>246</v>
      </c>
      <c r="J16" s="7">
        <v>0</v>
      </c>
      <c r="K16" s="4" t="s">
        <v>250</v>
      </c>
      <c r="L16" s="84"/>
      <c r="R16" s="84"/>
      <c r="S16" s="84"/>
    </row>
    <row r="17" spans="1:19" ht="27.9" customHeight="1" x14ac:dyDescent="0.3">
      <c r="A17" s="3">
        <v>45528</v>
      </c>
      <c r="B17" s="4" t="s">
        <v>123</v>
      </c>
      <c r="C17" s="4" t="s">
        <v>155</v>
      </c>
      <c r="D17" s="4">
        <v>2</v>
      </c>
      <c r="E17" s="4">
        <v>1</v>
      </c>
      <c r="F17" s="4" t="s">
        <v>124</v>
      </c>
      <c r="G17" s="4">
        <v>18</v>
      </c>
      <c r="H17" s="4">
        <v>6</v>
      </c>
      <c r="I17" s="4" t="s">
        <v>246</v>
      </c>
      <c r="J17" s="7">
        <v>3</v>
      </c>
      <c r="K17" s="4" t="s">
        <v>249</v>
      </c>
      <c r="L17" s="84"/>
      <c r="R17" s="84"/>
      <c r="S17" s="84"/>
    </row>
    <row r="18" spans="1:19" ht="27.9" customHeight="1" x14ac:dyDescent="0.3">
      <c r="A18" s="3">
        <v>45528</v>
      </c>
      <c r="B18" s="4" t="s">
        <v>152</v>
      </c>
      <c r="C18" s="4" t="s">
        <v>128</v>
      </c>
      <c r="D18" s="4">
        <v>4</v>
      </c>
      <c r="E18" s="4">
        <v>1</v>
      </c>
      <c r="F18" s="4" t="s">
        <v>124</v>
      </c>
      <c r="G18" s="4">
        <v>14</v>
      </c>
      <c r="H18" s="4">
        <v>5</v>
      </c>
      <c r="I18" s="4" t="s">
        <v>246</v>
      </c>
      <c r="J18" s="7">
        <v>3</v>
      </c>
      <c r="K18" s="4" t="s">
        <v>249</v>
      </c>
      <c r="L18" s="84"/>
      <c r="M18" s="84"/>
      <c r="N18" s="84"/>
      <c r="O18" s="84"/>
      <c r="P18" s="84"/>
      <c r="Q18" s="84"/>
      <c r="R18" s="84"/>
      <c r="S18" s="84"/>
    </row>
    <row r="19" spans="1:19" ht="27.9" customHeight="1" x14ac:dyDescent="0.3">
      <c r="A19" s="3">
        <v>45528</v>
      </c>
      <c r="B19" s="4" t="s">
        <v>139</v>
      </c>
      <c r="C19" s="4" t="s">
        <v>141</v>
      </c>
      <c r="D19" s="4">
        <v>0</v>
      </c>
      <c r="E19" s="4">
        <v>1</v>
      </c>
      <c r="F19" s="4" t="s">
        <v>130</v>
      </c>
      <c r="G19" s="4">
        <v>5</v>
      </c>
      <c r="H19" s="4">
        <v>1</v>
      </c>
      <c r="I19" s="4" t="s">
        <v>246</v>
      </c>
      <c r="J19" s="7">
        <v>0</v>
      </c>
      <c r="K19" s="4" t="s">
        <v>250</v>
      </c>
      <c r="L19" s="84"/>
      <c r="M19" s="84"/>
      <c r="N19" s="84"/>
      <c r="O19" s="84"/>
      <c r="P19" s="84"/>
      <c r="Q19" s="84"/>
      <c r="R19" s="84"/>
      <c r="S19" s="84"/>
    </row>
    <row r="20" spans="1:19" ht="27.9" customHeight="1" x14ac:dyDescent="0.3">
      <c r="A20" s="3">
        <v>45528</v>
      </c>
      <c r="B20" s="4" t="s">
        <v>156</v>
      </c>
      <c r="C20" s="4" t="s">
        <v>135</v>
      </c>
      <c r="D20" s="4">
        <v>4</v>
      </c>
      <c r="E20" s="4">
        <v>0</v>
      </c>
      <c r="F20" s="4" t="s">
        <v>124</v>
      </c>
      <c r="G20" s="4">
        <v>13</v>
      </c>
      <c r="H20" s="4">
        <v>7</v>
      </c>
      <c r="I20" s="4" t="s">
        <v>246</v>
      </c>
      <c r="J20" s="7">
        <v>3</v>
      </c>
      <c r="K20" s="4" t="s">
        <v>249</v>
      </c>
      <c r="L20" s="84"/>
      <c r="R20" s="84"/>
      <c r="S20" s="84"/>
    </row>
    <row r="21" spans="1:19" ht="27.9" customHeight="1" x14ac:dyDescent="0.3">
      <c r="A21" s="3">
        <v>45528</v>
      </c>
      <c r="B21" s="4" t="s">
        <v>145</v>
      </c>
      <c r="C21" s="4" t="s">
        <v>132</v>
      </c>
      <c r="D21" s="4">
        <v>0</v>
      </c>
      <c r="E21" s="4">
        <v>2</v>
      </c>
      <c r="F21" s="4" t="s">
        <v>130</v>
      </c>
      <c r="G21" s="4">
        <v>11</v>
      </c>
      <c r="H21" s="4">
        <v>3</v>
      </c>
      <c r="I21" s="4" t="s">
        <v>246</v>
      </c>
      <c r="J21" s="7">
        <v>0</v>
      </c>
      <c r="K21" s="4" t="s">
        <v>250</v>
      </c>
      <c r="L21" s="84"/>
      <c r="R21" s="84"/>
      <c r="S21" s="84"/>
    </row>
    <row r="22" spans="1:19" ht="27.9" customHeight="1" x14ac:dyDescent="0.3">
      <c r="A22" s="3">
        <v>45529</v>
      </c>
      <c r="B22" s="4" t="s">
        <v>142</v>
      </c>
      <c r="C22" s="4" t="s">
        <v>138</v>
      </c>
      <c r="D22" s="4">
        <v>1</v>
      </c>
      <c r="E22" s="4">
        <v>1</v>
      </c>
      <c r="F22" s="4" t="s">
        <v>125</v>
      </c>
      <c r="G22" s="4">
        <v>16</v>
      </c>
      <c r="H22" s="4">
        <v>4</v>
      </c>
      <c r="I22" s="4" t="s">
        <v>246</v>
      </c>
      <c r="J22" s="7">
        <v>1</v>
      </c>
      <c r="K22" s="4" t="s">
        <v>125</v>
      </c>
      <c r="L22" s="84"/>
      <c r="R22" s="84"/>
      <c r="S22" s="84"/>
    </row>
    <row r="23" spans="1:19" ht="27.9" customHeight="1" x14ac:dyDescent="0.3">
      <c r="A23" s="3">
        <v>45529</v>
      </c>
      <c r="B23" s="4" t="s">
        <v>133</v>
      </c>
      <c r="C23" s="4" t="s">
        <v>151</v>
      </c>
      <c r="D23" s="4">
        <v>2</v>
      </c>
      <c r="E23" s="4">
        <v>6</v>
      </c>
      <c r="F23" s="4" t="s">
        <v>130</v>
      </c>
      <c r="G23" s="4">
        <v>12</v>
      </c>
      <c r="H23" s="4">
        <v>4</v>
      </c>
      <c r="I23" s="4" t="s">
        <v>246</v>
      </c>
      <c r="J23" s="7">
        <v>0</v>
      </c>
      <c r="K23" s="4" t="s">
        <v>250</v>
      </c>
      <c r="L23" s="84"/>
      <c r="R23" s="84"/>
      <c r="S23" s="84"/>
    </row>
    <row r="24" spans="1:19" ht="27.9" customHeight="1" x14ac:dyDescent="0.3">
      <c r="A24" s="3">
        <v>45529</v>
      </c>
      <c r="B24" s="4" t="s">
        <v>129</v>
      </c>
      <c r="C24" s="4" t="s">
        <v>148</v>
      </c>
      <c r="D24" s="4">
        <v>2</v>
      </c>
      <c r="E24" s="4">
        <v>0</v>
      </c>
      <c r="F24" s="4" t="s">
        <v>124</v>
      </c>
      <c r="G24" s="4">
        <v>19</v>
      </c>
      <c r="H24" s="4">
        <v>8</v>
      </c>
      <c r="I24" s="4" t="s">
        <v>246</v>
      </c>
      <c r="J24" s="7">
        <v>3</v>
      </c>
      <c r="K24" s="4" t="s">
        <v>249</v>
      </c>
      <c r="L24" s="84"/>
      <c r="R24" s="84"/>
      <c r="S24" s="84"/>
    </row>
    <row r="25" spans="1:19" ht="27.9" customHeight="1" x14ac:dyDescent="0.3">
      <c r="A25" s="3">
        <v>45535</v>
      </c>
      <c r="B25" s="4" t="s">
        <v>132</v>
      </c>
      <c r="C25" s="4" t="s">
        <v>136</v>
      </c>
      <c r="D25" s="4">
        <v>1</v>
      </c>
      <c r="E25" s="4">
        <v>1</v>
      </c>
      <c r="F25" s="4" t="s">
        <v>125</v>
      </c>
      <c r="G25" s="4">
        <v>11</v>
      </c>
      <c r="H25" s="4">
        <v>7</v>
      </c>
      <c r="I25" s="4" t="s">
        <v>246</v>
      </c>
      <c r="J25" s="7">
        <v>1</v>
      </c>
      <c r="K25" s="4" t="s">
        <v>125</v>
      </c>
      <c r="L25" s="84"/>
      <c r="R25" s="84"/>
      <c r="S25" s="84"/>
    </row>
    <row r="26" spans="1:19" ht="27.9" customHeight="1" x14ac:dyDescent="0.3">
      <c r="A26" s="3">
        <v>45535</v>
      </c>
      <c r="B26" s="4" t="s">
        <v>148</v>
      </c>
      <c r="C26" s="4" t="s">
        <v>139</v>
      </c>
      <c r="D26" s="4">
        <v>3</v>
      </c>
      <c r="E26" s="4">
        <v>1</v>
      </c>
      <c r="F26" s="4" t="s">
        <v>124</v>
      </c>
      <c r="G26" s="4">
        <v>20</v>
      </c>
      <c r="H26" s="4">
        <v>7</v>
      </c>
      <c r="I26" s="4" t="s">
        <v>246</v>
      </c>
      <c r="J26" s="7">
        <v>3</v>
      </c>
      <c r="K26" s="4" t="s">
        <v>249</v>
      </c>
      <c r="L26" s="84"/>
      <c r="M26" s="84"/>
      <c r="N26" s="84"/>
      <c r="O26" s="84"/>
      <c r="P26" s="84"/>
      <c r="Q26" s="84"/>
      <c r="R26" s="84"/>
      <c r="S26" s="84"/>
    </row>
    <row r="27" spans="1:19" ht="27.9" customHeight="1" x14ac:dyDescent="0.3">
      <c r="A27" s="3">
        <v>45535</v>
      </c>
      <c r="B27" s="4" t="s">
        <v>135</v>
      </c>
      <c r="C27" s="4" t="s">
        <v>142</v>
      </c>
      <c r="D27" s="4">
        <v>2</v>
      </c>
      <c r="E27" s="4">
        <v>3</v>
      </c>
      <c r="F27" s="4" t="s">
        <v>130</v>
      </c>
      <c r="G27" s="4">
        <v>18</v>
      </c>
      <c r="H27" s="4">
        <v>8</v>
      </c>
      <c r="I27" s="4" t="s">
        <v>246</v>
      </c>
      <c r="J27" s="7">
        <v>0</v>
      </c>
      <c r="K27" s="4" t="s">
        <v>250</v>
      </c>
      <c r="L27" s="84"/>
      <c r="M27" s="84"/>
      <c r="N27" s="84"/>
      <c r="O27" s="84"/>
      <c r="P27" s="84"/>
      <c r="Q27" s="84"/>
      <c r="R27" s="84"/>
      <c r="S27" s="84"/>
    </row>
    <row r="28" spans="1:19" ht="27.9" customHeight="1" x14ac:dyDescent="0.3">
      <c r="A28" s="3">
        <v>45535</v>
      </c>
      <c r="B28" s="4" t="s">
        <v>128</v>
      </c>
      <c r="C28" s="4" t="s">
        <v>123</v>
      </c>
      <c r="D28" s="4">
        <v>1</v>
      </c>
      <c r="E28" s="4">
        <v>1</v>
      </c>
      <c r="F28" s="4" t="s">
        <v>125</v>
      </c>
      <c r="G28" s="4">
        <v>11</v>
      </c>
      <c r="H28" s="4">
        <v>4</v>
      </c>
      <c r="I28" s="4" t="s">
        <v>246</v>
      </c>
      <c r="J28" s="7">
        <v>1</v>
      </c>
      <c r="K28" s="4" t="s">
        <v>125</v>
      </c>
    </row>
    <row r="29" spans="1:19" ht="27.9" customHeight="1" x14ac:dyDescent="0.3">
      <c r="A29" s="3">
        <v>45535</v>
      </c>
      <c r="B29" s="4" t="s">
        <v>155</v>
      </c>
      <c r="C29" s="4" t="s">
        <v>145</v>
      </c>
      <c r="D29" s="4">
        <v>1</v>
      </c>
      <c r="E29" s="4">
        <v>2</v>
      </c>
      <c r="F29" s="4" t="s">
        <v>130</v>
      </c>
      <c r="G29" s="4">
        <v>9</v>
      </c>
      <c r="H29" s="4">
        <v>3</v>
      </c>
      <c r="I29" s="4" t="s">
        <v>246</v>
      </c>
      <c r="J29" s="7">
        <v>0</v>
      </c>
      <c r="K29" s="4" t="s">
        <v>250</v>
      </c>
    </row>
    <row r="30" spans="1:19" ht="27.9" customHeight="1" x14ac:dyDescent="0.3">
      <c r="A30" s="3">
        <v>45535</v>
      </c>
      <c r="B30" s="4" t="s">
        <v>141</v>
      </c>
      <c r="C30" s="4" t="s">
        <v>133</v>
      </c>
      <c r="D30" s="4">
        <v>1</v>
      </c>
      <c r="E30" s="4">
        <v>1</v>
      </c>
      <c r="F30" s="4" t="s">
        <v>125</v>
      </c>
      <c r="G30" s="4">
        <v>16</v>
      </c>
      <c r="H30" s="4">
        <v>5</v>
      </c>
      <c r="I30" s="4" t="s">
        <v>246</v>
      </c>
      <c r="J30" s="7">
        <v>1</v>
      </c>
      <c r="K30" s="4" t="s">
        <v>125</v>
      </c>
    </row>
    <row r="31" spans="1:19" ht="27.9" customHeight="1" x14ac:dyDescent="0.3">
      <c r="A31" s="3">
        <v>45535</v>
      </c>
      <c r="B31" s="4" t="s">
        <v>144</v>
      </c>
      <c r="C31" s="4" t="s">
        <v>152</v>
      </c>
      <c r="D31" s="4">
        <v>1</v>
      </c>
      <c r="E31" s="4">
        <v>3</v>
      </c>
      <c r="F31" s="4" t="s">
        <v>130</v>
      </c>
      <c r="G31" s="4">
        <v>10</v>
      </c>
      <c r="H31" s="4">
        <v>2</v>
      </c>
      <c r="I31" s="4" t="s">
        <v>246</v>
      </c>
      <c r="J31" s="7">
        <v>0</v>
      </c>
      <c r="K31" s="4" t="s">
        <v>250</v>
      </c>
    </row>
    <row r="32" spans="1:19" ht="27.9" customHeight="1" x14ac:dyDescent="0.3">
      <c r="A32" s="3">
        <v>45536</v>
      </c>
      <c r="B32" s="4" t="s">
        <v>151</v>
      </c>
      <c r="C32" s="4" t="s">
        <v>149</v>
      </c>
      <c r="D32" s="4">
        <v>1</v>
      </c>
      <c r="E32" s="4">
        <v>1</v>
      </c>
      <c r="F32" s="4" t="s">
        <v>125</v>
      </c>
      <c r="G32" s="4">
        <v>13</v>
      </c>
      <c r="H32" s="4">
        <v>7</v>
      </c>
      <c r="I32" s="4" t="s">
        <v>246</v>
      </c>
      <c r="J32" s="7">
        <v>1</v>
      </c>
      <c r="K32" s="4" t="s">
        <v>125</v>
      </c>
    </row>
    <row r="33" spans="1:11" ht="27.9" customHeight="1" x14ac:dyDescent="0.3">
      <c r="A33" s="3">
        <v>45536</v>
      </c>
      <c r="B33" s="4" t="s">
        <v>138</v>
      </c>
      <c r="C33" s="4" t="s">
        <v>156</v>
      </c>
      <c r="D33" s="4">
        <v>2</v>
      </c>
      <c r="E33" s="4">
        <v>1</v>
      </c>
      <c r="F33" s="4" t="s">
        <v>124</v>
      </c>
      <c r="G33" s="4">
        <v>9</v>
      </c>
      <c r="H33" s="4">
        <v>3</v>
      </c>
      <c r="I33" s="4" t="s">
        <v>246</v>
      </c>
      <c r="J33" s="7">
        <v>3</v>
      </c>
      <c r="K33" s="4" t="s">
        <v>249</v>
      </c>
    </row>
    <row r="34" spans="1:11" ht="27.9" customHeight="1" x14ac:dyDescent="0.3">
      <c r="A34" s="3">
        <v>45536</v>
      </c>
      <c r="B34" s="4" t="s">
        <v>122</v>
      </c>
      <c r="C34" s="4" t="s">
        <v>129</v>
      </c>
      <c r="D34" s="4">
        <v>0</v>
      </c>
      <c r="E34" s="4">
        <v>3</v>
      </c>
      <c r="F34" s="4" t="s">
        <v>130</v>
      </c>
      <c r="G34" s="4">
        <v>8</v>
      </c>
      <c r="H34" s="4">
        <v>3</v>
      </c>
      <c r="I34" s="4" t="s">
        <v>246</v>
      </c>
      <c r="J34" s="7">
        <v>0</v>
      </c>
      <c r="K34" s="4" t="s">
        <v>250</v>
      </c>
    </row>
    <row r="35" spans="1:11" ht="27.9" customHeight="1" x14ac:dyDescent="0.3">
      <c r="A35" s="3">
        <v>45549</v>
      </c>
      <c r="B35" s="4" t="s">
        <v>139</v>
      </c>
      <c r="C35" s="4" t="s">
        <v>122</v>
      </c>
      <c r="D35" s="4">
        <v>0</v>
      </c>
      <c r="E35" s="4">
        <v>3</v>
      </c>
      <c r="F35" s="4" t="s">
        <v>130</v>
      </c>
      <c r="G35" s="4">
        <v>6</v>
      </c>
      <c r="H35" s="4">
        <v>4</v>
      </c>
      <c r="I35" s="4" t="s">
        <v>246</v>
      </c>
      <c r="J35" s="7">
        <v>0</v>
      </c>
      <c r="K35" s="4" t="s">
        <v>250</v>
      </c>
    </row>
    <row r="36" spans="1:11" ht="27.9" customHeight="1" x14ac:dyDescent="0.3">
      <c r="A36" s="3">
        <v>45549</v>
      </c>
      <c r="B36" s="4" t="s">
        <v>136</v>
      </c>
      <c r="C36" s="4" t="s">
        <v>128</v>
      </c>
      <c r="D36" s="4">
        <v>0</v>
      </c>
      <c r="E36" s="4">
        <v>0</v>
      </c>
      <c r="F36" s="4" t="s">
        <v>125</v>
      </c>
      <c r="G36" s="4">
        <v>21</v>
      </c>
      <c r="H36" s="4">
        <v>6</v>
      </c>
      <c r="I36" s="4" t="s">
        <v>246</v>
      </c>
      <c r="J36" s="7">
        <v>1</v>
      </c>
      <c r="K36" s="4" t="s">
        <v>125</v>
      </c>
    </row>
    <row r="37" spans="1:11" ht="27.9" customHeight="1" x14ac:dyDescent="0.3">
      <c r="A37" s="3">
        <v>45549</v>
      </c>
      <c r="B37" s="4" t="s">
        <v>149</v>
      </c>
      <c r="C37" s="4" t="s">
        <v>155</v>
      </c>
      <c r="D37" s="4">
        <v>2</v>
      </c>
      <c r="E37" s="4">
        <v>2</v>
      </c>
      <c r="F37" s="4" t="s">
        <v>125</v>
      </c>
      <c r="G37" s="4">
        <v>20</v>
      </c>
      <c r="H37" s="4">
        <v>4</v>
      </c>
      <c r="I37" s="4" t="s">
        <v>246</v>
      </c>
      <c r="J37" s="7">
        <v>1</v>
      </c>
      <c r="K37" s="4" t="s">
        <v>125</v>
      </c>
    </row>
    <row r="38" spans="1:11" ht="27.9" customHeight="1" x14ac:dyDescent="0.3">
      <c r="A38" s="3">
        <v>45549</v>
      </c>
      <c r="B38" s="4" t="s">
        <v>123</v>
      </c>
      <c r="C38" s="4" t="s">
        <v>144</v>
      </c>
      <c r="D38" s="4">
        <v>1</v>
      </c>
      <c r="E38" s="4">
        <v>1</v>
      </c>
      <c r="F38" s="4" t="s">
        <v>125</v>
      </c>
      <c r="G38" s="4">
        <v>21</v>
      </c>
      <c r="H38" s="4">
        <v>5</v>
      </c>
      <c r="I38" s="4" t="s">
        <v>246</v>
      </c>
      <c r="J38" s="7">
        <v>1</v>
      </c>
      <c r="K38" s="4" t="s">
        <v>125</v>
      </c>
    </row>
    <row r="39" spans="1:11" ht="27.9" customHeight="1" x14ac:dyDescent="0.3">
      <c r="A39" s="3">
        <v>45549</v>
      </c>
      <c r="B39" s="4" t="s">
        <v>129</v>
      </c>
      <c r="C39" s="4" t="s">
        <v>141</v>
      </c>
      <c r="D39" s="4">
        <v>0</v>
      </c>
      <c r="E39" s="4">
        <v>1</v>
      </c>
      <c r="F39" s="4" t="s">
        <v>130</v>
      </c>
      <c r="G39" s="4">
        <v>14</v>
      </c>
      <c r="H39" s="4">
        <v>5</v>
      </c>
      <c r="I39" s="4" t="s">
        <v>246</v>
      </c>
      <c r="J39" s="7">
        <v>0</v>
      </c>
      <c r="K39" s="4" t="s">
        <v>250</v>
      </c>
    </row>
    <row r="40" spans="1:11" ht="27.9" customHeight="1" x14ac:dyDescent="0.3">
      <c r="A40" s="3">
        <v>45549</v>
      </c>
      <c r="B40" s="4" t="s">
        <v>152</v>
      </c>
      <c r="C40" s="4" t="s">
        <v>148</v>
      </c>
      <c r="D40" s="4">
        <v>2</v>
      </c>
      <c r="E40" s="4">
        <v>1</v>
      </c>
      <c r="F40" s="4" t="s">
        <v>124</v>
      </c>
      <c r="G40" s="4">
        <v>18</v>
      </c>
      <c r="H40" s="4">
        <v>7</v>
      </c>
      <c r="I40" s="4" t="s">
        <v>246</v>
      </c>
      <c r="J40" s="7">
        <v>3</v>
      </c>
      <c r="K40" s="4" t="s">
        <v>249</v>
      </c>
    </row>
    <row r="41" spans="1:11" ht="27.9" customHeight="1" x14ac:dyDescent="0.3">
      <c r="A41" s="3">
        <v>45549</v>
      </c>
      <c r="B41" s="4" t="s">
        <v>145</v>
      </c>
      <c r="C41" s="4" t="s">
        <v>135</v>
      </c>
      <c r="D41" s="4">
        <v>3</v>
      </c>
      <c r="E41" s="4">
        <v>2</v>
      </c>
      <c r="F41" s="4" t="s">
        <v>124</v>
      </c>
      <c r="G41" s="4">
        <v>17</v>
      </c>
      <c r="H41" s="4">
        <v>8</v>
      </c>
      <c r="I41" s="4" t="s">
        <v>246</v>
      </c>
      <c r="J41" s="7">
        <v>3</v>
      </c>
      <c r="K41" s="4" t="s">
        <v>249</v>
      </c>
    </row>
    <row r="42" spans="1:11" ht="27.9" customHeight="1" x14ac:dyDescent="0.3">
      <c r="A42" s="3">
        <v>45549</v>
      </c>
      <c r="B42" s="4" t="s">
        <v>142</v>
      </c>
      <c r="C42" s="4" t="s">
        <v>151</v>
      </c>
      <c r="D42" s="4">
        <v>0</v>
      </c>
      <c r="E42" s="4">
        <v>1</v>
      </c>
      <c r="F42" s="4" t="s">
        <v>130</v>
      </c>
      <c r="G42" s="4">
        <v>19</v>
      </c>
      <c r="H42" s="4">
        <v>7</v>
      </c>
      <c r="I42" s="4" t="s">
        <v>246</v>
      </c>
      <c r="J42" s="7">
        <v>0</v>
      </c>
      <c r="K42" s="4" t="s">
        <v>250</v>
      </c>
    </row>
    <row r="43" spans="1:11" ht="27.9" customHeight="1" x14ac:dyDescent="0.3">
      <c r="A43" s="3">
        <v>45550</v>
      </c>
      <c r="B43" s="4" t="s">
        <v>156</v>
      </c>
      <c r="C43" s="4" t="s">
        <v>132</v>
      </c>
      <c r="D43" s="4">
        <v>0</v>
      </c>
      <c r="E43" s="4">
        <v>1</v>
      </c>
      <c r="F43" s="4" t="s">
        <v>130</v>
      </c>
      <c r="G43" s="4">
        <v>15</v>
      </c>
      <c r="H43" s="4">
        <v>5</v>
      </c>
      <c r="I43" s="4" t="s">
        <v>246</v>
      </c>
      <c r="J43" s="7">
        <v>0</v>
      </c>
      <c r="K43" s="4" t="s">
        <v>250</v>
      </c>
    </row>
    <row r="44" spans="1:11" ht="27.9" customHeight="1" x14ac:dyDescent="0.3">
      <c r="A44" s="3">
        <v>45550</v>
      </c>
      <c r="B44" s="4" t="s">
        <v>133</v>
      </c>
      <c r="C44" s="4" t="s">
        <v>138</v>
      </c>
      <c r="D44" s="4">
        <v>1</v>
      </c>
      <c r="E44" s="4">
        <v>2</v>
      </c>
      <c r="F44" s="4" t="s">
        <v>130</v>
      </c>
      <c r="G44" s="4">
        <v>12</v>
      </c>
      <c r="H44" s="4">
        <v>5</v>
      </c>
      <c r="I44" s="4" t="s">
        <v>246</v>
      </c>
      <c r="J44" s="7">
        <v>0</v>
      </c>
      <c r="K44" s="4" t="s">
        <v>250</v>
      </c>
    </row>
    <row r="45" spans="1:11" ht="27.9" customHeight="1" x14ac:dyDescent="0.3">
      <c r="A45" s="3">
        <v>45556</v>
      </c>
      <c r="B45" s="4" t="s">
        <v>144</v>
      </c>
      <c r="C45" s="4" t="s">
        <v>151</v>
      </c>
      <c r="D45" s="4">
        <v>0</v>
      </c>
      <c r="E45" s="4">
        <v>3</v>
      </c>
      <c r="F45" s="4" t="s">
        <v>130</v>
      </c>
      <c r="G45" s="4">
        <v>15</v>
      </c>
      <c r="H45" s="4">
        <v>7</v>
      </c>
      <c r="I45" s="4" t="s">
        <v>246</v>
      </c>
      <c r="J45" s="7">
        <v>0</v>
      </c>
      <c r="K45" s="4" t="s">
        <v>250</v>
      </c>
    </row>
    <row r="46" spans="1:11" ht="27.9" customHeight="1" x14ac:dyDescent="0.3">
      <c r="A46" s="3">
        <v>45556</v>
      </c>
      <c r="B46" s="4" t="s">
        <v>145</v>
      </c>
      <c r="C46" s="4" t="s">
        <v>133</v>
      </c>
      <c r="D46" s="4">
        <v>3</v>
      </c>
      <c r="E46" s="4">
        <v>1</v>
      </c>
      <c r="F46" s="4" t="s">
        <v>124</v>
      </c>
      <c r="G46" s="4">
        <v>9</v>
      </c>
      <c r="H46" s="4">
        <v>4</v>
      </c>
      <c r="I46" s="4" t="s">
        <v>246</v>
      </c>
      <c r="J46" s="7">
        <v>3</v>
      </c>
      <c r="K46" s="4" t="s">
        <v>249</v>
      </c>
    </row>
    <row r="47" spans="1:11" ht="27.9" customHeight="1" x14ac:dyDescent="0.3">
      <c r="A47" s="3">
        <v>45556</v>
      </c>
      <c r="B47" s="4" t="s">
        <v>123</v>
      </c>
      <c r="C47" s="4" t="s">
        <v>138</v>
      </c>
      <c r="D47" s="4">
        <v>3</v>
      </c>
      <c r="E47" s="4">
        <v>1</v>
      </c>
      <c r="F47" s="4" t="s">
        <v>124</v>
      </c>
      <c r="G47" s="4">
        <v>22</v>
      </c>
      <c r="H47" s="4">
        <v>11</v>
      </c>
      <c r="I47" s="4" t="s">
        <v>246</v>
      </c>
      <c r="J47" s="7">
        <v>3</v>
      </c>
      <c r="K47" s="4" t="s">
        <v>249</v>
      </c>
    </row>
    <row r="48" spans="1:11" ht="27.9" customHeight="1" x14ac:dyDescent="0.3">
      <c r="A48" s="3">
        <v>45556</v>
      </c>
      <c r="B48" s="4" t="s">
        <v>155</v>
      </c>
      <c r="C48" s="4" t="s">
        <v>135</v>
      </c>
      <c r="D48" s="4">
        <v>1</v>
      </c>
      <c r="E48" s="4">
        <v>1</v>
      </c>
      <c r="F48" s="4" t="s">
        <v>125</v>
      </c>
      <c r="G48" s="4">
        <v>12</v>
      </c>
      <c r="H48" s="4">
        <v>2</v>
      </c>
      <c r="I48" s="4" t="s">
        <v>246</v>
      </c>
      <c r="J48" s="7">
        <v>1</v>
      </c>
      <c r="K48" s="4" t="s">
        <v>125</v>
      </c>
    </row>
    <row r="49" spans="1:11" ht="27.9" customHeight="1" x14ac:dyDescent="0.3">
      <c r="A49" s="3">
        <v>45556</v>
      </c>
      <c r="B49" s="4" t="s">
        <v>129</v>
      </c>
      <c r="C49" s="4" t="s">
        <v>142</v>
      </c>
      <c r="D49" s="4">
        <v>3</v>
      </c>
      <c r="E49" s="4">
        <v>0</v>
      </c>
      <c r="F49" s="4" t="s">
        <v>124</v>
      </c>
      <c r="G49" s="4">
        <v>19</v>
      </c>
      <c r="H49" s="4">
        <v>13</v>
      </c>
      <c r="I49" s="4" t="s">
        <v>246</v>
      </c>
      <c r="J49" s="7">
        <v>3</v>
      </c>
      <c r="K49" s="4" t="s">
        <v>249</v>
      </c>
    </row>
    <row r="50" spans="1:11" ht="27.9" customHeight="1" x14ac:dyDescent="0.3">
      <c r="A50" s="3">
        <v>45556</v>
      </c>
      <c r="B50" s="4" t="s">
        <v>139</v>
      </c>
      <c r="C50" s="4" t="s">
        <v>128</v>
      </c>
      <c r="D50" s="4">
        <v>1</v>
      </c>
      <c r="E50" s="4">
        <v>1</v>
      </c>
      <c r="F50" s="4" t="s">
        <v>125</v>
      </c>
      <c r="G50" s="4">
        <v>11</v>
      </c>
      <c r="H50" s="4">
        <v>3</v>
      </c>
      <c r="I50" s="4" t="s">
        <v>246</v>
      </c>
      <c r="J50" s="7">
        <v>1</v>
      </c>
      <c r="K50" s="4" t="s">
        <v>125</v>
      </c>
    </row>
    <row r="51" spans="1:11" ht="27.9" customHeight="1" x14ac:dyDescent="0.3">
      <c r="A51" s="3">
        <v>45556</v>
      </c>
      <c r="B51" s="4" t="s">
        <v>156</v>
      </c>
      <c r="C51" s="4" t="s">
        <v>148</v>
      </c>
      <c r="D51" s="4">
        <v>3</v>
      </c>
      <c r="E51" s="4">
        <v>1</v>
      </c>
      <c r="F51" s="4" t="s">
        <v>124</v>
      </c>
      <c r="G51" s="4">
        <v>23</v>
      </c>
      <c r="H51" s="4">
        <v>10</v>
      </c>
      <c r="I51" s="4" t="s">
        <v>246</v>
      </c>
      <c r="J51" s="7">
        <v>3</v>
      </c>
      <c r="K51" s="4" t="s">
        <v>249</v>
      </c>
    </row>
    <row r="52" spans="1:11" ht="27.9" customHeight="1" x14ac:dyDescent="0.3">
      <c r="A52" s="3">
        <v>45556</v>
      </c>
      <c r="B52" s="4" t="s">
        <v>149</v>
      </c>
      <c r="C52" s="4" t="s">
        <v>122</v>
      </c>
      <c r="D52" s="4">
        <v>0</v>
      </c>
      <c r="E52" s="4">
        <v>0</v>
      </c>
      <c r="F52" s="4" t="s">
        <v>125</v>
      </c>
      <c r="G52" s="4">
        <v>9</v>
      </c>
      <c r="H52" s="4">
        <v>4</v>
      </c>
      <c r="I52" s="4" t="s">
        <v>246</v>
      </c>
      <c r="J52" s="7">
        <v>1</v>
      </c>
      <c r="K52" s="4" t="s">
        <v>125</v>
      </c>
    </row>
    <row r="53" spans="1:11" ht="27.9" customHeight="1" x14ac:dyDescent="0.3">
      <c r="A53" s="3">
        <v>45557</v>
      </c>
      <c r="B53" s="4" t="s">
        <v>136</v>
      </c>
      <c r="C53" s="4" t="s">
        <v>141</v>
      </c>
      <c r="D53" s="4">
        <v>2</v>
      </c>
      <c r="E53" s="4">
        <v>2</v>
      </c>
      <c r="F53" s="4" t="s">
        <v>125</v>
      </c>
      <c r="G53" s="4">
        <v>14</v>
      </c>
      <c r="H53" s="4">
        <v>3</v>
      </c>
      <c r="I53" s="4" t="s">
        <v>246</v>
      </c>
      <c r="J53" s="7">
        <v>1</v>
      </c>
      <c r="K53" s="4" t="s">
        <v>125</v>
      </c>
    </row>
    <row r="54" spans="1:11" ht="27.9" customHeight="1" x14ac:dyDescent="0.3">
      <c r="A54" s="3">
        <v>45557</v>
      </c>
      <c r="B54" s="4" t="s">
        <v>152</v>
      </c>
      <c r="C54" s="4" t="s">
        <v>132</v>
      </c>
      <c r="D54" s="4">
        <v>2</v>
      </c>
      <c r="E54" s="4">
        <v>2</v>
      </c>
      <c r="F54" s="4" t="s">
        <v>125</v>
      </c>
      <c r="G54" s="4">
        <v>33</v>
      </c>
      <c r="H54" s="4">
        <v>11</v>
      </c>
      <c r="I54" s="4" t="s">
        <v>246</v>
      </c>
      <c r="J54" s="7">
        <v>1</v>
      </c>
      <c r="K54" s="4" t="s">
        <v>125</v>
      </c>
    </row>
    <row r="55" spans="1:11" ht="27.9" customHeight="1" x14ac:dyDescent="0.3">
      <c r="A55" s="3">
        <v>45563</v>
      </c>
      <c r="B55" s="4" t="s">
        <v>138</v>
      </c>
      <c r="C55" s="4" t="s">
        <v>152</v>
      </c>
      <c r="D55" s="4">
        <v>1</v>
      </c>
      <c r="E55" s="4">
        <v>1</v>
      </c>
      <c r="F55" s="4" t="s">
        <v>125</v>
      </c>
      <c r="G55" s="4">
        <v>11</v>
      </c>
      <c r="H55" s="4">
        <v>4</v>
      </c>
      <c r="I55" s="4" t="s">
        <v>246</v>
      </c>
      <c r="J55" s="7">
        <v>1</v>
      </c>
      <c r="K55" s="4" t="s">
        <v>125</v>
      </c>
    </row>
    <row r="56" spans="1:11" ht="27.9" customHeight="1" x14ac:dyDescent="0.3">
      <c r="A56" s="3">
        <v>45563</v>
      </c>
      <c r="B56" s="4" t="s">
        <v>132</v>
      </c>
      <c r="C56" s="4" t="s">
        <v>155</v>
      </c>
      <c r="D56" s="4">
        <v>4</v>
      </c>
      <c r="E56" s="4">
        <v>2</v>
      </c>
      <c r="F56" s="4" t="s">
        <v>124</v>
      </c>
      <c r="G56" s="4">
        <v>36</v>
      </c>
      <c r="H56" s="4">
        <v>16</v>
      </c>
      <c r="I56" s="4" t="s">
        <v>246</v>
      </c>
      <c r="J56" s="7">
        <v>3</v>
      </c>
      <c r="K56" s="4" t="s">
        <v>249</v>
      </c>
    </row>
    <row r="57" spans="1:11" ht="27.9" customHeight="1" x14ac:dyDescent="0.3">
      <c r="A57" s="3">
        <v>45563</v>
      </c>
      <c r="B57" s="4" t="s">
        <v>148</v>
      </c>
      <c r="C57" s="4" t="s">
        <v>144</v>
      </c>
      <c r="D57" s="4">
        <v>1</v>
      </c>
      <c r="E57" s="4">
        <v>1</v>
      </c>
      <c r="F57" s="4" t="s">
        <v>125</v>
      </c>
      <c r="G57" s="4">
        <v>8</v>
      </c>
      <c r="H57" s="4">
        <v>3</v>
      </c>
      <c r="I57" s="4" t="s">
        <v>246</v>
      </c>
      <c r="J57" s="7">
        <v>1</v>
      </c>
      <c r="K57" s="4" t="s">
        <v>125</v>
      </c>
    </row>
    <row r="58" spans="1:11" ht="27.9" customHeight="1" x14ac:dyDescent="0.3">
      <c r="A58" s="3">
        <v>45563</v>
      </c>
      <c r="B58" s="4" t="s">
        <v>151</v>
      </c>
      <c r="C58" s="4" t="s">
        <v>136</v>
      </c>
      <c r="D58" s="4">
        <v>4</v>
      </c>
      <c r="E58" s="4">
        <v>2</v>
      </c>
      <c r="F58" s="4" t="s">
        <v>124</v>
      </c>
      <c r="G58" s="4">
        <v>15</v>
      </c>
      <c r="H58" s="4">
        <v>7</v>
      </c>
      <c r="I58" s="4" t="s">
        <v>246</v>
      </c>
      <c r="J58" s="7">
        <v>3</v>
      </c>
      <c r="K58" s="4" t="s">
        <v>249</v>
      </c>
    </row>
    <row r="59" spans="1:11" ht="27.9" customHeight="1" x14ac:dyDescent="0.3">
      <c r="A59" s="3">
        <v>45563</v>
      </c>
      <c r="B59" s="4" t="s">
        <v>135</v>
      </c>
      <c r="C59" s="4" t="s">
        <v>149</v>
      </c>
      <c r="D59" s="4">
        <v>2</v>
      </c>
      <c r="E59" s="4">
        <v>1</v>
      </c>
      <c r="F59" s="4" t="s">
        <v>124</v>
      </c>
      <c r="G59" s="4">
        <v>8</v>
      </c>
      <c r="H59" s="4">
        <v>2</v>
      </c>
      <c r="I59" s="4" t="s">
        <v>246</v>
      </c>
      <c r="J59" s="7">
        <v>3</v>
      </c>
      <c r="K59" s="4" t="s">
        <v>249</v>
      </c>
    </row>
    <row r="60" spans="1:11" ht="27.9" customHeight="1" x14ac:dyDescent="0.3">
      <c r="A60" s="3">
        <v>45563</v>
      </c>
      <c r="B60" s="4" t="s">
        <v>141</v>
      </c>
      <c r="C60" s="4" t="s">
        <v>123</v>
      </c>
      <c r="D60" s="4">
        <v>0</v>
      </c>
      <c r="E60" s="4">
        <v>1</v>
      </c>
      <c r="F60" s="4" t="s">
        <v>130</v>
      </c>
      <c r="G60" s="4">
        <v>11</v>
      </c>
      <c r="H60" s="4">
        <v>1</v>
      </c>
      <c r="I60" s="4" t="s">
        <v>246</v>
      </c>
      <c r="J60" s="7">
        <v>0</v>
      </c>
      <c r="K60" s="4" t="s">
        <v>250</v>
      </c>
    </row>
    <row r="61" spans="1:11" ht="27.9" customHeight="1" x14ac:dyDescent="0.3">
      <c r="A61" s="3">
        <v>45563</v>
      </c>
      <c r="B61" s="4" t="s">
        <v>133</v>
      </c>
      <c r="C61" s="4" t="s">
        <v>129</v>
      </c>
      <c r="D61" s="4">
        <v>1</v>
      </c>
      <c r="E61" s="4">
        <v>2</v>
      </c>
      <c r="F61" s="4" t="s">
        <v>130</v>
      </c>
      <c r="G61" s="4">
        <v>8</v>
      </c>
      <c r="H61" s="4">
        <v>3</v>
      </c>
      <c r="I61" s="4" t="s">
        <v>246</v>
      </c>
      <c r="J61" s="7">
        <v>0</v>
      </c>
      <c r="K61" s="4" t="s">
        <v>250</v>
      </c>
    </row>
    <row r="62" spans="1:11" ht="27.9" customHeight="1" x14ac:dyDescent="0.3">
      <c r="A62" s="3">
        <v>45564</v>
      </c>
      <c r="B62" s="4" t="s">
        <v>128</v>
      </c>
      <c r="C62" s="4" t="s">
        <v>145</v>
      </c>
      <c r="D62" s="4">
        <v>2</v>
      </c>
      <c r="E62" s="4">
        <v>2</v>
      </c>
      <c r="F62" s="4" t="s">
        <v>125</v>
      </c>
      <c r="G62" s="4">
        <v>15</v>
      </c>
      <c r="H62" s="4">
        <v>5</v>
      </c>
      <c r="I62" s="4" t="s">
        <v>246</v>
      </c>
      <c r="J62" s="7">
        <v>1</v>
      </c>
      <c r="K62" s="4" t="s">
        <v>125</v>
      </c>
    </row>
    <row r="63" spans="1:11" ht="27.9" customHeight="1" x14ac:dyDescent="0.3">
      <c r="A63" s="3">
        <v>45564</v>
      </c>
      <c r="B63" s="4" t="s">
        <v>122</v>
      </c>
      <c r="C63" s="4" t="s">
        <v>156</v>
      </c>
      <c r="D63" s="4">
        <v>0</v>
      </c>
      <c r="E63" s="4">
        <v>3</v>
      </c>
      <c r="F63" s="4" t="s">
        <v>130</v>
      </c>
      <c r="G63" s="4">
        <v>11</v>
      </c>
      <c r="H63" s="4">
        <v>2</v>
      </c>
      <c r="I63" s="4" t="s">
        <v>246</v>
      </c>
      <c r="J63" s="7">
        <v>0</v>
      </c>
      <c r="K63" s="4" t="s">
        <v>250</v>
      </c>
    </row>
    <row r="64" spans="1:11" ht="27.9" customHeight="1" x14ac:dyDescent="0.3">
      <c r="A64" s="3">
        <v>45565</v>
      </c>
      <c r="B64" s="4" t="s">
        <v>142</v>
      </c>
      <c r="C64" s="4" t="s">
        <v>139</v>
      </c>
      <c r="D64" s="4">
        <v>3</v>
      </c>
      <c r="E64" s="4">
        <v>1</v>
      </c>
      <c r="F64" s="4" t="s">
        <v>124</v>
      </c>
      <c r="G64" s="4">
        <v>14</v>
      </c>
      <c r="H64" s="4">
        <v>6</v>
      </c>
      <c r="I64" s="4" t="s">
        <v>246</v>
      </c>
      <c r="J64" s="7">
        <v>3</v>
      </c>
      <c r="K64" s="4" t="s">
        <v>249</v>
      </c>
    </row>
    <row r="65" spans="1:11" ht="27.9" customHeight="1" x14ac:dyDescent="0.3">
      <c r="A65" s="3">
        <v>45570</v>
      </c>
      <c r="B65" s="4" t="s">
        <v>149</v>
      </c>
      <c r="C65" s="4" t="s">
        <v>129</v>
      </c>
      <c r="D65" s="4">
        <v>0</v>
      </c>
      <c r="E65" s="4">
        <v>1</v>
      </c>
      <c r="F65" s="4" t="s">
        <v>130</v>
      </c>
      <c r="G65" s="4">
        <v>9</v>
      </c>
      <c r="H65" s="4">
        <v>5</v>
      </c>
      <c r="I65" s="4" t="s">
        <v>246</v>
      </c>
      <c r="J65" s="7">
        <v>0</v>
      </c>
      <c r="K65" s="4" t="s">
        <v>250</v>
      </c>
    </row>
    <row r="66" spans="1:11" ht="27.9" customHeight="1" x14ac:dyDescent="0.3">
      <c r="A66" s="3">
        <v>45570</v>
      </c>
      <c r="B66" s="4" t="s">
        <v>132</v>
      </c>
      <c r="C66" s="4" t="s">
        <v>139</v>
      </c>
      <c r="D66" s="4">
        <v>3</v>
      </c>
      <c r="E66" s="4">
        <v>1</v>
      </c>
      <c r="F66" s="4" t="s">
        <v>124</v>
      </c>
      <c r="G66" s="4">
        <v>29</v>
      </c>
      <c r="H66" s="4">
        <v>6</v>
      </c>
      <c r="I66" s="4" t="s">
        <v>246</v>
      </c>
      <c r="J66" s="7">
        <v>3</v>
      </c>
      <c r="K66" s="4" t="s">
        <v>249</v>
      </c>
    </row>
    <row r="67" spans="1:11" ht="27.9" customHeight="1" x14ac:dyDescent="0.3">
      <c r="A67" s="3">
        <v>45570</v>
      </c>
      <c r="B67" s="4" t="s">
        <v>148</v>
      </c>
      <c r="C67" s="4" t="s">
        <v>133</v>
      </c>
      <c r="D67" s="4">
        <v>5</v>
      </c>
      <c r="E67" s="4">
        <v>3</v>
      </c>
      <c r="F67" s="4" t="s">
        <v>124</v>
      </c>
      <c r="G67" s="4">
        <v>19</v>
      </c>
      <c r="H67" s="4">
        <v>12</v>
      </c>
      <c r="I67" s="4" t="s">
        <v>246</v>
      </c>
      <c r="J67" s="7">
        <v>3</v>
      </c>
      <c r="K67" s="4" t="s">
        <v>249</v>
      </c>
    </row>
    <row r="68" spans="1:11" ht="27.9" customHeight="1" x14ac:dyDescent="0.3">
      <c r="A68" s="3">
        <v>45570</v>
      </c>
      <c r="B68" s="4" t="s">
        <v>155</v>
      </c>
      <c r="C68" s="4" t="s">
        <v>142</v>
      </c>
      <c r="D68" s="4">
        <v>1</v>
      </c>
      <c r="E68" s="4">
        <v>0</v>
      </c>
      <c r="F68" s="4" t="s">
        <v>124</v>
      </c>
      <c r="G68" s="4">
        <v>6</v>
      </c>
      <c r="H68" s="4">
        <v>2</v>
      </c>
      <c r="I68" s="4" t="s">
        <v>246</v>
      </c>
      <c r="J68" s="7">
        <v>3</v>
      </c>
      <c r="K68" s="4" t="s">
        <v>249</v>
      </c>
    </row>
    <row r="69" spans="1:11" ht="27.9" customHeight="1" x14ac:dyDescent="0.3">
      <c r="A69" s="3">
        <v>45570</v>
      </c>
      <c r="B69" s="4" t="s">
        <v>152</v>
      </c>
      <c r="C69" s="4" t="s">
        <v>123</v>
      </c>
      <c r="D69" s="4">
        <v>3</v>
      </c>
      <c r="E69" s="4">
        <v>2</v>
      </c>
      <c r="F69" s="4" t="s">
        <v>124</v>
      </c>
      <c r="G69" s="4">
        <v>20</v>
      </c>
      <c r="H69" s="4">
        <v>7</v>
      </c>
      <c r="I69" s="4" t="s">
        <v>246</v>
      </c>
      <c r="J69" s="7">
        <v>3</v>
      </c>
      <c r="K69" s="4" t="s">
        <v>249</v>
      </c>
    </row>
    <row r="70" spans="1:11" ht="27.9" customHeight="1" x14ac:dyDescent="0.3">
      <c r="A70" s="3">
        <v>45570</v>
      </c>
      <c r="B70" s="4" t="s">
        <v>144</v>
      </c>
      <c r="C70" s="4" t="s">
        <v>128</v>
      </c>
      <c r="D70" s="4">
        <v>4</v>
      </c>
      <c r="E70" s="4">
        <v>1</v>
      </c>
      <c r="F70" s="4" t="s">
        <v>124</v>
      </c>
      <c r="G70" s="4">
        <v>23</v>
      </c>
      <c r="H70" s="4">
        <v>13</v>
      </c>
      <c r="I70" s="4" t="s">
        <v>246</v>
      </c>
      <c r="J70" s="7">
        <v>3</v>
      </c>
      <c r="K70" s="4" t="s">
        <v>249</v>
      </c>
    </row>
    <row r="71" spans="1:11" ht="27.9" customHeight="1" x14ac:dyDescent="0.3">
      <c r="A71" s="3">
        <v>45570</v>
      </c>
      <c r="B71" s="4" t="s">
        <v>135</v>
      </c>
      <c r="C71" s="4" t="s">
        <v>138</v>
      </c>
      <c r="D71" s="4">
        <v>0</v>
      </c>
      <c r="E71" s="4">
        <v>0</v>
      </c>
      <c r="F71" s="4" t="s">
        <v>125</v>
      </c>
      <c r="G71" s="4">
        <v>8</v>
      </c>
      <c r="H71" s="4">
        <v>2</v>
      </c>
      <c r="I71" s="4" t="s">
        <v>246</v>
      </c>
      <c r="J71" s="7">
        <v>1</v>
      </c>
      <c r="K71" s="4" t="s">
        <v>125</v>
      </c>
    </row>
    <row r="72" spans="1:11" ht="27.9" customHeight="1" x14ac:dyDescent="0.3">
      <c r="A72" s="3">
        <v>45571</v>
      </c>
      <c r="B72" s="4" t="s">
        <v>145</v>
      </c>
      <c r="C72" s="4" t="s">
        <v>122</v>
      </c>
      <c r="D72" s="4">
        <v>0</v>
      </c>
      <c r="E72" s="4">
        <v>0</v>
      </c>
      <c r="F72" s="4" t="s">
        <v>125</v>
      </c>
      <c r="G72" s="4">
        <v>11</v>
      </c>
      <c r="H72" s="4">
        <v>1</v>
      </c>
      <c r="I72" s="4" t="s">
        <v>246</v>
      </c>
      <c r="J72" s="7">
        <v>1</v>
      </c>
      <c r="K72" s="4" t="s">
        <v>125</v>
      </c>
    </row>
    <row r="73" spans="1:11" ht="27.9" customHeight="1" x14ac:dyDescent="0.3">
      <c r="A73" s="3">
        <v>45571</v>
      </c>
      <c r="B73" s="4" t="s">
        <v>151</v>
      </c>
      <c r="C73" s="4" t="s">
        <v>141</v>
      </c>
      <c r="D73" s="4">
        <v>1</v>
      </c>
      <c r="E73" s="4">
        <v>1</v>
      </c>
      <c r="F73" s="4" t="s">
        <v>125</v>
      </c>
      <c r="G73" s="4">
        <v>22</v>
      </c>
      <c r="H73" s="4">
        <v>8</v>
      </c>
      <c r="I73" s="4" t="s">
        <v>246</v>
      </c>
      <c r="J73" s="7">
        <v>1</v>
      </c>
      <c r="K73" s="4" t="s">
        <v>125</v>
      </c>
    </row>
    <row r="74" spans="1:11" ht="27.9" customHeight="1" x14ac:dyDescent="0.3">
      <c r="A74" s="3">
        <v>45571</v>
      </c>
      <c r="B74" s="4" t="s">
        <v>136</v>
      </c>
      <c r="C74" s="4" t="s">
        <v>156</v>
      </c>
      <c r="D74" s="4">
        <v>3</v>
      </c>
      <c r="E74" s="4">
        <v>2</v>
      </c>
      <c r="F74" s="4" t="s">
        <v>124</v>
      </c>
      <c r="G74" s="4">
        <v>11</v>
      </c>
      <c r="H74" s="4">
        <v>4</v>
      </c>
      <c r="I74" s="4" t="s">
        <v>246</v>
      </c>
      <c r="J74" s="7">
        <v>3</v>
      </c>
      <c r="K74" s="4" t="s">
        <v>249</v>
      </c>
    </row>
    <row r="75" spans="1:11" ht="27.9" customHeight="1" x14ac:dyDescent="0.3">
      <c r="A75" s="3">
        <v>45584</v>
      </c>
      <c r="B75" s="4" t="s">
        <v>156</v>
      </c>
      <c r="C75" s="4" t="s">
        <v>144</v>
      </c>
      <c r="D75" s="4">
        <v>4</v>
      </c>
      <c r="E75" s="4">
        <v>1</v>
      </c>
      <c r="F75" s="4" t="s">
        <v>124</v>
      </c>
      <c r="G75" s="4">
        <v>22</v>
      </c>
      <c r="H75" s="4">
        <v>7</v>
      </c>
      <c r="I75" s="4" t="s">
        <v>246</v>
      </c>
      <c r="J75" s="7">
        <v>3</v>
      </c>
      <c r="K75" s="4" t="s">
        <v>249</v>
      </c>
    </row>
    <row r="76" spans="1:11" ht="27.9" customHeight="1" x14ac:dyDescent="0.3">
      <c r="A76" s="3">
        <v>45584</v>
      </c>
      <c r="B76" s="4" t="s">
        <v>123</v>
      </c>
      <c r="C76" s="4" t="s">
        <v>145</v>
      </c>
      <c r="D76" s="4">
        <v>1</v>
      </c>
      <c r="E76" s="4">
        <v>3</v>
      </c>
      <c r="F76" s="4" t="s">
        <v>130</v>
      </c>
      <c r="G76" s="4">
        <v>10</v>
      </c>
      <c r="H76" s="4">
        <v>4</v>
      </c>
      <c r="I76" s="4" t="s">
        <v>246</v>
      </c>
      <c r="J76" s="7">
        <v>0</v>
      </c>
      <c r="K76" s="4" t="s">
        <v>250</v>
      </c>
    </row>
    <row r="77" spans="1:11" ht="27.9" customHeight="1" x14ac:dyDescent="0.3">
      <c r="A77" s="3">
        <v>45584</v>
      </c>
      <c r="B77" s="4" t="s">
        <v>128</v>
      </c>
      <c r="C77" s="4" t="s">
        <v>135</v>
      </c>
      <c r="D77" s="4">
        <v>0</v>
      </c>
      <c r="E77" s="4">
        <v>2</v>
      </c>
      <c r="F77" s="4" t="s">
        <v>130</v>
      </c>
      <c r="G77" s="4">
        <v>13</v>
      </c>
      <c r="H77" s="4">
        <v>2</v>
      </c>
      <c r="I77" s="4" t="s">
        <v>246</v>
      </c>
      <c r="J77" s="7">
        <v>0</v>
      </c>
      <c r="K77" s="4" t="s">
        <v>250</v>
      </c>
    </row>
    <row r="78" spans="1:11" ht="27.9" customHeight="1" x14ac:dyDescent="0.3">
      <c r="A78" s="3">
        <v>45584</v>
      </c>
      <c r="B78" s="4" t="s">
        <v>122</v>
      </c>
      <c r="C78" s="4" t="s">
        <v>148</v>
      </c>
      <c r="D78" s="4">
        <v>2</v>
      </c>
      <c r="E78" s="4">
        <v>1</v>
      </c>
      <c r="F78" s="4" t="s">
        <v>124</v>
      </c>
      <c r="G78" s="4">
        <v>23</v>
      </c>
      <c r="H78" s="4">
        <v>11</v>
      </c>
      <c r="I78" s="4" t="s">
        <v>246</v>
      </c>
      <c r="J78" s="7">
        <v>3</v>
      </c>
      <c r="K78" s="4" t="s">
        <v>249</v>
      </c>
    </row>
    <row r="79" spans="1:11" ht="27.9" customHeight="1" x14ac:dyDescent="0.3">
      <c r="A79" s="3">
        <v>45584</v>
      </c>
      <c r="B79" s="4" t="s">
        <v>138</v>
      </c>
      <c r="C79" s="4" t="s">
        <v>136</v>
      </c>
      <c r="D79" s="4">
        <v>0</v>
      </c>
      <c r="E79" s="4">
        <v>1</v>
      </c>
      <c r="F79" s="4" t="s">
        <v>130</v>
      </c>
      <c r="G79" s="4">
        <v>21</v>
      </c>
      <c r="H79" s="4">
        <v>6</v>
      </c>
      <c r="I79" s="4" t="s">
        <v>246</v>
      </c>
      <c r="J79" s="7">
        <v>0</v>
      </c>
      <c r="K79" s="4" t="s">
        <v>250</v>
      </c>
    </row>
    <row r="80" spans="1:11" ht="27.9" customHeight="1" x14ac:dyDescent="0.3">
      <c r="A80" s="3">
        <v>45584</v>
      </c>
      <c r="B80" s="4" t="s">
        <v>139</v>
      </c>
      <c r="C80" s="4" t="s">
        <v>155</v>
      </c>
      <c r="D80" s="4">
        <v>2</v>
      </c>
      <c r="E80" s="4">
        <v>3</v>
      </c>
      <c r="F80" s="4" t="s">
        <v>130</v>
      </c>
      <c r="G80" s="4">
        <v>14</v>
      </c>
      <c r="H80" s="4">
        <v>7</v>
      </c>
      <c r="I80" s="4" t="s">
        <v>246</v>
      </c>
      <c r="J80" s="7">
        <v>0</v>
      </c>
      <c r="K80" s="4" t="s">
        <v>250</v>
      </c>
    </row>
    <row r="81" spans="1:11" ht="27.9" customHeight="1" x14ac:dyDescent="0.3">
      <c r="A81" s="3">
        <v>45584</v>
      </c>
      <c r="B81" s="4" t="s">
        <v>142</v>
      </c>
      <c r="C81" s="4" t="s">
        <v>132</v>
      </c>
      <c r="D81" s="4">
        <v>2</v>
      </c>
      <c r="E81" s="4">
        <v>0</v>
      </c>
      <c r="F81" s="4" t="s">
        <v>124</v>
      </c>
      <c r="G81" s="4">
        <v>13</v>
      </c>
      <c r="H81" s="4">
        <v>4</v>
      </c>
      <c r="I81" s="4" t="s">
        <v>246</v>
      </c>
      <c r="J81" s="7">
        <v>3</v>
      </c>
      <c r="K81" s="4" t="s">
        <v>249</v>
      </c>
    </row>
    <row r="82" spans="1:11" ht="27.9" customHeight="1" x14ac:dyDescent="0.3">
      <c r="A82" s="3">
        <v>45585</v>
      </c>
      <c r="B82" s="4" t="s">
        <v>133</v>
      </c>
      <c r="C82" s="4" t="s">
        <v>152</v>
      </c>
      <c r="D82" s="4">
        <v>1</v>
      </c>
      <c r="E82" s="4">
        <v>2</v>
      </c>
      <c r="F82" s="4" t="s">
        <v>130</v>
      </c>
      <c r="G82" s="4">
        <v>3</v>
      </c>
      <c r="H82" s="4">
        <v>2</v>
      </c>
      <c r="I82" s="4" t="s">
        <v>246</v>
      </c>
      <c r="J82" s="7">
        <v>0</v>
      </c>
      <c r="K82" s="4" t="s">
        <v>250</v>
      </c>
    </row>
    <row r="83" spans="1:11" ht="27.9" customHeight="1" x14ac:dyDescent="0.3">
      <c r="A83" s="3">
        <v>45585</v>
      </c>
      <c r="B83" s="4" t="s">
        <v>129</v>
      </c>
      <c r="C83" s="4" t="s">
        <v>151</v>
      </c>
      <c r="D83" s="4">
        <v>2</v>
      </c>
      <c r="E83" s="4">
        <v>1</v>
      </c>
      <c r="F83" s="4" t="s">
        <v>124</v>
      </c>
      <c r="G83" s="4">
        <v>9</v>
      </c>
      <c r="H83" s="4">
        <v>5</v>
      </c>
      <c r="I83" s="4" t="s">
        <v>246</v>
      </c>
      <c r="J83" s="7">
        <v>3</v>
      </c>
      <c r="K83" s="4" t="s">
        <v>249</v>
      </c>
    </row>
    <row r="84" spans="1:11" ht="27.9" customHeight="1" x14ac:dyDescent="0.3">
      <c r="A84" s="3">
        <v>45586</v>
      </c>
      <c r="B84" s="4" t="s">
        <v>141</v>
      </c>
      <c r="C84" s="4" t="s">
        <v>149</v>
      </c>
      <c r="D84" s="4">
        <v>1</v>
      </c>
      <c r="E84" s="4">
        <v>0</v>
      </c>
      <c r="F84" s="4" t="s">
        <v>124</v>
      </c>
      <c r="G84" s="4">
        <v>20</v>
      </c>
      <c r="H84" s="4">
        <v>6</v>
      </c>
      <c r="I84" s="4" t="s">
        <v>246</v>
      </c>
      <c r="J84" s="7">
        <v>3</v>
      </c>
      <c r="K84" s="4" t="s">
        <v>249</v>
      </c>
    </row>
    <row r="85" spans="1:11" ht="27.9" customHeight="1" x14ac:dyDescent="0.3">
      <c r="A85" s="3">
        <v>45590</v>
      </c>
      <c r="B85" s="4" t="s">
        <v>155</v>
      </c>
      <c r="C85" s="4" t="s">
        <v>141</v>
      </c>
      <c r="D85" s="4">
        <v>1</v>
      </c>
      <c r="E85" s="4">
        <v>3</v>
      </c>
      <c r="F85" s="4" t="s">
        <v>130</v>
      </c>
      <c r="G85" s="4">
        <v>11</v>
      </c>
      <c r="H85" s="4">
        <v>1</v>
      </c>
      <c r="I85" s="4" t="s">
        <v>246</v>
      </c>
      <c r="J85" s="7">
        <v>0</v>
      </c>
      <c r="K85" s="4" t="s">
        <v>250</v>
      </c>
    </row>
    <row r="86" spans="1:11" ht="27.9" customHeight="1" x14ac:dyDescent="0.3">
      <c r="A86" s="3">
        <v>45591</v>
      </c>
      <c r="B86" s="4" t="s">
        <v>145</v>
      </c>
      <c r="C86" s="4" t="s">
        <v>142</v>
      </c>
      <c r="D86" s="4">
        <v>1</v>
      </c>
      <c r="E86" s="4">
        <v>1</v>
      </c>
      <c r="F86" s="4" t="s">
        <v>125</v>
      </c>
      <c r="G86" s="4">
        <v>18</v>
      </c>
      <c r="H86" s="4">
        <v>8</v>
      </c>
      <c r="I86" s="4" t="s">
        <v>246</v>
      </c>
      <c r="J86" s="7">
        <v>1</v>
      </c>
      <c r="K86" s="4" t="s">
        <v>125</v>
      </c>
    </row>
    <row r="87" spans="1:11" ht="27.9" customHeight="1" x14ac:dyDescent="0.3">
      <c r="A87" s="3">
        <v>45591</v>
      </c>
      <c r="B87" s="4" t="s">
        <v>148</v>
      </c>
      <c r="C87" s="4" t="s">
        <v>128</v>
      </c>
      <c r="D87" s="4">
        <v>4</v>
      </c>
      <c r="E87" s="4">
        <v>3</v>
      </c>
      <c r="F87" s="4" t="s">
        <v>124</v>
      </c>
      <c r="G87" s="4">
        <v>20</v>
      </c>
      <c r="H87" s="4">
        <v>9</v>
      </c>
      <c r="I87" s="4" t="s">
        <v>246</v>
      </c>
      <c r="J87" s="7">
        <v>3</v>
      </c>
      <c r="K87" s="4" t="s">
        <v>249</v>
      </c>
    </row>
    <row r="88" spans="1:11" ht="27.9" customHeight="1" x14ac:dyDescent="0.3">
      <c r="A88" s="3">
        <v>45591</v>
      </c>
      <c r="B88" s="4" t="s">
        <v>136</v>
      </c>
      <c r="C88" s="4" t="s">
        <v>133</v>
      </c>
      <c r="D88" s="4">
        <v>2</v>
      </c>
      <c r="E88" s="4">
        <v>2</v>
      </c>
      <c r="F88" s="4" t="s">
        <v>125</v>
      </c>
      <c r="G88" s="4">
        <v>19</v>
      </c>
      <c r="H88" s="4">
        <v>6</v>
      </c>
      <c r="I88" s="4" t="s">
        <v>246</v>
      </c>
      <c r="J88" s="7">
        <v>1</v>
      </c>
      <c r="K88" s="4" t="s">
        <v>125</v>
      </c>
    </row>
    <row r="89" spans="1:11" ht="27.9" customHeight="1" x14ac:dyDescent="0.3">
      <c r="A89" s="3">
        <v>45591</v>
      </c>
      <c r="B89" s="4" t="s">
        <v>152</v>
      </c>
      <c r="C89" s="4" t="s">
        <v>139</v>
      </c>
      <c r="D89" s="4">
        <v>1</v>
      </c>
      <c r="E89" s="4">
        <v>0</v>
      </c>
      <c r="F89" s="4" t="s">
        <v>124</v>
      </c>
      <c r="G89" s="4">
        <v>22</v>
      </c>
      <c r="H89" s="4">
        <v>8</v>
      </c>
      <c r="I89" s="4" t="s">
        <v>246</v>
      </c>
      <c r="J89" s="7">
        <v>3</v>
      </c>
      <c r="K89" s="4" t="s">
        <v>249</v>
      </c>
    </row>
    <row r="90" spans="1:11" ht="27.9" customHeight="1" x14ac:dyDescent="0.3">
      <c r="A90" s="3">
        <v>45591</v>
      </c>
      <c r="B90" s="4" t="s">
        <v>135</v>
      </c>
      <c r="C90" s="4" t="s">
        <v>123</v>
      </c>
      <c r="D90" s="4">
        <v>1</v>
      </c>
      <c r="E90" s="4">
        <v>1</v>
      </c>
      <c r="F90" s="4" t="s">
        <v>125</v>
      </c>
      <c r="G90" s="4">
        <v>10</v>
      </c>
      <c r="H90" s="4">
        <v>5</v>
      </c>
      <c r="I90" s="4" t="s">
        <v>246</v>
      </c>
      <c r="J90" s="7">
        <v>1</v>
      </c>
      <c r="K90" s="4" t="s">
        <v>125</v>
      </c>
    </row>
    <row r="91" spans="1:11" ht="27.9" customHeight="1" x14ac:dyDescent="0.3">
      <c r="A91" s="3">
        <v>45592</v>
      </c>
      <c r="B91" s="4" t="s">
        <v>151</v>
      </c>
      <c r="C91" s="4" t="s">
        <v>138</v>
      </c>
      <c r="D91" s="4">
        <v>2</v>
      </c>
      <c r="E91" s="4">
        <v>1</v>
      </c>
      <c r="F91" s="4" t="s">
        <v>124</v>
      </c>
      <c r="G91" s="4">
        <v>17</v>
      </c>
      <c r="H91" s="4">
        <v>7</v>
      </c>
      <c r="I91" s="4" t="s">
        <v>246</v>
      </c>
      <c r="J91" s="7">
        <v>3</v>
      </c>
      <c r="K91" s="4" t="s">
        <v>249</v>
      </c>
    </row>
    <row r="92" spans="1:11" ht="27.9" customHeight="1" x14ac:dyDescent="0.3">
      <c r="A92" s="3">
        <v>45592</v>
      </c>
      <c r="B92" s="4" t="s">
        <v>149</v>
      </c>
      <c r="C92" s="4" t="s">
        <v>156</v>
      </c>
      <c r="D92" s="4">
        <v>1</v>
      </c>
      <c r="E92" s="4">
        <v>0</v>
      </c>
      <c r="F92" s="4" t="s">
        <v>124</v>
      </c>
      <c r="G92" s="4">
        <v>14</v>
      </c>
      <c r="H92" s="4">
        <v>6</v>
      </c>
      <c r="I92" s="4" t="s">
        <v>246</v>
      </c>
      <c r="J92" s="7">
        <v>3</v>
      </c>
      <c r="K92" s="4" t="s">
        <v>249</v>
      </c>
    </row>
    <row r="93" spans="1:11" ht="27.9" customHeight="1" x14ac:dyDescent="0.3">
      <c r="A93" s="3">
        <v>45592</v>
      </c>
      <c r="B93" s="4" t="s">
        <v>144</v>
      </c>
      <c r="C93" s="4" t="s">
        <v>122</v>
      </c>
      <c r="D93" s="4">
        <v>2</v>
      </c>
      <c r="E93" s="4">
        <v>1</v>
      </c>
      <c r="F93" s="4" t="s">
        <v>124</v>
      </c>
      <c r="G93" s="4">
        <v>12</v>
      </c>
      <c r="H93" s="4">
        <v>3</v>
      </c>
      <c r="I93" s="4" t="s">
        <v>246</v>
      </c>
      <c r="J93" s="7">
        <v>3</v>
      </c>
      <c r="K93" s="4" t="s">
        <v>249</v>
      </c>
    </row>
    <row r="94" spans="1:11" ht="27.9" customHeight="1" x14ac:dyDescent="0.3">
      <c r="A94" s="3">
        <v>45592</v>
      </c>
      <c r="B94" s="4" t="s">
        <v>132</v>
      </c>
      <c r="C94" s="4" t="s">
        <v>129</v>
      </c>
      <c r="D94" s="4">
        <v>2</v>
      </c>
      <c r="E94" s="4">
        <v>2</v>
      </c>
      <c r="F94" s="4" t="s">
        <v>125</v>
      </c>
      <c r="G94" s="4">
        <v>9</v>
      </c>
      <c r="H94" s="4">
        <v>3</v>
      </c>
      <c r="I94" s="4" t="s">
        <v>246</v>
      </c>
      <c r="J94" s="7">
        <v>1</v>
      </c>
      <c r="K94" s="4" t="s">
        <v>125</v>
      </c>
    </row>
    <row r="95" spans="1:11" ht="27.9" customHeight="1" x14ac:dyDescent="0.3">
      <c r="A95" s="3">
        <v>45598</v>
      </c>
      <c r="B95" s="4" t="s">
        <v>138</v>
      </c>
      <c r="C95" s="4" t="s">
        <v>132</v>
      </c>
      <c r="D95" s="4">
        <v>1</v>
      </c>
      <c r="E95" s="4">
        <v>0</v>
      </c>
      <c r="F95" s="4" t="s">
        <v>124</v>
      </c>
      <c r="G95" s="4">
        <v>9</v>
      </c>
      <c r="H95" s="4">
        <v>4</v>
      </c>
      <c r="I95" s="4" t="s">
        <v>246</v>
      </c>
      <c r="J95" s="7">
        <v>3</v>
      </c>
      <c r="K95" s="4" t="s">
        <v>249</v>
      </c>
    </row>
    <row r="96" spans="1:11" ht="27.9" customHeight="1" x14ac:dyDescent="0.3">
      <c r="A96" s="3">
        <v>45598</v>
      </c>
      <c r="B96" s="4" t="s">
        <v>142</v>
      </c>
      <c r="C96" s="4" t="s">
        <v>152</v>
      </c>
      <c r="D96" s="4">
        <v>2</v>
      </c>
      <c r="E96" s="4">
        <v>1</v>
      </c>
      <c r="F96" s="4" t="s">
        <v>124</v>
      </c>
      <c r="G96" s="4">
        <v>12</v>
      </c>
      <c r="H96" s="4">
        <v>6</v>
      </c>
      <c r="I96" s="4" t="s">
        <v>246</v>
      </c>
      <c r="J96" s="7">
        <v>3</v>
      </c>
      <c r="K96" s="4" t="s">
        <v>249</v>
      </c>
    </row>
    <row r="97" spans="1:11" ht="27.9" customHeight="1" x14ac:dyDescent="0.3">
      <c r="A97" s="3">
        <v>45598</v>
      </c>
      <c r="B97" s="4" t="s">
        <v>128</v>
      </c>
      <c r="C97" s="4" t="s">
        <v>155</v>
      </c>
      <c r="D97" s="4">
        <v>1</v>
      </c>
      <c r="E97" s="4">
        <v>1</v>
      </c>
      <c r="F97" s="4" t="s">
        <v>125</v>
      </c>
      <c r="G97" s="4">
        <v>14</v>
      </c>
      <c r="H97" s="4">
        <v>2</v>
      </c>
      <c r="I97" s="4" t="s">
        <v>246</v>
      </c>
      <c r="J97" s="7">
        <v>1</v>
      </c>
      <c r="K97" s="4" t="s">
        <v>125</v>
      </c>
    </row>
    <row r="98" spans="1:11" ht="27.9" customHeight="1" x14ac:dyDescent="0.3">
      <c r="A98" s="3">
        <v>45598</v>
      </c>
      <c r="B98" s="4" t="s">
        <v>129</v>
      </c>
      <c r="C98" s="4" t="s">
        <v>136</v>
      </c>
      <c r="D98" s="4">
        <v>2</v>
      </c>
      <c r="E98" s="4">
        <v>1</v>
      </c>
      <c r="F98" s="4" t="s">
        <v>124</v>
      </c>
      <c r="G98" s="4">
        <v>16</v>
      </c>
      <c r="H98" s="4">
        <v>8</v>
      </c>
      <c r="I98" s="4" t="s">
        <v>246</v>
      </c>
      <c r="J98" s="7">
        <v>3</v>
      </c>
      <c r="K98" s="4" t="s">
        <v>249</v>
      </c>
    </row>
    <row r="99" spans="1:11" ht="27.9" customHeight="1" x14ac:dyDescent="0.3">
      <c r="A99" s="3">
        <v>45598</v>
      </c>
      <c r="B99" s="4" t="s">
        <v>141</v>
      </c>
      <c r="C99" s="4" t="s">
        <v>144</v>
      </c>
      <c r="D99" s="4">
        <v>3</v>
      </c>
      <c r="E99" s="4">
        <v>0</v>
      </c>
      <c r="F99" s="4" t="s">
        <v>124</v>
      </c>
      <c r="G99" s="4">
        <v>19</v>
      </c>
      <c r="H99" s="4">
        <v>6</v>
      </c>
      <c r="I99" s="4" t="s">
        <v>246</v>
      </c>
      <c r="J99" s="7">
        <v>3</v>
      </c>
      <c r="K99" s="4" t="s">
        <v>249</v>
      </c>
    </row>
    <row r="100" spans="1:11" ht="27.9" customHeight="1" x14ac:dyDescent="0.3">
      <c r="A100" s="3">
        <v>45598</v>
      </c>
      <c r="B100" s="4" t="s">
        <v>139</v>
      </c>
      <c r="C100" s="4" t="s">
        <v>135</v>
      </c>
      <c r="D100" s="4">
        <v>1</v>
      </c>
      <c r="E100" s="4">
        <v>0</v>
      </c>
      <c r="F100" s="4" t="s">
        <v>124</v>
      </c>
      <c r="G100" s="4">
        <v>9</v>
      </c>
      <c r="H100" s="4">
        <v>2</v>
      </c>
      <c r="I100" s="4" t="s">
        <v>246</v>
      </c>
      <c r="J100" s="7">
        <v>3</v>
      </c>
      <c r="K100" s="4" t="s">
        <v>249</v>
      </c>
    </row>
    <row r="101" spans="1:11" ht="27.9" customHeight="1" x14ac:dyDescent="0.3">
      <c r="A101" s="3">
        <v>45598</v>
      </c>
      <c r="B101" s="4" t="s">
        <v>133</v>
      </c>
      <c r="C101" s="4" t="s">
        <v>149</v>
      </c>
      <c r="D101" s="4">
        <v>2</v>
      </c>
      <c r="E101" s="4">
        <v>2</v>
      </c>
      <c r="F101" s="4" t="s">
        <v>125</v>
      </c>
      <c r="G101" s="4">
        <v>11</v>
      </c>
      <c r="H101" s="4">
        <v>6</v>
      </c>
      <c r="I101" s="4" t="s">
        <v>246</v>
      </c>
      <c r="J101" s="7">
        <v>1</v>
      </c>
      <c r="K101" s="4" t="s">
        <v>125</v>
      </c>
    </row>
    <row r="102" spans="1:11" ht="27.9" customHeight="1" x14ac:dyDescent="0.3">
      <c r="A102" s="3">
        <v>45599</v>
      </c>
      <c r="B102" s="4" t="s">
        <v>156</v>
      </c>
      <c r="C102" s="4" t="s">
        <v>145</v>
      </c>
      <c r="D102" s="4">
        <v>4</v>
      </c>
      <c r="E102" s="4">
        <v>1</v>
      </c>
      <c r="F102" s="4" t="s">
        <v>124</v>
      </c>
      <c r="G102" s="4">
        <v>16</v>
      </c>
      <c r="H102" s="4">
        <v>6</v>
      </c>
      <c r="I102" s="4" t="s">
        <v>246</v>
      </c>
      <c r="J102" s="7">
        <v>3</v>
      </c>
      <c r="K102" s="4" t="s">
        <v>249</v>
      </c>
    </row>
    <row r="103" spans="1:11" ht="27.9" customHeight="1" x14ac:dyDescent="0.3">
      <c r="A103" s="3">
        <v>45599</v>
      </c>
      <c r="B103" s="4" t="s">
        <v>122</v>
      </c>
      <c r="C103" s="4" t="s">
        <v>151</v>
      </c>
      <c r="D103" s="4">
        <v>1</v>
      </c>
      <c r="E103" s="4">
        <v>1</v>
      </c>
      <c r="F103" s="4" t="s">
        <v>125</v>
      </c>
      <c r="G103" s="4">
        <v>11</v>
      </c>
      <c r="H103" s="4">
        <v>4</v>
      </c>
      <c r="I103" s="4" t="s">
        <v>246</v>
      </c>
      <c r="J103" s="7">
        <v>1</v>
      </c>
      <c r="K103" s="4" t="s">
        <v>125</v>
      </c>
    </row>
    <row r="104" spans="1:11" ht="27.9" customHeight="1" x14ac:dyDescent="0.3">
      <c r="A104" s="3">
        <v>45600</v>
      </c>
      <c r="B104" s="4" t="s">
        <v>123</v>
      </c>
      <c r="C104" s="4" t="s">
        <v>148</v>
      </c>
      <c r="D104" s="4">
        <v>2</v>
      </c>
      <c r="E104" s="4">
        <v>1</v>
      </c>
      <c r="F104" s="4" t="s">
        <v>124</v>
      </c>
      <c r="G104" s="4">
        <v>26</v>
      </c>
      <c r="H104" s="4">
        <v>12</v>
      </c>
      <c r="I104" s="4" t="s">
        <v>246</v>
      </c>
      <c r="J104" s="7">
        <v>3</v>
      </c>
      <c r="K104" s="4" t="s">
        <v>249</v>
      </c>
    </row>
    <row r="105" spans="1:11" ht="27.9" customHeight="1" x14ac:dyDescent="0.3">
      <c r="A105" s="3">
        <v>45605</v>
      </c>
      <c r="B105" s="4" t="s">
        <v>148</v>
      </c>
      <c r="C105" s="4" t="s">
        <v>142</v>
      </c>
      <c r="D105" s="4">
        <v>3</v>
      </c>
      <c r="E105" s="4">
        <v>2</v>
      </c>
      <c r="F105" s="4" t="s">
        <v>124</v>
      </c>
      <c r="G105" s="4">
        <v>12</v>
      </c>
      <c r="H105" s="4">
        <v>6</v>
      </c>
      <c r="I105" s="4" t="s">
        <v>246</v>
      </c>
      <c r="J105" s="7">
        <v>3</v>
      </c>
      <c r="K105" s="4" t="s">
        <v>249</v>
      </c>
    </row>
    <row r="106" spans="1:11" ht="27.9" customHeight="1" x14ac:dyDescent="0.3">
      <c r="A106" s="3">
        <v>45605</v>
      </c>
      <c r="B106" s="4" t="s">
        <v>149</v>
      </c>
      <c r="C106" s="4" t="s">
        <v>123</v>
      </c>
      <c r="D106" s="4">
        <v>0</v>
      </c>
      <c r="E106" s="4">
        <v>2</v>
      </c>
      <c r="F106" s="4" t="s">
        <v>130</v>
      </c>
      <c r="G106" s="4">
        <v>13</v>
      </c>
      <c r="H106" s="4">
        <v>5</v>
      </c>
      <c r="I106" s="4" t="s">
        <v>246</v>
      </c>
      <c r="J106" s="7">
        <v>0</v>
      </c>
      <c r="K106" s="4" t="s">
        <v>250</v>
      </c>
    </row>
    <row r="107" spans="1:11" ht="27.9" customHeight="1" x14ac:dyDescent="0.3">
      <c r="A107" s="3">
        <v>45605</v>
      </c>
      <c r="B107" s="4" t="s">
        <v>144</v>
      </c>
      <c r="C107" s="4" t="s">
        <v>135</v>
      </c>
      <c r="D107" s="4">
        <v>0</v>
      </c>
      <c r="E107" s="4">
        <v>0</v>
      </c>
      <c r="F107" s="4" t="s">
        <v>125</v>
      </c>
      <c r="G107" s="4">
        <v>11</v>
      </c>
      <c r="H107" s="4">
        <v>6</v>
      </c>
      <c r="I107" s="4" t="s">
        <v>246</v>
      </c>
      <c r="J107" s="7">
        <v>1</v>
      </c>
      <c r="K107" s="4" t="s">
        <v>125</v>
      </c>
    </row>
    <row r="108" spans="1:11" ht="27.9" customHeight="1" x14ac:dyDescent="0.3">
      <c r="A108" s="3">
        <v>45605</v>
      </c>
      <c r="B108" s="4" t="s">
        <v>133</v>
      </c>
      <c r="C108" s="4" t="s">
        <v>139</v>
      </c>
      <c r="D108" s="4">
        <v>2</v>
      </c>
      <c r="E108" s="4">
        <v>0</v>
      </c>
      <c r="F108" s="4" t="s">
        <v>124</v>
      </c>
      <c r="G108" s="4">
        <v>8</v>
      </c>
      <c r="H108" s="4">
        <v>4</v>
      </c>
      <c r="I108" s="4" t="s">
        <v>246</v>
      </c>
      <c r="J108" s="7">
        <v>3</v>
      </c>
      <c r="K108" s="4" t="s">
        <v>249</v>
      </c>
    </row>
    <row r="109" spans="1:11" ht="27.9" customHeight="1" x14ac:dyDescent="0.3">
      <c r="A109" s="3">
        <v>45605</v>
      </c>
      <c r="B109" s="4" t="s">
        <v>136</v>
      </c>
      <c r="C109" s="4" t="s">
        <v>152</v>
      </c>
      <c r="D109" s="4">
        <v>2</v>
      </c>
      <c r="E109" s="4">
        <v>1</v>
      </c>
      <c r="F109" s="4" t="s">
        <v>124</v>
      </c>
      <c r="G109" s="4">
        <v>10</v>
      </c>
      <c r="H109" s="4">
        <v>4</v>
      </c>
      <c r="I109" s="4" t="s">
        <v>246</v>
      </c>
      <c r="J109" s="7">
        <v>3</v>
      </c>
      <c r="K109" s="4" t="s">
        <v>249</v>
      </c>
    </row>
    <row r="110" spans="1:11" ht="27.9" customHeight="1" x14ac:dyDescent="0.3">
      <c r="A110" s="3">
        <v>45605</v>
      </c>
      <c r="B110" s="4" t="s">
        <v>129</v>
      </c>
      <c r="C110" s="4" t="s">
        <v>145</v>
      </c>
      <c r="D110" s="4">
        <v>2</v>
      </c>
      <c r="E110" s="4">
        <v>0</v>
      </c>
      <c r="F110" s="4" t="s">
        <v>124</v>
      </c>
      <c r="G110" s="4">
        <v>14</v>
      </c>
      <c r="H110" s="4">
        <v>5</v>
      </c>
      <c r="I110" s="4" t="s">
        <v>246</v>
      </c>
      <c r="J110" s="7">
        <v>3</v>
      </c>
      <c r="K110" s="4" t="s">
        <v>249</v>
      </c>
    </row>
    <row r="111" spans="1:11" ht="27.9" customHeight="1" x14ac:dyDescent="0.3">
      <c r="A111" s="3">
        <v>45606</v>
      </c>
      <c r="B111" s="4" t="s">
        <v>122</v>
      </c>
      <c r="C111" s="4" t="s">
        <v>155</v>
      </c>
      <c r="D111" s="4">
        <v>3</v>
      </c>
      <c r="E111" s="4">
        <v>0</v>
      </c>
      <c r="F111" s="4" t="s">
        <v>124</v>
      </c>
      <c r="G111" s="4">
        <v>13</v>
      </c>
      <c r="H111" s="4">
        <v>3</v>
      </c>
      <c r="I111" s="4" t="s">
        <v>246</v>
      </c>
      <c r="J111" s="7">
        <v>3</v>
      </c>
      <c r="K111" s="4" t="s">
        <v>249</v>
      </c>
    </row>
    <row r="112" spans="1:11" ht="27.9" customHeight="1" x14ac:dyDescent="0.3">
      <c r="A112" s="3">
        <v>45606</v>
      </c>
      <c r="B112" s="4" t="s">
        <v>141</v>
      </c>
      <c r="C112" s="4" t="s">
        <v>138</v>
      </c>
      <c r="D112" s="4">
        <v>1</v>
      </c>
      <c r="E112" s="4">
        <v>3</v>
      </c>
      <c r="F112" s="4" t="s">
        <v>130</v>
      </c>
      <c r="G112" s="4">
        <v>9</v>
      </c>
      <c r="H112" s="4">
        <v>3</v>
      </c>
      <c r="I112" s="4" t="s">
        <v>246</v>
      </c>
      <c r="J112" s="7">
        <v>0</v>
      </c>
      <c r="K112" s="4" t="s">
        <v>250</v>
      </c>
    </row>
    <row r="113" spans="1:11" ht="27.9" customHeight="1" x14ac:dyDescent="0.3">
      <c r="A113" s="3">
        <v>45606</v>
      </c>
      <c r="B113" s="4" t="s">
        <v>156</v>
      </c>
      <c r="C113" s="4" t="s">
        <v>128</v>
      </c>
      <c r="D113" s="4">
        <v>1</v>
      </c>
      <c r="E113" s="4">
        <v>2</v>
      </c>
      <c r="F113" s="4" t="s">
        <v>130</v>
      </c>
      <c r="G113" s="4">
        <v>17</v>
      </c>
      <c r="H113" s="4">
        <v>5</v>
      </c>
      <c r="I113" s="4" t="s">
        <v>246</v>
      </c>
      <c r="J113" s="7">
        <v>0</v>
      </c>
      <c r="K113" s="4" t="s">
        <v>250</v>
      </c>
    </row>
    <row r="114" spans="1:11" ht="27.9" customHeight="1" x14ac:dyDescent="0.3">
      <c r="A114" s="3">
        <v>45606</v>
      </c>
      <c r="B114" s="4" t="s">
        <v>151</v>
      </c>
      <c r="C114" s="4" t="s">
        <v>132</v>
      </c>
      <c r="D114" s="4">
        <v>1</v>
      </c>
      <c r="E114" s="4">
        <v>1</v>
      </c>
      <c r="F114" s="4" t="s">
        <v>125</v>
      </c>
      <c r="G114" s="4">
        <v>17</v>
      </c>
      <c r="H114" s="4">
        <v>3</v>
      </c>
      <c r="I114" s="4" t="s">
        <v>246</v>
      </c>
      <c r="J114" s="7">
        <v>1</v>
      </c>
      <c r="K114" s="4" t="s">
        <v>125</v>
      </c>
    </row>
    <row r="115" spans="1:11" ht="27.9" customHeight="1" x14ac:dyDescent="0.3">
      <c r="A115" s="3">
        <v>45619</v>
      </c>
      <c r="B115" s="4" t="s">
        <v>155</v>
      </c>
      <c r="C115" s="4" t="s">
        <v>151</v>
      </c>
      <c r="D115" s="4">
        <v>1</v>
      </c>
      <c r="E115" s="4">
        <v>2</v>
      </c>
      <c r="F115" s="4" t="s">
        <v>130</v>
      </c>
      <c r="G115" s="4">
        <v>4</v>
      </c>
      <c r="H115" s="4">
        <v>1</v>
      </c>
      <c r="I115" s="4" t="s">
        <v>246</v>
      </c>
      <c r="J115" s="7">
        <v>0</v>
      </c>
      <c r="K115" s="4" t="s">
        <v>250</v>
      </c>
    </row>
    <row r="116" spans="1:11" ht="27.9" customHeight="1" x14ac:dyDescent="0.3">
      <c r="A116" s="3">
        <v>45619</v>
      </c>
      <c r="B116" s="4" t="s">
        <v>132</v>
      </c>
      <c r="C116" s="4" t="s">
        <v>141</v>
      </c>
      <c r="D116" s="4">
        <v>3</v>
      </c>
      <c r="E116" s="4">
        <v>0</v>
      </c>
      <c r="F116" s="4" t="s">
        <v>124</v>
      </c>
      <c r="G116" s="4">
        <v>19</v>
      </c>
      <c r="H116" s="4">
        <v>7</v>
      </c>
      <c r="I116" s="4" t="s">
        <v>246</v>
      </c>
      <c r="J116" s="7">
        <v>3</v>
      </c>
      <c r="K116" s="4" t="s">
        <v>249</v>
      </c>
    </row>
    <row r="117" spans="1:11" ht="27.9" customHeight="1" x14ac:dyDescent="0.3">
      <c r="A117" s="3">
        <v>45619</v>
      </c>
      <c r="B117" s="4" t="s">
        <v>145</v>
      </c>
      <c r="C117" s="4" t="s">
        <v>149</v>
      </c>
      <c r="D117" s="4">
        <v>2</v>
      </c>
      <c r="E117" s="4">
        <v>2</v>
      </c>
      <c r="F117" s="4" t="s">
        <v>125</v>
      </c>
      <c r="G117" s="4">
        <v>17</v>
      </c>
      <c r="H117" s="4">
        <v>5</v>
      </c>
      <c r="I117" s="4" t="s">
        <v>246</v>
      </c>
      <c r="J117" s="7">
        <v>1</v>
      </c>
      <c r="K117" s="4" t="s">
        <v>125</v>
      </c>
    </row>
    <row r="118" spans="1:11" ht="27.9" customHeight="1" x14ac:dyDescent="0.3">
      <c r="A118" s="3">
        <v>45619</v>
      </c>
      <c r="B118" s="4" t="s">
        <v>142</v>
      </c>
      <c r="C118" s="4" t="s">
        <v>136</v>
      </c>
      <c r="D118" s="4">
        <v>1</v>
      </c>
      <c r="E118" s="4">
        <v>2</v>
      </c>
      <c r="F118" s="4" t="s">
        <v>130</v>
      </c>
      <c r="G118" s="4">
        <v>19</v>
      </c>
      <c r="H118" s="4">
        <v>5</v>
      </c>
      <c r="I118" s="4" t="s">
        <v>246</v>
      </c>
      <c r="J118" s="7">
        <v>0</v>
      </c>
      <c r="K118" s="4" t="s">
        <v>250</v>
      </c>
    </row>
    <row r="119" spans="1:11" ht="27.9" customHeight="1" x14ac:dyDescent="0.3">
      <c r="A119" s="3">
        <v>45619</v>
      </c>
      <c r="B119" s="4" t="s">
        <v>135</v>
      </c>
      <c r="C119" s="4" t="s">
        <v>148</v>
      </c>
      <c r="D119" s="4">
        <v>0</v>
      </c>
      <c r="E119" s="4">
        <v>0</v>
      </c>
      <c r="F119" s="4" t="s">
        <v>125</v>
      </c>
      <c r="G119" s="4">
        <v>27</v>
      </c>
      <c r="H119" s="4">
        <v>5</v>
      </c>
      <c r="I119" s="4" t="s">
        <v>246</v>
      </c>
      <c r="J119" s="7">
        <v>1</v>
      </c>
      <c r="K119" s="4" t="s">
        <v>125</v>
      </c>
    </row>
    <row r="120" spans="1:11" ht="27.9" customHeight="1" x14ac:dyDescent="0.3">
      <c r="A120" s="3">
        <v>45619</v>
      </c>
      <c r="B120" s="4" t="s">
        <v>123</v>
      </c>
      <c r="C120" s="4" t="s">
        <v>133</v>
      </c>
      <c r="D120" s="4">
        <v>1</v>
      </c>
      <c r="E120" s="4">
        <v>4</v>
      </c>
      <c r="F120" s="4" t="s">
        <v>130</v>
      </c>
      <c r="G120" s="4">
        <v>10</v>
      </c>
      <c r="H120" s="4">
        <v>3</v>
      </c>
      <c r="I120" s="4" t="s">
        <v>246</v>
      </c>
      <c r="J120" s="7">
        <v>0</v>
      </c>
      <c r="K120" s="4" t="s">
        <v>250</v>
      </c>
    </row>
    <row r="121" spans="1:11" ht="27.9" customHeight="1" x14ac:dyDescent="0.3">
      <c r="A121" s="3">
        <v>45619</v>
      </c>
      <c r="B121" s="4" t="s">
        <v>152</v>
      </c>
      <c r="C121" s="4" t="s">
        <v>156</v>
      </c>
      <c r="D121" s="4">
        <v>0</v>
      </c>
      <c r="E121" s="4">
        <v>4</v>
      </c>
      <c r="F121" s="4" t="s">
        <v>130</v>
      </c>
      <c r="G121" s="4">
        <v>23</v>
      </c>
      <c r="H121" s="4">
        <v>5</v>
      </c>
      <c r="I121" s="4" t="s">
        <v>246</v>
      </c>
      <c r="J121" s="7">
        <v>0</v>
      </c>
      <c r="K121" s="4" t="s">
        <v>250</v>
      </c>
    </row>
    <row r="122" spans="1:11" ht="27.9" customHeight="1" x14ac:dyDescent="0.3">
      <c r="A122" s="3">
        <v>45620</v>
      </c>
      <c r="B122" s="4" t="s">
        <v>139</v>
      </c>
      <c r="C122" s="4" t="s">
        <v>129</v>
      </c>
      <c r="D122" s="4">
        <v>2</v>
      </c>
      <c r="E122" s="4">
        <v>3</v>
      </c>
      <c r="F122" s="4" t="s">
        <v>130</v>
      </c>
      <c r="G122" s="4">
        <v>7</v>
      </c>
      <c r="H122" s="4">
        <v>5</v>
      </c>
      <c r="I122" s="4" t="s">
        <v>246</v>
      </c>
      <c r="J122" s="7">
        <v>0</v>
      </c>
      <c r="K122" s="4" t="s">
        <v>250</v>
      </c>
    </row>
    <row r="123" spans="1:11" ht="27.9" customHeight="1" x14ac:dyDescent="0.3">
      <c r="A123" s="3">
        <v>45620</v>
      </c>
      <c r="B123" s="4" t="s">
        <v>128</v>
      </c>
      <c r="C123" s="4" t="s">
        <v>122</v>
      </c>
      <c r="D123" s="4">
        <v>1</v>
      </c>
      <c r="E123" s="4">
        <v>1</v>
      </c>
      <c r="F123" s="4" t="s">
        <v>125</v>
      </c>
      <c r="G123" s="4">
        <v>11</v>
      </c>
      <c r="H123" s="4">
        <v>6</v>
      </c>
      <c r="I123" s="4" t="s">
        <v>246</v>
      </c>
      <c r="J123" s="7">
        <v>1</v>
      </c>
      <c r="K123" s="4" t="s">
        <v>125</v>
      </c>
    </row>
    <row r="124" spans="1:11" ht="27.9" customHeight="1" x14ac:dyDescent="0.3">
      <c r="A124" s="3">
        <v>45621</v>
      </c>
      <c r="B124" s="4" t="s">
        <v>138</v>
      </c>
      <c r="C124" s="4" t="s">
        <v>144</v>
      </c>
      <c r="D124" s="4">
        <v>0</v>
      </c>
      <c r="E124" s="4">
        <v>2</v>
      </c>
      <c r="F124" s="4" t="s">
        <v>130</v>
      </c>
      <c r="G124" s="4">
        <v>18</v>
      </c>
      <c r="H124" s="4">
        <v>2</v>
      </c>
      <c r="I124" s="4" t="s">
        <v>246</v>
      </c>
      <c r="J124" s="7">
        <v>0</v>
      </c>
      <c r="K124" s="4" t="s">
        <v>250</v>
      </c>
    </row>
    <row r="125" spans="1:11" ht="27.9" customHeight="1" x14ac:dyDescent="0.3">
      <c r="A125" s="3">
        <v>45625</v>
      </c>
      <c r="B125" s="4" t="s">
        <v>136</v>
      </c>
      <c r="C125" s="4" t="s">
        <v>139</v>
      </c>
      <c r="D125" s="4">
        <v>1</v>
      </c>
      <c r="E125" s="4">
        <v>1</v>
      </c>
      <c r="F125" s="4" t="s">
        <v>125</v>
      </c>
      <c r="G125" s="4">
        <v>22</v>
      </c>
      <c r="H125" s="4">
        <v>5</v>
      </c>
      <c r="I125" s="4" t="s">
        <v>246</v>
      </c>
      <c r="J125" s="7">
        <v>1</v>
      </c>
      <c r="K125" s="4" t="s">
        <v>125</v>
      </c>
    </row>
    <row r="126" spans="1:11" ht="27.9" customHeight="1" x14ac:dyDescent="0.3">
      <c r="A126" s="3">
        <v>45626</v>
      </c>
      <c r="B126" s="4" t="s">
        <v>148</v>
      </c>
      <c r="C126" s="4" t="s">
        <v>155</v>
      </c>
      <c r="D126" s="4">
        <v>4</v>
      </c>
      <c r="E126" s="4">
        <v>1</v>
      </c>
      <c r="F126" s="4" t="s">
        <v>124</v>
      </c>
      <c r="G126" s="4">
        <v>13</v>
      </c>
      <c r="H126" s="4">
        <v>6</v>
      </c>
      <c r="I126" s="4" t="s">
        <v>246</v>
      </c>
      <c r="J126" s="7">
        <v>3</v>
      </c>
      <c r="K126" s="4" t="s">
        <v>249</v>
      </c>
    </row>
    <row r="127" spans="1:11" ht="27.9" customHeight="1" x14ac:dyDescent="0.3">
      <c r="A127" s="3">
        <v>45626</v>
      </c>
      <c r="B127" s="4" t="s">
        <v>149</v>
      </c>
      <c r="C127" s="4" t="s">
        <v>138</v>
      </c>
      <c r="D127" s="4">
        <v>1</v>
      </c>
      <c r="E127" s="4">
        <v>1</v>
      </c>
      <c r="F127" s="4" t="s">
        <v>125</v>
      </c>
      <c r="G127" s="4">
        <v>16</v>
      </c>
      <c r="H127" s="4">
        <v>4</v>
      </c>
      <c r="I127" s="4" t="s">
        <v>246</v>
      </c>
      <c r="J127" s="7">
        <v>1</v>
      </c>
      <c r="K127" s="4" t="s">
        <v>125</v>
      </c>
    </row>
    <row r="128" spans="1:11" ht="27.9" customHeight="1" x14ac:dyDescent="0.3">
      <c r="A128" s="3">
        <v>45626</v>
      </c>
      <c r="B128" s="4" t="s">
        <v>141</v>
      </c>
      <c r="C128" s="4" t="s">
        <v>128</v>
      </c>
      <c r="D128" s="4">
        <v>1</v>
      </c>
      <c r="E128" s="4">
        <v>0</v>
      </c>
      <c r="F128" s="4" t="s">
        <v>124</v>
      </c>
      <c r="G128" s="4">
        <v>12</v>
      </c>
      <c r="H128" s="4">
        <v>5</v>
      </c>
      <c r="I128" s="4" t="s">
        <v>246</v>
      </c>
      <c r="J128" s="7">
        <v>3</v>
      </c>
      <c r="K128" s="4" t="s">
        <v>249</v>
      </c>
    </row>
    <row r="129" spans="1:11" ht="27.9" customHeight="1" x14ac:dyDescent="0.3">
      <c r="A129" s="3">
        <v>45626</v>
      </c>
      <c r="B129" s="4" t="s">
        <v>133</v>
      </c>
      <c r="C129" s="4" t="s">
        <v>142</v>
      </c>
      <c r="D129" s="4">
        <v>2</v>
      </c>
      <c r="E129" s="4">
        <v>4</v>
      </c>
      <c r="F129" s="4" t="s">
        <v>130</v>
      </c>
      <c r="G129" s="4">
        <v>10</v>
      </c>
      <c r="H129" s="4">
        <v>3</v>
      </c>
      <c r="I129" s="4" t="s">
        <v>246</v>
      </c>
      <c r="J129" s="7">
        <v>0</v>
      </c>
      <c r="K129" s="4" t="s">
        <v>250</v>
      </c>
    </row>
    <row r="130" spans="1:11" ht="27.9" customHeight="1" x14ac:dyDescent="0.3">
      <c r="A130" s="3">
        <v>45626</v>
      </c>
      <c r="B130" s="4" t="s">
        <v>144</v>
      </c>
      <c r="C130" s="4" t="s">
        <v>132</v>
      </c>
      <c r="D130" s="4">
        <v>2</v>
      </c>
      <c r="E130" s="4">
        <v>5</v>
      </c>
      <c r="F130" s="4" t="s">
        <v>130</v>
      </c>
      <c r="G130" s="4">
        <v>12</v>
      </c>
      <c r="H130" s="4">
        <v>5</v>
      </c>
      <c r="I130" s="4" t="s">
        <v>246</v>
      </c>
      <c r="J130" s="7">
        <v>0</v>
      </c>
      <c r="K130" s="4" t="s">
        <v>250</v>
      </c>
    </row>
    <row r="131" spans="1:11" ht="27.9" customHeight="1" x14ac:dyDescent="0.3">
      <c r="A131" s="3">
        <v>45627</v>
      </c>
      <c r="B131" s="4" t="s">
        <v>151</v>
      </c>
      <c r="C131" s="4" t="s">
        <v>145</v>
      </c>
      <c r="D131" s="4">
        <v>3</v>
      </c>
      <c r="E131" s="4">
        <v>0</v>
      </c>
      <c r="F131" s="4" t="s">
        <v>124</v>
      </c>
      <c r="G131" s="4">
        <v>17</v>
      </c>
      <c r="H131" s="4">
        <v>8</v>
      </c>
      <c r="I131" s="4" t="s">
        <v>246</v>
      </c>
      <c r="J131" s="7">
        <v>3</v>
      </c>
      <c r="K131" s="4" t="s">
        <v>249</v>
      </c>
    </row>
    <row r="132" spans="1:11" ht="27.9" customHeight="1" x14ac:dyDescent="0.3">
      <c r="A132" s="3">
        <v>45627</v>
      </c>
      <c r="B132" s="4" t="s">
        <v>122</v>
      </c>
      <c r="C132" s="4" t="s">
        <v>135</v>
      </c>
      <c r="D132" s="4">
        <v>4</v>
      </c>
      <c r="E132" s="4">
        <v>0</v>
      </c>
      <c r="F132" s="4" t="s">
        <v>124</v>
      </c>
      <c r="G132" s="4">
        <v>11</v>
      </c>
      <c r="H132" s="4">
        <v>5</v>
      </c>
      <c r="I132" s="4" t="s">
        <v>246</v>
      </c>
      <c r="J132" s="7">
        <v>3</v>
      </c>
      <c r="K132" s="4" t="s">
        <v>249</v>
      </c>
    </row>
    <row r="133" spans="1:11" ht="27.9" customHeight="1" x14ac:dyDescent="0.3">
      <c r="A133" s="3">
        <v>45627</v>
      </c>
      <c r="B133" s="4" t="s">
        <v>156</v>
      </c>
      <c r="C133" s="4" t="s">
        <v>123</v>
      </c>
      <c r="D133" s="4">
        <v>1</v>
      </c>
      <c r="E133" s="4">
        <v>1</v>
      </c>
      <c r="F133" s="4" t="s">
        <v>125</v>
      </c>
      <c r="G133" s="4">
        <v>8</v>
      </c>
      <c r="H133" s="4">
        <v>3</v>
      </c>
      <c r="I133" s="4" t="s">
        <v>246</v>
      </c>
      <c r="J133" s="7">
        <v>1</v>
      </c>
      <c r="K133" s="4" t="s">
        <v>125</v>
      </c>
    </row>
    <row r="134" spans="1:11" ht="27.9" customHeight="1" x14ac:dyDescent="0.3">
      <c r="A134" s="3">
        <v>45627</v>
      </c>
      <c r="B134" s="4" t="s">
        <v>129</v>
      </c>
      <c r="C134" s="4" t="s">
        <v>152</v>
      </c>
      <c r="D134" s="4">
        <v>2</v>
      </c>
      <c r="E134" s="4">
        <v>0</v>
      </c>
      <c r="F134" s="4" t="s">
        <v>124</v>
      </c>
      <c r="G134" s="4">
        <v>18</v>
      </c>
      <c r="H134" s="4">
        <v>7</v>
      </c>
      <c r="I134" s="4" t="s">
        <v>246</v>
      </c>
      <c r="J134" s="7">
        <v>3</v>
      </c>
      <c r="K134" s="4" t="s">
        <v>249</v>
      </c>
    </row>
    <row r="135" spans="1:11" ht="27.9" customHeight="1" x14ac:dyDescent="0.3">
      <c r="A135" s="3">
        <v>45629</v>
      </c>
      <c r="B135" s="4" t="s">
        <v>128</v>
      </c>
      <c r="C135" s="4" t="s">
        <v>149</v>
      </c>
      <c r="D135" s="4">
        <v>0</v>
      </c>
      <c r="E135" s="4">
        <v>1</v>
      </c>
      <c r="F135" s="4" t="s">
        <v>130</v>
      </c>
      <c r="G135" s="4">
        <v>9</v>
      </c>
      <c r="H135" s="4">
        <v>2</v>
      </c>
      <c r="I135" s="4" t="s">
        <v>246</v>
      </c>
      <c r="J135" s="7">
        <v>0</v>
      </c>
      <c r="K135" s="4" t="s">
        <v>250</v>
      </c>
    </row>
    <row r="136" spans="1:11" ht="27.9" customHeight="1" x14ac:dyDescent="0.3">
      <c r="A136" s="3">
        <v>45629</v>
      </c>
      <c r="B136" s="4" t="s">
        <v>155</v>
      </c>
      <c r="C136" s="4" t="s">
        <v>144</v>
      </c>
      <c r="D136" s="4">
        <v>3</v>
      </c>
      <c r="E136" s="4">
        <v>1</v>
      </c>
      <c r="F136" s="4" t="s">
        <v>124</v>
      </c>
      <c r="G136" s="4">
        <v>8</v>
      </c>
      <c r="H136" s="4">
        <v>6</v>
      </c>
      <c r="I136" s="4" t="s">
        <v>246</v>
      </c>
      <c r="J136" s="7">
        <v>3</v>
      </c>
      <c r="K136" s="4" t="s">
        <v>249</v>
      </c>
    </row>
    <row r="137" spans="1:11" ht="27.9" customHeight="1" x14ac:dyDescent="0.3">
      <c r="A137" s="3">
        <v>45630</v>
      </c>
      <c r="B137" s="4" t="s">
        <v>135</v>
      </c>
      <c r="C137" s="4" t="s">
        <v>133</v>
      </c>
      <c r="D137" s="4">
        <v>4</v>
      </c>
      <c r="E137" s="4">
        <v>0</v>
      </c>
      <c r="F137" s="4" t="s">
        <v>124</v>
      </c>
      <c r="G137" s="4">
        <v>13</v>
      </c>
      <c r="H137" s="4">
        <v>4</v>
      </c>
      <c r="I137" s="4" t="s">
        <v>246</v>
      </c>
      <c r="J137" s="7">
        <v>3</v>
      </c>
      <c r="K137" s="4" t="s">
        <v>249</v>
      </c>
    </row>
    <row r="138" spans="1:11" ht="27.9" customHeight="1" x14ac:dyDescent="0.3">
      <c r="A138" s="3">
        <v>45630</v>
      </c>
      <c r="B138" s="4" t="s">
        <v>152</v>
      </c>
      <c r="C138" s="4" t="s">
        <v>141</v>
      </c>
      <c r="D138" s="4">
        <v>3</v>
      </c>
      <c r="E138" s="4">
        <v>0</v>
      </c>
      <c r="F138" s="4" t="s">
        <v>124</v>
      </c>
      <c r="G138" s="4">
        <v>17</v>
      </c>
      <c r="H138" s="4">
        <v>7</v>
      </c>
      <c r="I138" s="4" t="s">
        <v>246</v>
      </c>
      <c r="J138" s="7">
        <v>3</v>
      </c>
      <c r="K138" s="4" t="s">
        <v>249</v>
      </c>
    </row>
    <row r="139" spans="1:11" ht="27.9" customHeight="1" x14ac:dyDescent="0.3">
      <c r="A139" s="3">
        <v>45630</v>
      </c>
      <c r="B139" s="4" t="s">
        <v>138</v>
      </c>
      <c r="C139" s="4" t="s">
        <v>129</v>
      </c>
      <c r="D139" s="4">
        <v>3</v>
      </c>
      <c r="E139" s="4">
        <v>3</v>
      </c>
      <c r="F139" s="4" t="s">
        <v>125</v>
      </c>
      <c r="G139" s="4">
        <v>17</v>
      </c>
      <c r="H139" s="4">
        <v>6</v>
      </c>
      <c r="I139" s="4" t="s">
        <v>246</v>
      </c>
      <c r="J139" s="7">
        <v>1</v>
      </c>
      <c r="K139" s="4" t="s">
        <v>125</v>
      </c>
    </row>
    <row r="140" spans="1:11" ht="27.9" customHeight="1" x14ac:dyDescent="0.3">
      <c r="A140" s="3">
        <v>45630</v>
      </c>
      <c r="B140" s="4" t="s">
        <v>139</v>
      </c>
      <c r="C140" s="4" t="s">
        <v>151</v>
      </c>
      <c r="D140" s="4">
        <v>1</v>
      </c>
      <c r="E140" s="4">
        <v>5</v>
      </c>
      <c r="F140" s="4" t="s">
        <v>130</v>
      </c>
      <c r="G140" s="4">
        <v>6</v>
      </c>
      <c r="H140" s="4">
        <v>4</v>
      </c>
      <c r="I140" s="4" t="s">
        <v>246</v>
      </c>
      <c r="J140" s="7">
        <v>0</v>
      </c>
      <c r="K140" s="4" t="s">
        <v>250</v>
      </c>
    </row>
    <row r="141" spans="1:11" ht="27.9" customHeight="1" x14ac:dyDescent="0.3">
      <c r="A141" s="3">
        <v>45630</v>
      </c>
      <c r="B141" s="4" t="s">
        <v>132</v>
      </c>
      <c r="C141" s="4" t="s">
        <v>122</v>
      </c>
      <c r="D141" s="4">
        <v>2</v>
      </c>
      <c r="E141" s="4">
        <v>0</v>
      </c>
      <c r="F141" s="4" t="s">
        <v>124</v>
      </c>
      <c r="G141" s="4">
        <v>14</v>
      </c>
      <c r="H141" s="4">
        <v>6</v>
      </c>
      <c r="I141" s="4" t="s">
        <v>246</v>
      </c>
      <c r="J141" s="7">
        <v>3</v>
      </c>
      <c r="K141" s="4" t="s">
        <v>249</v>
      </c>
    </row>
    <row r="142" spans="1:11" ht="27.9" customHeight="1" x14ac:dyDescent="0.3">
      <c r="A142" s="3">
        <v>45630</v>
      </c>
      <c r="B142" s="4" t="s">
        <v>145</v>
      </c>
      <c r="C142" s="4" t="s">
        <v>148</v>
      </c>
      <c r="D142" s="4">
        <v>3</v>
      </c>
      <c r="E142" s="4">
        <v>1</v>
      </c>
      <c r="F142" s="4" t="s">
        <v>124</v>
      </c>
      <c r="G142" s="4">
        <v>20</v>
      </c>
      <c r="H142" s="4">
        <v>10</v>
      </c>
      <c r="I142" s="4" t="s">
        <v>246</v>
      </c>
      <c r="J142" s="7">
        <v>3</v>
      </c>
      <c r="K142" s="4" t="s">
        <v>249</v>
      </c>
    </row>
    <row r="143" spans="1:11" ht="27.9" customHeight="1" x14ac:dyDescent="0.3">
      <c r="A143" s="3">
        <v>45631</v>
      </c>
      <c r="B143" s="4" t="s">
        <v>123</v>
      </c>
      <c r="C143" s="4" t="s">
        <v>136</v>
      </c>
      <c r="D143" s="4">
        <v>3</v>
      </c>
      <c r="E143" s="4">
        <v>1</v>
      </c>
      <c r="F143" s="4" t="s">
        <v>124</v>
      </c>
      <c r="G143" s="4">
        <v>6</v>
      </c>
      <c r="H143" s="4">
        <v>2</v>
      </c>
      <c r="I143" s="4" t="s">
        <v>246</v>
      </c>
      <c r="J143" s="7">
        <v>3</v>
      </c>
      <c r="K143" s="4" t="s">
        <v>249</v>
      </c>
    </row>
    <row r="144" spans="1:11" ht="27.9" customHeight="1" x14ac:dyDescent="0.3">
      <c r="A144" s="3">
        <v>45631</v>
      </c>
      <c r="B144" s="4" t="s">
        <v>142</v>
      </c>
      <c r="C144" s="4" t="s">
        <v>156</v>
      </c>
      <c r="D144" s="4">
        <v>1</v>
      </c>
      <c r="E144" s="4">
        <v>0</v>
      </c>
      <c r="F144" s="4" t="s">
        <v>124</v>
      </c>
      <c r="G144" s="4">
        <v>21</v>
      </c>
      <c r="H144" s="4">
        <v>8</v>
      </c>
      <c r="I144" s="4" t="s">
        <v>246</v>
      </c>
      <c r="J144" s="7">
        <v>3</v>
      </c>
      <c r="K144" s="4" t="s">
        <v>249</v>
      </c>
    </row>
    <row r="145" spans="1:11" ht="27.9" customHeight="1" x14ac:dyDescent="0.3">
      <c r="A145" s="3">
        <v>45633</v>
      </c>
      <c r="B145" s="4" t="s">
        <v>145</v>
      </c>
      <c r="C145" s="4" t="s">
        <v>139</v>
      </c>
      <c r="D145" s="4">
        <v>1</v>
      </c>
      <c r="E145" s="4">
        <v>0</v>
      </c>
      <c r="F145" s="4" t="s">
        <v>124</v>
      </c>
      <c r="G145" s="4">
        <v>18</v>
      </c>
      <c r="H145" s="4">
        <v>5</v>
      </c>
      <c r="I145" s="4" t="s">
        <v>246</v>
      </c>
      <c r="J145" s="7">
        <v>3</v>
      </c>
      <c r="K145" s="4" t="s">
        <v>249</v>
      </c>
    </row>
    <row r="146" spans="1:11" ht="27.9" customHeight="1" x14ac:dyDescent="0.3">
      <c r="A146" s="3">
        <v>45633</v>
      </c>
      <c r="B146" s="4" t="s">
        <v>148</v>
      </c>
      <c r="C146" s="4" t="s">
        <v>138</v>
      </c>
      <c r="D146" s="4">
        <v>4</v>
      </c>
      <c r="E146" s="4">
        <v>2</v>
      </c>
      <c r="F146" s="4" t="s">
        <v>124</v>
      </c>
      <c r="G146" s="4">
        <v>11</v>
      </c>
      <c r="H146" s="4">
        <v>8</v>
      </c>
      <c r="I146" s="4" t="s">
        <v>246</v>
      </c>
      <c r="J146" s="7">
        <v>3</v>
      </c>
      <c r="K146" s="4" t="s">
        <v>249</v>
      </c>
    </row>
    <row r="147" spans="1:11" ht="27.9" customHeight="1" x14ac:dyDescent="0.3">
      <c r="A147" s="3">
        <v>45633</v>
      </c>
      <c r="B147" s="4" t="s">
        <v>149</v>
      </c>
      <c r="C147" s="4" t="s">
        <v>152</v>
      </c>
      <c r="D147" s="4">
        <v>2</v>
      </c>
      <c r="E147" s="4">
        <v>2</v>
      </c>
      <c r="F147" s="4" t="s">
        <v>125</v>
      </c>
      <c r="G147" s="4">
        <v>12</v>
      </c>
      <c r="H147" s="4">
        <v>3</v>
      </c>
      <c r="I147" s="4" t="s">
        <v>246</v>
      </c>
      <c r="J147" s="7">
        <v>1</v>
      </c>
      <c r="K147" s="4" t="s">
        <v>125</v>
      </c>
    </row>
    <row r="148" spans="1:11" ht="27.9" customHeight="1" x14ac:dyDescent="0.3">
      <c r="A148" s="3">
        <v>45633</v>
      </c>
      <c r="B148" s="4" t="s">
        <v>122</v>
      </c>
      <c r="C148" s="4" t="s">
        <v>141</v>
      </c>
      <c r="D148" s="4">
        <v>2</v>
      </c>
      <c r="E148" s="4">
        <v>3</v>
      </c>
      <c r="F148" s="4" t="s">
        <v>130</v>
      </c>
      <c r="G148" s="4">
        <v>17</v>
      </c>
      <c r="H148" s="4">
        <v>7</v>
      </c>
      <c r="I148" s="4" t="s">
        <v>246</v>
      </c>
      <c r="J148" s="7">
        <v>0</v>
      </c>
      <c r="K148" s="4" t="s">
        <v>250</v>
      </c>
    </row>
    <row r="149" spans="1:11" ht="27.9" customHeight="1" x14ac:dyDescent="0.3">
      <c r="A149" s="3">
        <v>45634</v>
      </c>
      <c r="B149" s="4" t="s">
        <v>123</v>
      </c>
      <c r="C149" s="4" t="s">
        <v>132</v>
      </c>
      <c r="D149" s="4">
        <v>1</v>
      </c>
      <c r="E149" s="4">
        <v>1</v>
      </c>
      <c r="F149" s="4" t="s">
        <v>125</v>
      </c>
      <c r="G149" s="4">
        <v>2</v>
      </c>
      <c r="H149" s="4">
        <v>2</v>
      </c>
      <c r="I149" s="4" t="s">
        <v>246</v>
      </c>
      <c r="J149" s="7">
        <v>1</v>
      </c>
      <c r="K149" s="4" t="s">
        <v>125</v>
      </c>
    </row>
    <row r="150" spans="1:11" ht="27.9" customHeight="1" x14ac:dyDescent="0.3">
      <c r="A150" s="3">
        <v>45634</v>
      </c>
      <c r="B150" s="4" t="s">
        <v>128</v>
      </c>
      <c r="C150" s="4" t="s">
        <v>142</v>
      </c>
      <c r="D150" s="4">
        <v>1</v>
      </c>
      <c r="E150" s="4">
        <v>2</v>
      </c>
      <c r="F150" s="4" t="s">
        <v>130</v>
      </c>
      <c r="G150" s="4">
        <v>18</v>
      </c>
      <c r="H150" s="4">
        <v>5</v>
      </c>
      <c r="I150" s="4" t="s">
        <v>246</v>
      </c>
      <c r="J150" s="7">
        <v>0</v>
      </c>
      <c r="K150" s="4" t="s">
        <v>250</v>
      </c>
    </row>
    <row r="151" spans="1:11" ht="27.9" customHeight="1" x14ac:dyDescent="0.3">
      <c r="A151" s="3">
        <v>45634</v>
      </c>
      <c r="B151" s="4" t="s">
        <v>155</v>
      </c>
      <c r="C151" s="4" t="s">
        <v>136</v>
      </c>
      <c r="D151" s="4">
        <v>2</v>
      </c>
      <c r="E151" s="4">
        <v>2</v>
      </c>
      <c r="F151" s="4" t="s">
        <v>125</v>
      </c>
      <c r="G151" s="4">
        <v>10</v>
      </c>
      <c r="H151" s="4">
        <v>3</v>
      </c>
      <c r="I151" s="4" t="s">
        <v>246</v>
      </c>
      <c r="J151" s="7">
        <v>1</v>
      </c>
      <c r="K151" s="4" t="s">
        <v>125</v>
      </c>
    </row>
    <row r="152" spans="1:11" ht="27.9" customHeight="1" x14ac:dyDescent="0.3">
      <c r="A152" s="3">
        <v>45634</v>
      </c>
      <c r="B152" s="4" t="s">
        <v>156</v>
      </c>
      <c r="C152" s="4" t="s">
        <v>151</v>
      </c>
      <c r="D152" s="4">
        <v>3</v>
      </c>
      <c r="E152" s="4">
        <v>4</v>
      </c>
      <c r="F152" s="4" t="s">
        <v>130</v>
      </c>
      <c r="G152" s="4">
        <v>13</v>
      </c>
      <c r="H152" s="4">
        <v>5</v>
      </c>
      <c r="I152" s="4" t="s">
        <v>246</v>
      </c>
      <c r="J152" s="7">
        <v>0</v>
      </c>
      <c r="K152" s="4" t="s">
        <v>250</v>
      </c>
    </row>
    <row r="153" spans="1:11" ht="27.9" customHeight="1" x14ac:dyDescent="0.3">
      <c r="A153" s="3">
        <v>45635</v>
      </c>
      <c r="B153" s="4" t="s">
        <v>144</v>
      </c>
      <c r="C153" s="4" t="s">
        <v>133</v>
      </c>
      <c r="D153" s="4">
        <v>2</v>
      </c>
      <c r="E153" s="4">
        <v>1</v>
      </c>
      <c r="F153" s="4" t="s">
        <v>124</v>
      </c>
      <c r="G153" s="4">
        <v>19</v>
      </c>
      <c r="H153" s="4">
        <v>4</v>
      </c>
      <c r="I153" s="4" t="s">
        <v>246</v>
      </c>
      <c r="J153" s="7">
        <v>3</v>
      </c>
      <c r="K153" s="4" t="s">
        <v>249</v>
      </c>
    </row>
    <row r="154" spans="1:11" ht="27.9" customHeight="1" x14ac:dyDescent="0.3">
      <c r="A154" s="3">
        <v>45640</v>
      </c>
      <c r="B154" s="4" t="s">
        <v>132</v>
      </c>
      <c r="C154" s="4" t="s">
        <v>135</v>
      </c>
      <c r="D154" s="4">
        <v>0</v>
      </c>
      <c r="E154" s="4">
        <v>0</v>
      </c>
      <c r="F154" s="4" t="s">
        <v>125</v>
      </c>
      <c r="G154" s="4">
        <v>13</v>
      </c>
      <c r="H154" s="4">
        <v>5</v>
      </c>
      <c r="I154" s="4" t="s">
        <v>246</v>
      </c>
      <c r="J154" s="7">
        <v>1</v>
      </c>
      <c r="K154" s="4" t="s">
        <v>125</v>
      </c>
    </row>
    <row r="155" spans="1:11" ht="27.9" customHeight="1" x14ac:dyDescent="0.3">
      <c r="A155" s="3">
        <v>45640</v>
      </c>
      <c r="B155" s="4" t="s">
        <v>129</v>
      </c>
      <c r="C155" s="4" t="s">
        <v>123</v>
      </c>
      <c r="D155" s="4">
        <v>2</v>
      </c>
      <c r="E155" s="4">
        <v>2</v>
      </c>
      <c r="F155" s="4" t="s">
        <v>125</v>
      </c>
      <c r="G155" s="4">
        <v>16</v>
      </c>
      <c r="H155" s="4">
        <v>4</v>
      </c>
      <c r="I155" s="4" t="s">
        <v>246</v>
      </c>
      <c r="J155" s="7">
        <v>1</v>
      </c>
      <c r="K155" s="4" t="s">
        <v>125</v>
      </c>
    </row>
    <row r="156" spans="1:11" ht="27.9" customHeight="1" x14ac:dyDescent="0.3">
      <c r="A156" s="3">
        <v>45640</v>
      </c>
      <c r="B156" s="4" t="s">
        <v>138</v>
      </c>
      <c r="C156" s="4" t="s">
        <v>155</v>
      </c>
      <c r="D156" s="4">
        <v>4</v>
      </c>
      <c r="E156" s="4">
        <v>0</v>
      </c>
      <c r="F156" s="4" t="s">
        <v>124</v>
      </c>
      <c r="G156" s="4">
        <v>27</v>
      </c>
      <c r="H156" s="4">
        <v>11</v>
      </c>
      <c r="I156" s="4" t="s">
        <v>246</v>
      </c>
      <c r="J156" s="7">
        <v>3</v>
      </c>
      <c r="K156" s="4" t="s">
        <v>249</v>
      </c>
    </row>
    <row r="157" spans="1:11" ht="27.9" customHeight="1" x14ac:dyDescent="0.3">
      <c r="A157" s="3">
        <v>45640</v>
      </c>
      <c r="B157" s="4" t="s">
        <v>133</v>
      </c>
      <c r="C157" s="4" t="s">
        <v>128</v>
      </c>
      <c r="D157" s="4">
        <v>1</v>
      </c>
      <c r="E157" s="4">
        <v>2</v>
      </c>
      <c r="F157" s="4" t="s">
        <v>130</v>
      </c>
      <c r="G157" s="4">
        <v>16</v>
      </c>
      <c r="H157" s="4">
        <v>6</v>
      </c>
      <c r="I157" s="4" t="s">
        <v>246</v>
      </c>
      <c r="J157" s="7">
        <v>0</v>
      </c>
      <c r="K157" s="4" t="s">
        <v>250</v>
      </c>
    </row>
    <row r="158" spans="1:11" ht="27.9" customHeight="1" x14ac:dyDescent="0.3">
      <c r="A158" s="3">
        <v>45640</v>
      </c>
      <c r="B158" s="4" t="s">
        <v>141</v>
      </c>
      <c r="C158" s="4" t="s">
        <v>145</v>
      </c>
      <c r="D158" s="4">
        <v>2</v>
      </c>
      <c r="E158" s="4">
        <v>1</v>
      </c>
      <c r="F158" s="4" t="s">
        <v>124</v>
      </c>
      <c r="G158" s="4">
        <v>17</v>
      </c>
      <c r="H158" s="4">
        <v>6</v>
      </c>
      <c r="I158" s="4" t="s">
        <v>246</v>
      </c>
      <c r="J158" s="7">
        <v>3</v>
      </c>
      <c r="K158" s="4" t="s">
        <v>249</v>
      </c>
    </row>
    <row r="159" spans="1:11" ht="27.9" customHeight="1" x14ac:dyDescent="0.3">
      <c r="A159" s="3">
        <v>45641</v>
      </c>
      <c r="B159" s="4" t="s">
        <v>136</v>
      </c>
      <c r="C159" s="4" t="s">
        <v>149</v>
      </c>
      <c r="D159" s="4">
        <v>1</v>
      </c>
      <c r="E159" s="4">
        <v>3</v>
      </c>
      <c r="F159" s="4" t="s">
        <v>130</v>
      </c>
      <c r="G159" s="4">
        <v>17</v>
      </c>
      <c r="H159" s="4">
        <v>5</v>
      </c>
      <c r="I159" s="4" t="s">
        <v>246</v>
      </c>
      <c r="J159" s="7">
        <v>0</v>
      </c>
      <c r="K159" s="4" t="s">
        <v>250</v>
      </c>
    </row>
    <row r="160" spans="1:11" ht="27.9" customHeight="1" x14ac:dyDescent="0.3">
      <c r="A160" s="3">
        <v>45641</v>
      </c>
      <c r="B160" s="4" t="s">
        <v>152</v>
      </c>
      <c r="C160" s="4" t="s">
        <v>122</v>
      </c>
      <c r="D160" s="4">
        <v>1</v>
      </c>
      <c r="E160" s="4">
        <v>2</v>
      </c>
      <c r="F160" s="4" t="s">
        <v>130</v>
      </c>
      <c r="G160" s="4">
        <v>10</v>
      </c>
      <c r="H160" s="4">
        <v>3</v>
      </c>
      <c r="I160" s="4" t="s">
        <v>246</v>
      </c>
      <c r="J160" s="7">
        <v>0</v>
      </c>
      <c r="K160" s="4" t="s">
        <v>250</v>
      </c>
    </row>
    <row r="161" spans="1:11" ht="27.9" customHeight="1" x14ac:dyDescent="0.3">
      <c r="A161" s="3">
        <v>45641</v>
      </c>
      <c r="B161" s="4" t="s">
        <v>151</v>
      </c>
      <c r="C161" s="4" t="s">
        <v>148</v>
      </c>
      <c r="D161" s="4">
        <v>2</v>
      </c>
      <c r="E161" s="4">
        <v>1</v>
      </c>
      <c r="F161" s="4" t="s">
        <v>124</v>
      </c>
      <c r="G161" s="4">
        <v>26</v>
      </c>
      <c r="H161" s="4">
        <v>8</v>
      </c>
      <c r="I161" s="4" t="s">
        <v>246</v>
      </c>
      <c r="J161" s="7">
        <v>3</v>
      </c>
      <c r="K161" s="4" t="s">
        <v>249</v>
      </c>
    </row>
    <row r="162" spans="1:11" ht="27.9" customHeight="1" x14ac:dyDescent="0.3">
      <c r="A162" s="3">
        <v>45641</v>
      </c>
      <c r="B162" s="4" t="s">
        <v>139</v>
      </c>
      <c r="C162" s="4" t="s">
        <v>156</v>
      </c>
      <c r="D162" s="4">
        <v>0</v>
      </c>
      <c r="E162" s="4">
        <v>5</v>
      </c>
      <c r="F162" s="4" t="s">
        <v>130</v>
      </c>
      <c r="G162" s="4">
        <v>9</v>
      </c>
      <c r="H162" s="4">
        <v>3</v>
      </c>
      <c r="I162" s="4" t="s">
        <v>246</v>
      </c>
      <c r="J162" s="7">
        <v>0</v>
      </c>
      <c r="K162" s="4" t="s">
        <v>250</v>
      </c>
    </row>
    <row r="163" spans="1:11" ht="27.9" customHeight="1" x14ac:dyDescent="0.3">
      <c r="A163" s="3">
        <v>45642</v>
      </c>
      <c r="B163" s="4" t="s">
        <v>142</v>
      </c>
      <c r="C163" s="4" t="s">
        <v>144</v>
      </c>
      <c r="D163" s="4">
        <v>1</v>
      </c>
      <c r="E163" s="4">
        <v>1</v>
      </c>
      <c r="F163" s="4" t="s">
        <v>125</v>
      </c>
      <c r="G163" s="4">
        <v>29</v>
      </c>
      <c r="H163" s="4">
        <v>9</v>
      </c>
      <c r="I163" s="4" t="s">
        <v>246</v>
      </c>
      <c r="J163" s="7">
        <v>1</v>
      </c>
      <c r="K163" s="4" t="s">
        <v>125</v>
      </c>
    </row>
    <row r="164" spans="1:11" ht="27.9" customHeight="1" x14ac:dyDescent="0.3">
      <c r="A164" s="3">
        <v>45647</v>
      </c>
      <c r="B164" s="4" t="s">
        <v>145</v>
      </c>
      <c r="C164" s="4" t="s">
        <v>152</v>
      </c>
      <c r="D164" s="4">
        <v>2</v>
      </c>
      <c r="E164" s="4">
        <v>1</v>
      </c>
      <c r="F164" s="4" t="s">
        <v>124</v>
      </c>
      <c r="G164" s="4">
        <v>11</v>
      </c>
      <c r="H164" s="4">
        <v>6</v>
      </c>
      <c r="I164" s="4" t="s">
        <v>246</v>
      </c>
      <c r="J164" s="7">
        <v>3</v>
      </c>
      <c r="K164" s="4" t="s">
        <v>249</v>
      </c>
    </row>
    <row r="165" spans="1:11" ht="27.9" customHeight="1" x14ac:dyDescent="0.3">
      <c r="A165" s="3">
        <v>45647</v>
      </c>
      <c r="B165" s="4" t="s">
        <v>148</v>
      </c>
      <c r="C165" s="4" t="s">
        <v>141</v>
      </c>
      <c r="D165" s="4">
        <v>0</v>
      </c>
      <c r="E165" s="4">
        <v>2</v>
      </c>
      <c r="F165" s="4" t="s">
        <v>130</v>
      </c>
      <c r="G165" s="4">
        <v>7</v>
      </c>
      <c r="H165" s="4">
        <v>3</v>
      </c>
      <c r="I165" s="4" t="s">
        <v>246</v>
      </c>
      <c r="J165" s="7">
        <v>0</v>
      </c>
      <c r="K165" s="4" t="s">
        <v>250</v>
      </c>
    </row>
    <row r="166" spans="1:11" ht="27.9" customHeight="1" x14ac:dyDescent="0.3">
      <c r="A166" s="3">
        <v>45647</v>
      </c>
      <c r="B166" s="4" t="s">
        <v>128</v>
      </c>
      <c r="C166" s="4" t="s">
        <v>138</v>
      </c>
      <c r="D166" s="4">
        <v>0</v>
      </c>
      <c r="E166" s="4">
        <v>4</v>
      </c>
      <c r="F166" s="4" t="s">
        <v>130</v>
      </c>
      <c r="G166" s="4">
        <v>10</v>
      </c>
      <c r="H166" s="4">
        <v>2</v>
      </c>
      <c r="I166" s="4" t="s">
        <v>246</v>
      </c>
      <c r="J166" s="7">
        <v>0</v>
      </c>
      <c r="K166" s="4" t="s">
        <v>250</v>
      </c>
    </row>
    <row r="167" spans="1:11" ht="27.9" customHeight="1" x14ac:dyDescent="0.3">
      <c r="A167" s="3">
        <v>45647</v>
      </c>
      <c r="B167" s="4" t="s">
        <v>144</v>
      </c>
      <c r="C167" s="4" t="s">
        <v>136</v>
      </c>
      <c r="D167" s="4">
        <v>1</v>
      </c>
      <c r="E167" s="4">
        <v>1</v>
      </c>
      <c r="F167" s="4" t="s">
        <v>125</v>
      </c>
      <c r="G167" s="4">
        <v>11</v>
      </c>
      <c r="H167" s="4">
        <v>4</v>
      </c>
      <c r="I167" s="4" t="s">
        <v>246</v>
      </c>
      <c r="J167" s="7">
        <v>1</v>
      </c>
      <c r="K167" s="4" t="s">
        <v>125</v>
      </c>
    </row>
    <row r="168" spans="1:11" ht="27.9" customHeight="1" x14ac:dyDescent="0.3">
      <c r="A168" s="3">
        <v>45647</v>
      </c>
      <c r="B168" s="4" t="s">
        <v>149</v>
      </c>
      <c r="C168" s="4" t="s">
        <v>132</v>
      </c>
      <c r="D168" s="4">
        <v>1</v>
      </c>
      <c r="E168" s="4">
        <v>5</v>
      </c>
      <c r="F168" s="4" t="s">
        <v>130</v>
      </c>
      <c r="G168" s="4">
        <v>15</v>
      </c>
      <c r="H168" s="4">
        <v>6</v>
      </c>
      <c r="I168" s="4" t="s">
        <v>246</v>
      </c>
      <c r="J168" s="7">
        <v>0</v>
      </c>
      <c r="K168" s="4" t="s">
        <v>250</v>
      </c>
    </row>
    <row r="169" spans="1:11" ht="27.9" customHeight="1" x14ac:dyDescent="0.3">
      <c r="A169" s="3">
        <v>45648</v>
      </c>
      <c r="B169" s="4" t="s">
        <v>135</v>
      </c>
      <c r="C169" s="4" t="s">
        <v>151</v>
      </c>
      <c r="D169" s="4">
        <v>0</v>
      </c>
      <c r="E169" s="4">
        <v>0</v>
      </c>
      <c r="F169" s="4" t="s">
        <v>125</v>
      </c>
      <c r="G169" s="4">
        <v>5</v>
      </c>
      <c r="H169" s="4">
        <v>4</v>
      </c>
      <c r="I169" s="4" t="s">
        <v>246</v>
      </c>
      <c r="J169" s="7">
        <v>1</v>
      </c>
      <c r="K169" s="4" t="s">
        <v>125</v>
      </c>
    </row>
    <row r="170" spans="1:11" ht="27.9" customHeight="1" x14ac:dyDescent="0.3">
      <c r="A170" s="3">
        <v>45648</v>
      </c>
      <c r="B170" s="4" t="s">
        <v>123</v>
      </c>
      <c r="C170" s="4" t="s">
        <v>139</v>
      </c>
      <c r="D170" s="4">
        <v>0</v>
      </c>
      <c r="E170" s="4">
        <v>0</v>
      </c>
      <c r="F170" s="4" t="s">
        <v>125</v>
      </c>
      <c r="G170" s="4">
        <v>16</v>
      </c>
      <c r="H170" s="4">
        <v>5</v>
      </c>
      <c r="I170" s="4" t="s">
        <v>246</v>
      </c>
      <c r="J170" s="7">
        <v>1</v>
      </c>
      <c r="K170" s="4" t="s">
        <v>125</v>
      </c>
    </row>
    <row r="171" spans="1:11" ht="27.9" customHeight="1" x14ac:dyDescent="0.3">
      <c r="A171" s="3">
        <v>45648</v>
      </c>
      <c r="B171" s="4" t="s">
        <v>155</v>
      </c>
      <c r="C171" s="4" t="s">
        <v>133</v>
      </c>
      <c r="D171" s="4">
        <v>0</v>
      </c>
      <c r="E171" s="4">
        <v>3</v>
      </c>
      <c r="F171" s="4" t="s">
        <v>130</v>
      </c>
      <c r="G171" s="4">
        <v>9</v>
      </c>
      <c r="H171" s="4">
        <v>5</v>
      </c>
      <c r="I171" s="4" t="s">
        <v>246</v>
      </c>
      <c r="J171" s="7">
        <v>0</v>
      </c>
      <c r="K171" s="4" t="s">
        <v>250</v>
      </c>
    </row>
    <row r="172" spans="1:11" ht="27.9" customHeight="1" x14ac:dyDescent="0.3">
      <c r="A172" s="3">
        <v>45648</v>
      </c>
      <c r="B172" s="4" t="s">
        <v>122</v>
      </c>
      <c r="C172" s="4" t="s">
        <v>142</v>
      </c>
      <c r="D172" s="4">
        <v>0</v>
      </c>
      <c r="E172" s="4">
        <v>3</v>
      </c>
      <c r="F172" s="4" t="s">
        <v>130</v>
      </c>
      <c r="G172" s="4">
        <v>23</v>
      </c>
      <c r="H172" s="4">
        <v>7</v>
      </c>
      <c r="I172" s="4" t="s">
        <v>246</v>
      </c>
      <c r="J172" s="7">
        <v>0</v>
      </c>
      <c r="K172" s="4" t="s">
        <v>250</v>
      </c>
    </row>
    <row r="173" spans="1:11" ht="27.9" customHeight="1" x14ac:dyDescent="0.3">
      <c r="A173" s="3">
        <v>45648</v>
      </c>
      <c r="B173" s="4" t="s">
        <v>156</v>
      </c>
      <c r="C173" s="4" t="s">
        <v>129</v>
      </c>
      <c r="D173" s="4">
        <v>3</v>
      </c>
      <c r="E173" s="4">
        <v>6</v>
      </c>
      <c r="F173" s="4" t="s">
        <v>130</v>
      </c>
      <c r="G173" s="4">
        <v>9</v>
      </c>
      <c r="H173" s="4">
        <v>5</v>
      </c>
      <c r="I173" s="4" t="s">
        <v>246</v>
      </c>
      <c r="J173" s="7">
        <v>0</v>
      </c>
      <c r="K173" s="4" t="s">
        <v>250</v>
      </c>
    </row>
    <row r="174" spans="1:11" ht="27.9" customHeight="1" x14ac:dyDescent="0.3">
      <c r="A174" s="3">
        <v>45652</v>
      </c>
      <c r="B174" s="4" t="s">
        <v>152</v>
      </c>
      <c r="C174" s="4" t="s">
        <v>135</v>
      </c>
      <c r="D174" s="4">
        <v>1</v>
      </c>
      <c r="E174" s="4">
        <v>1</v>
      </c>
      <c r="F174" s="4" t="s">
        <v>125</v>
      </c>
      <c r="G174" s="4">
        <v>24</v>
      </c>
      <c r="H174" s="4">
        <v>5</v>
      </c>
      <c r="I174" s="4" t="s">
        <v>246</v>
      </c>
      <c r="J174" s="7">
        <v>1</v>
      </c>
      <c r="K174" s="4" t="s">
        <v>125</v>
      </c>
    </row>
    <row r="175" spans="1:11" ht="27.9" customHeight="1" x14ac:dyDescent="0.3">
      <c r="A175" s="3">
        <v>45652</v>
      </c>
      <c r="B175" s="4" t="s">
        <v>142</v>
      </c>
      <c r="C175" s="4" t="s">
        <v>149</v>
      </c>
      <c r="D175" s="4">
        <v>0</v>
      </c>
      <c r="E175" s="4">
        <v>0</v>
      </c>
      <c r="F175" s="4" t="s">
        <v>125</v>
      </c>
      <c r="G175" s="4">
        <v>18</v>
      </c>
      <c r="H175" s="4">
        <v>4</v>
      </c>
      <c r="I175" s="4" t="s">
        <v>246</v>
      </c>
      <c r="J175" s="7">
        <v>1</v>
      </c>
      <c r="K175" s="4" t="s">
        <v>125</v>
      </c>
    </row>
    <row r="176" spans="1:11" ht="27.9" customHeight="1" x14ac:dyDescent="0.3">
      <c r="A176" s="3">
        <v>45652</v>
      </c>
      <c r="B176" s="4" t="s">
        <v>151</v>
      </c>
      <c r="C176" s="4" t="s">
        <v>123</v>
      </c>
      <c r="D176" s="4">
        <v>1</v>
      </c>
      <c r="E176" s="4">
        <v>2</v>
      </c>
      <c r="F176" s="4" t="s">
        <v>130</v>
      </c>
      <c r="G176" s="4">
        <v>12</v>
      </c>
      <c r="H176" s="4">
        <v>8</v>
      </c>
      <c r="I176" s="4" t="s">
        <v>246</v>
      </c>
      <c r="J176" s="7">
        <v>0</v>
      </c>
      <c r="K176" s="4" t="s">
        <v>250</v>
      </c>
    </row>
    <row r="177" spans="1:11" ht="27.9" customHeight="1" x14ac:dyDescent="0.3">
      <c r="A177" s="3">
        <v>45652</v>
      </c>
      <c r="B177" s="4" t="s">
        <v>138</v>
      </c>
      <c r="C177" s="4" t="s">
        <v>145</v>
      </c>
      <c r="D177" s="4">
        <v>3</v>
      </c>
      <c r="E177" s="4">
        <v>0</v>
      </c>
      <c r="F177" s="4" t="s">
        <v>124</v>
      </c>
      <c r="G177" s="4">
        <v>22</v>
      </c>
      <c r="H177" s="4">
        <v>8</v>
      </c>
      <c r="I177" s="4" t="s">
        <v>246</v>
      </c>
      <c r="J177" s="7">
        <v>3</v>
      </c>
      <c r="K177" s="4" t="s">
        <v>249</v>
      </c>
    </row>
    <row r="178" spans="1:11" ht="27.9" customHeight="1" x14ac:dyDescent="0.3">
      <c r="A178" s="3">
        <v>45652</v>
      </c>
      <c r="B178" s="4" t="s">
        <v>141</v>
      </c>
      <c r="C178" s="4" t="s">
        <v>156</v>
      </c>
      <c r="D178" s="4">
        <v>1</v>
      </c>
      <c r="E178" s="4">
        <v>0</v>
      </c>
      <c r="F178" s="4" t="s">
        <v>124</v>
      </c>
      <c r="G178" s="4">
        <v>10</v>
      </c>
      <c r="H178" s="4">
        <v>3</v>
      </c>
      <c r="I178" s="4" t="s">
        <v>246</v>
      </c>
      <c r="J178" s="7">
        <v>3</v>
      </c>
      <c r="K178" s="4" t="s">
        <v>249</v>
      </c>
    </row>
    <row r="179" spans="1:11" ht="27.9" customHeight="1" x14ac:dyDescent="0.3">
      <c r="A179" s="3">
        <v>45652</v>
      </c>
      <c r="B179" s="4" t="s">
        <v>139</v>
      </c>
      <c r="C179" s="4" t="s">
        <v>144</v>
      </c>
      <c r="D179" s="4">
        <v>0</v>
      </c>
      <c r="E179" s="4">
        <v>1</v>
      </c>
      <c r="F179" s="4" t="s">
        <v>130</v>
      </c>
      <c r="G179" s="4">
        <v>18</v>
      </c>
      <c r="H179" s="4">
        <v>5</v>
      </c>
      <c r="I179" s="4" t="s">
        <v>246</v>
      </c>
      <c r="J179" s="7">
        <v>0</v>
      </c>
      <c r="K179" s="4" t="s">
        <v>250</v>
      </c>
    </row>
    <row r="180" spans="1:11" ht="27.9" customHeight="1" x14ac:dyDescent="0.3">
      <c r="A180" s="3">
        <v>45652</v>
      </c>
      <c r="B180" s="4" t="s">
        <v>133</v>
      </c>
      <c r="C180" s="4" t="s">
        <v>122</v>
      </c>
      <c r="D180" s="4">
        <v>2</v>
      </c>
      <c r="E180" s="4">
        <v>0</v>
      </c>
      <c r="F180" s="4" t="s">
        <v>124</v>
      </c>
      <c r="G180" s="4">
        <v>7</v>
      </c>
      <c r="H180" s="4">
        <v>4</v>
      </c>
      <c r="I180" s="4" t="s">
        <v>246</v>
      </c>
      <c r="J180" s="7">
        <v>3</v>
      </c>
      <c r="K180" s="4" t="s">
        <v>249</v>
      </c>
    </row>
    <row r="181" spans="1:11" ht="27.9" customHeight="1" x14ac:dyDescent="0.3">
      <c r="A181" s="3">
        <v>45652</v>
      </c>
      <c r="B181" s="4" t="s">
        <v>129</v>
      </c>
      <c r="C181" s="4" t="s">
        <v>155</v>
      </c>
      <c r="D181" s="4">
        <v>3</v>
      </c>
      <c r="E181" s="4">
        <v>1</v>
      </c>
      <c r="F181" s="4" t="s">
        <v>124</v>
      </c>
      <c r="G181" s="4">
        <v>19</v>
      </c>
      <c r="H181" s="4">
        <v>7</v>
      </c>
      <c r="I181" s="4" t="s">
        <v>246</v>
      </c>
      <c r="J181" s="7">
        <v>3</v>
      </c>
      <c r="K181" s="4" t="s">
        <v>249</v>
      </c>
    </row>
    <row r="182" spans="1:11" ht="27.9" customHeight="1" x14ac:dyDescent="0.3">
      <c r="A182" s="3">
        <v>45653</v>
      </c>
      <c r="B182" s="4" t="s">
        <v>136</v>
      </c>
      <c r="C182" s="4" t="s">
        <v>148</v>
      </c>
      <c r="D182" s="4">
        <v>0</v>
      </c>
      <c r="E182" s="4">
        <v>0</v>
      </c>
      <c r="F182" s="4" t="s">
        <v>125</v>
      </c>
      <c r="G182" s="4">
        <v>24</v>
      </c>
      <c r="H182" s="4">
        <v>7</v>
      </c>
      <c r="I182" s="4" t="s">
        <v>246</v>
      </c>
      <c r="J182" s="7">
        <v>1</v>
      </c>
      <c r="K182" s="4" t="s">
        <v>125</v>
      </c>
    </row>
    <row r="183" spans="1:11" ht="27.9" customHeight="1" x14ac:dyDescent="0.3">
      <c r="A183" s="3">
        <v>45653</v>
      </c>
      <c r="B183" s="4" t="s">
        <v>132</v>
      </c>
      <c r="C183" s="4" t="s">
        <v>128</v>
      </c>
      <c r="D183" s="4">
        <v>1</v>
      </c>
      <c r="E183" s="4">
        <v>0</v>
      </c>
      <c r="F183" s="4" t="s">
        <v>124</v>
      </c>
      <c r="G183" s="4">
        <v>13</v>
      </c>
      <c r="H183" s="4">
        <v>5</v>
      </c>
      <c r="I183" s="4" t="s">
        <v>246</v>
      </c>
      <c r="J183" s="7">
        <v>3</v>
      </c>
      <c r="K183" s="4" t="s">
        <v>249</v>
      </c>
    </row>
    <row r="184" spans="1:11" ht="27.9" customHeight="1" x14ac:dyDescent="0.3">
      <c r="A184" s="3">
        <v>45655</v>
      </c>
      <c r="B184" s="4" t="s">
        <v>155</v>
      </c>
      <c r="C184" s="4" t="s">
        <v>152</v>
      </c>
      <c r="D184" s="4">
        <v>0</v>
      </c>
      <c r="E184" s="4">
        <v>2</v>
      </c>
      <c r="F184" s="4" t="s">
        <v>130</v>
      </c>
      <c r="G184" s="4">
        <v>11</v>
      </c>
      <c r="H184" s="4">
        <v>4</v>
      </c>
      <c r="I184" s="4" t="s">
        <v>246</v>
      </c>
      <c r="J184" s="7">
        <v>0</v>
      </c>
      <c r="K184" s="4" t="s">
        <v>250</v>
      </c>
    </row>
    <row r="185" spans="1:11" ht="27.9" customHeight="1" x14ac:dyDescent="0.3">
      <c r="A185" s="3">
        <v>45655</v>
      </c>
      <c r="B185" s="4" t="s">
        <v>149</v>
      </c>
      <c r="C185" s="4" t="s">
        <v>139</v>
      </c>
      <c r="D185" s="4">
        <v>2</v>
      </c>
      <c r="E185" s="4">
        <v>1</v>
      </c>
      <c r="F185" s="4" t="s">
        <v>124</v>
      </c>
      <c r="G185" s="4">
        <v>19</v>
      </c>
      <c r="H185" s="4">
        <v>10</v>
      </c>
      <c r="I185" s="4" t="s">
        <v>246</v>
      </c>
      <c r="J185" s="7">
        <v>3</v>
      </c>
      <c r="K185" s="4" t="s">
        <v>249</v>
      </c>
    </row>
    <row r="186" spans="1:11" ht="27.9" customHeight="1" x14ac:dyDescent="0.3">
      <c r="A186" s="3">
        <v>45655</v>
      </c>
      <c r="B186" s="4" t="s">
        <v>135</v>
      </c>
      <c r="C186" s="4" t="s">
        <v>141</v>
      </c>
      <c r="D186" s="4">
        <v>0</v>
      </c>
      <c r="E186" s="4">
        <v>2</v>
      </c>
      <c r="F186" s="4" t="s">
        <v>130</v>
      </c>
      <c r="G186" s="4">
        <v>13</v>
      </c>
      <c r="H186" s="4">
        <v>2</v>
      </c>
      <c r="I186" s="4" t="s">
        <v>246</v>
      </c>
      <c r="J186" s="7">
        <v>0</v>
      </c>
      <c r="K186" s="4" t="s">
        <v>250</v>
      </c>
    </row>
    <row r="187" spans="1:11" ht="27.9" customHeight="1" x14ac:dyDescent="0.3">
      <c r="A187" s="3">
        <v>45655</v>
      </c>
      <c r="B187" s="4" t="s">
        <v>123</v>
      </c>
      <c r="C187" s="4" t="s">
        <v>142</v>
      </c>
      <c r="D187" s="4">
        <v>2</v>
      </c>
      <c r="E187" s="4">
        <v>2</v>
      </c>
      <c r="F187" s="4" t="s">
        <v>125</v>
      </c>
      <c r="G187" s="4">
        <v>11</v>
      </c>
      <c r="H187" s="4">
        <v>6</v>
      </c>
      <c r="I187" s="4" t="s">
        <v>246</v>
      </c>
      <c r="J187" s="7">
        <v>1</v>
      </c>
      <c r="K187" s="4" t="s">
        <v>125</v>
      </c>
    </row>
    <row r="188" spans="1:11" ht="27.9" customHeight="1" x14ac:dyDescent="0.3">
      <c r="A188" s="3">
        <v>45655</v>
      </c>
      <c r="B188" s="4" t="s">
        <v>156</v>
      </c>
      <c r="C188" s="4" t="s">
        <v>133</v>
      </c>
      <c r="D188" s="4">
        <v>2</v>
      </c>
      <c r="E188" s="4">
        <v>2</v>
      </c>
      <c r="F188" s="4" t="s">
        <v>125</v>
      </c>
      <c r="G188" s="4">
        <v>13</v>
      </c>
      <c r="H188" s="4">
        <v>3</v>
      </c>
      <c r="I188" s="4" t="s">
        <v>246</v>
      </c>
      <c r="J188" s="7">
        <v>1</v>
      </c>
      <c r="K188" s="4" t="s">
        <v>125</v>
      </c>
    </row>
    <row r="189" spans="1:11" ht="27.9" customHeight="1" x14ac:dyDescent="0.3">
      <c r="A189" s="3">
        <v>45655</v>
      </c>
      <c r="B189" s="4" t="s">
        <v>144</v>
      </c>
      <c r="C189" s="4" t="s">
        <v>129</v>
      </c>
      <c r="D189" s="4">
        <v>0</v>
      </c>
      <c r="E189" s="4">
        <v>5</v>
      </c>
      <c r="F189" s="4" t="s">
        <v>130</v>
      </c>
      <c r="G189" s="4">
        <v>7</v>
      </c>
      <c r="H189" s="4">
        <v>0</v>
      </c>
      <c r="I189" s="4" t="s">
        <v>246</v>
      </c>
      <c r="J189" s="7">
        <v>0</v>
      </c>
      <c r="K189" s="4" t="s">
        <v>250</v>
      </c>
    </row>
    <row r="190" spans="1:11" ht="27.9" customHeight="1" x14ac:dyDescent="0.3">
      <c r="A190" s="3">
        <v>45656</v>
      </c>
      <c r="B190" s="4" t="s">
        <v>145</v>
      </c>
      <c r="C190" s="4" t="s">
        <v>136</v>
      </c>
      <c r="D190" s="4">
        <v>2</v>
      </c>
      <c r="E190" s="4">
        <v>2</v>
      </c>
      <c r="F190" s="4" t="s">
        <v>125</v>
      </c>
      <c r="G190" s="4">
        <v>20</v>
      </c>
      <c r="H190" s="4">
        <v>4</v>
      </c>
      <c r="I190" s="4" t="s">
        <v>246</v>
      </c>
      <c r="J190" s="7">
        <v>1</v>
      </c>
      <c r="K190" s="4" t="s">
        <v>125</v>
      </c>
    </row>
    <row r="191" spans="1:11" ht="27.9" customHeight="1" x14ac:dyDescent="0.3">
      <c r="A191" s="3">
        <v>45656</v>
      </c>
      <c r="B191" s="4" t="s">
        <v>128</v>
      </c>
      <c r="C191" s="4" t="s">
        <v>151</v>
      </c>
      <c r="D191" s="4">
        <v>2</v>
      </c>
      <c r="E191" s="4">
        <v>0</v>
      </c>
      <c r="F191" s="4" t="s">
        <v>124</v>
      </c>
      <c r="G191" s="4">
        <v>9</v>
      </c>
      <c r="H191" s="4">
        <v>6</v>
      </c>
      <c r="I191" s="4" t="s">
        <v>246</v>
      </c>
      <c r="J191" s="7">
        <v>3</v>
      </c>
      <c r="K191" s="4" t="s">
        <v>249</v>
      </c>
    </row>
    <row r="192" spans="1:11" ht="27.9" customHeight="1" x14ac:dyDescent="0.3">
      <c r="A192" s="3">
        <v>45656</v>
      </c>
      <c r="B192" s="4" t="s">
        <v>122</v>
      </c>
      <c r="C192" s="4" t="s">
        <v>138</v>
      </c>
      <c r="D192" s="4">
        <v>0</v>
      </c>
      <c r="E192" s="4">
        <v>2</v>
      </c>
      <c r="F192" s="4" t="s">
        <v>130</v>
      </c>
      <c r="G192" s="4">
        <v>10</v>
      </c>
      <c r="H192" s="4">
        <v>0</v>
      </c>
      <c r="I192" s="4" t="s">
        <v>246</v>
      </c>
      <c r="J192" s="7">
        <v>0</v>
      </c>
      <c r="K192" s="4" t="s">
        <v>250</v>
      </c>
    </row>
    <row r="193" spans="1:11" ht="27.9" customHeight="1" x14ac:dyDescent="0.3">
      <c r="A193" s="3">
        <v>45658</v>
      </c>
      <c r="B193" s="4" t="s">
        <v>148</v>
      </c>
      <c r="C193" s="4" t="s">
        <v>132</v>
      </c>
      <c r="D193" s="4">
        <v>1</v>
      </c>
      <c r="E193" s="4">
        <v>3</v>
      </c>
      <c r="F193" s="4" t="s">
        <v>130</v>
      </c>
      <c r="G193" s="4">
        <v>5</v>
      </c>
      <c r="H193" s="4">
        <v>2</v>
      </c>
      <c r="I193" s="4" t="s">
        <v>246</v>
      </c>
      <c r="J193" s="7">
        <v>0</v>
      </c>
      <c r="K193" s="4" t="s">
        <v>250</v>
      </c>
    </row>
    <row r="194" spans="1:11" ht="27.9" customHeight="1" x14ac:dyDescent="0.3">
      <c r="A194" s="3">
        <v>45661</v>
      </c>
      <c r="B194" s="4" t="s">
        <v>156</v>
      </c>
      <c r="C194" s="4" t="s">
        <v>138</v>
      </c>
      <c r="D194" s="4">
        <v>1</v>
      </c>
      <c r="E194" s="4">
        <v>2</v>
      </c>
      <c r="F194" s="4" t="s">
        <v>130</v>
      </c>
      <c r="G194" s="4">
        <v>13</v>
      </c>
      <c r="H194" s="4">
        <v>4</v>
      </c>
      <c r="I194" s="4" t="s">
        <v>246</v>
      </c>
      <c r="J194" s="7">
        <v>0</v>
      </c>
      <c r="K194" s="4" t="s">
        <v>250</v>
      </c>
    </row>
    <row r="195" spans="1:11" ht="27.9" customHeight="1" x14ac:dyDescent="0.3">
      <c r="A195" s="3">
        <v>45661</v>
      </c>
      <c r="B195" s="4" t="s">
        <v>145</v>
      </c>
      <c r="C195" s="4" t="s">
        <v>155</v>
      </c>
      <c r="D195" s="4">
        <v>2</v>
      </c>
      <c r="E195" s="4">
        <v>1</v>
      </c>
      <c r="F195" s="4" t="s">
        <v>124</v>
      </c>
      <c r="G195" s="4">
        <v>13</v>
      </c>
      <c r="H195" s="4">
        <v>5</v>
      </c>
      <c r="I195" s="4" t="s">
        <v>246</v>
      </c>
      <c r="J195" s="7">
        <v>3</v>
      </c>
      <c r="K195" s="4" t="s">
        <v>249</v>
      </c>
    </row>
    <row r="196" spans="1:11" ht="27.9" customHeight="1" x14ac:dyDescent="0.3">
      <c r="A196" s="3">
        <v>45661</v>
      </c>
      <c r="B196" s="4" t="s">
        <v>142</v>
      </c>
      <c r="C196" s="4" t="s">
        <v>135</v>
      </c>
      <c r="D196" s="4">
        <v>1</v>
      </c>
      <c r="E196" s="4">
        <v>0</v>
      </c>
      <c r="F196" s="4" t="s">
        <v>124</v>
      </c>
      <c r="G196" s="4">
        <v>19</v>
      </c>
      <c r="H196" s="4">
        <v>8</v>
      </c>
      <c r="I196" s="4" t="s">
        <v>246</v>
      </c>
      <c r="J196" s="7">
        <v>3</v>
      </c>
      <c r="K196" s="4" t="s">
        <v>249</v>
      </c>
    </row>
    <row r="197" spans="1:11" ht="27.9" customHeight="1" x14ac:dyDescent="0.3">
      <c r="A197" s="3">
        <v>45661</v>
      </c>
      <c r="B197" s="4" t="s">
        <v>149</v>
      </c>
      <c r="C197" s="4" t="s">
        <v>151</v>
      </c>
      <c r="D197" s="4">
        <v>1</v>
      </c>
      <c r="E197" s="4">
        <v>1</v>
      </c>
      <c r="F197" s="4" t="s">
        <v>125</v>
      </c>
      <c r="G197" s="4">
        <v>13</v>
      </c>
      <c r="H197" s="4">
        <v>6</v>
      </c>
      <c r="I197" s="4" t="s">
        <v>246</v>
      </c>
      <c r="J197" s="7">
        <v>1</v>
      </c>
      <c r="K197" s="4" t="s">
        <v>125</v>
      </c>
    </row>
    <row r="198" spans="1:11" ht="27.9" customHeight="1" x14ac:dyDescent="0.3">
      <c r="A198" s="3">
        <v>45661</v>
      </c>
      <c r="B198" s="4" t="s">
        <v>152</v>
      </c>
      <c r="C198" s="4" t="s">
        <v>144</v>
      </c>
      <c r="D198" s="4">
        <v>4</v>
      </c>
      <c r="E198" s="4">
        <v>1</v>
      </c>
      <c r="F198" s="4" t="s">
        <v>124</v>
      </c>
      <c r="G198" s="4">
        <v>10</v>
      </c>
      <c r="H198" s="4">
        <v>7</v>
      </c>
      <c r="I198" s="4" t="s">
        <v>246</v>
      </c>
      <c r="J198" s="7">
        <v>3</v>
      </c>
      <c r="K198" s="4" t="s">
        <v>249</v>
      </c>
    </row>
    <row r="199" spans="1:11" ht="27.9" customHeight="1" x14ac:dyDescent="0.3">
      <c r="A199" s="3">
        <v>45661</v>
      </c>
      <c r="B199" s="4" t="s">
        <v>139</v>
      </c>
      <c r="C199" s="4" t="s">
        <v>148</v>
      </c>
      <c r="D199" s="4">
        <v>0</v>
      </c>
      <c r="E199" s="4">
        <v>5</v>
      </c>
      <c r="F199" s="4" t="s">
        <v>130</v>
      </c>
      <c r="G199" s="4">
        <v>8</v>
      </c>
      <c r="H199" s="4">
        <v>1</v>
      </c>
      <c r="I199" s="4" t="s">
        <v>246</v>
      </c>
      <c r="J199" s="7">
        <v>0</v>
      </c>
      <c r="K199" s="4" t="s">
        <v>250</v>
      </c>
    </row>
    <row r="200" spans="1:11" ht="27.9" customHeight="1" x14ac:dyDescent="0.3">
      <c r="A200" s="3">
        <v>45661</v>
      </c>
      <c r="B200" s="4" t="s">
        <v>136</v>
      </c>
      <c r="C200" s="4" t="s">
        <v>132</v>
      </c>
      <c r="D200" s="4">
        <v>1</v>
      </c>
      <c r="E200" s="4">
        <v>1</v>
      </c>
      <c r="F200" s="4" t="s">
        <v>125</v>
      </c>
      <c r="G200" s="4">
        <v>11</v>
      </c>
      <c r="H200" s="4">
        <v>4</v>
      </c>
      <c r="I200" s="4" t="s">
        <v>246</v>
      </c>
      <c r="J200" s="7">
        <v>1</v>
      </c>
      <c r="K200" s="4" t="s">
        <v>125</v>
      </c>
    </row>
    <row r="201" spans="1:11" ht="27.9" customHeight="1" x14ac:dyDescent="0.3">
      <c r="A201" s="3">
        <v>45662</v>
      </c>
      <c r="B201" s="4" t="s">
        <v>123</v>
      </c>
      <c r="C201" s="4" t="s">
        <v>128</v>
      </c>
      <c r="D201" s="4">
        <v>2</v>
      </c>
      <c r="E201" s="4">
        <v>2</v>
      </c>
      <c r="F201" s="4" t="s">
        <v>125</v>
      </c>
      <c r="G201" s="4">
        <v>15</v>
      </c>
      <c r="H201" s="4">
        <v>4</v>
      </c>
      <c r="I201" s="4" t="s">
        <v>246</v>
      </c>
      <c r="J201" s="7">
        <v>1</v>
      </c>
      <c r="K201" s="4" t="s">
        <v>125</v>
      </c>
    </row>
    <row r="202" spans="1:11" ht="27.9" customHeight="1" x14ac:dyDescent="0.3">
      <c r="A202" s="3">
        <v>45662</v>
      </c>
      <c r="B202" s="4" t="s">
        <v>129</v>
      </c>
      <c r="C202" s="4" t="s">
        <v>122</v>
      </c>
      <c r="D202" s="4">
        <v>2</v>
      </c>
      <c r="E202" s="4">
        <v>2</v>
      </c>
      <c r="F202" s="4" t="s">
        <v>125</v>
      </c>
      <c r="G202" s="4">
        <v>19</v>
      </c>
      <c r="H202" s="4">
        <v>6</v>
      </c>
      <c r="I202" s="4" t="s">
        <v>246</v>
      </c>
      <c r="J202" s="7">
        <v>1</v>
      </c>
      <c r="K202" s="4" t="s">
        <v>125</v>
      </c>
    </row>
    <row r="203" spans="1:11" ht="27.9" customHeight="1" x14ac:dyDescent="0.3">
      <c r="A203" s="3">
        <v>45663</v>
      </c>
      <c r="B203" s="4" t="s">
        <v>133</v>
      </c>
      <c r="C203" s="4" t="s">
        <v>141</v>
      </c>
      <c r="D203" s="4">
        <v>0</v>
      </c>
      <c r="E203" s="4">
        <v>3</v>
      </c>
      <c r="F203" s="4" t="s">
        <v>130</v>
      </c>
      <c r="G203" s="4">
        <v>13</v>
      </c>
      <c r="H203" s="4">
        <v>6</v>
      </c>
      <c r="I203" s="4" t="s">
        <v>246</v>
      </c>
      <c r="J203" s="7">
        <v>0</v>
      </c>
      <c r="K203" s="4" t="s">
        <v>250</v>
      </c>
    </row>
    <row r="204" spans="1:11" ht="27.9" customHeight="1" x14ac:dyDescent="0.3">
      <c r="A204" s="3">
        <v>45671</v>
      </c>
      <c r="B204" s="4" t="s">
        <v>148</v>
      </c>
      <c r="C204" s="4" t="s">
        <v>152</v>
      </c>
      <c r="D204" s="4">
        <v>2</v>
      </c>
      <c r="E204" s="4">
        <v>2</v>
      </c>
      <c r="F204" s="4" t="s">
        <v>125</v>
      </c>
      <c r="G204" s="4">
        <v>18</v>
      </c>
      <c r="H204" s="4">
        <v>6</v>
      </c>
      <c r="I204" s="4" t="s">
        <v>246</v>
      </c>
      <c r="J204" s="7">
        <v>1</v>
      </c>
      <c r="K204" s="4" t="s">
        <v>125</v>
      </c>
    </row>
    <row r="205" spans="1:11" ht="27.9" customHeight="1" x14ac:dyDescent="0.3">
      <c r="A205" s="3">
        <v>45671</v>
      </c>
      <c r="B205" s="4" t="s">
        <v>151</v>
      </c>
      <c r="C205" s="4" t="s">
        <v>142</v>
      </c>
      <c r="D205" s="4">
        <v>2</v>
      </c>
      <c r="E205" s="4">
        <v>2</v>
      </c>
      <c r="F205" s="4" t="s">
        <v>125</v>
      </c>
      <c r="G205" s="4">
        <v>26</v>
      </c>
      <c r="H205" s="4">
        <v>10</v>
      </c>
      <c r="I205" s="4" t="s">
        <v>246</v>
      </c>
      <c r="J205" s="7">
        <v>1</v>
      </c>
      <c r="K205" s="4" t="s">
        <v>125</v>
      </c>
    </row>
    <row r="206" spans="1:11" ht="27.9" customHeight="1" x14ac:dyDescent="0.3">
      <c r="A206" s="3">
        <v>45671</v>
      </c>
      <c r="B206" s="4" t="s">
        <v>144</v>
      </c>
      <c r="C206" s="4" t="s">
        <v>123</v>
      </c>
      <c r="D206" s="4">
        <v>3</v>
      </c>
      <c r="E206" s="4">
        <v>2</v>
      </c>
      <c r="F206" s="4" t="s">
        <v>124</v>
      </c>
      <c r="G206" s="4">
        <v>4</v>
      </c>
      <c r="H206" s="4">
        <v>3</v>
      </c>
      <c r="I206" s="4" t="s">
        <v>246</v>
      </c>
      <c r="J206" s="7">
        <v>3</v>
      </c>
      <c r="K206" s="4" t="s">
        <v>249</v>
      </c>
    </row>
    <row r="207" spans="1:11" ht="27.9" customHeight="1" x14ac:dyDescent="0.3">
      <c r="A207" s="3">
        <v>45671</v>
      </c>
      <c r="B207" s="4" t="s">
        <v>141</v>
      </c>
      <c r="C207" s="4" t="s">
        <v>129</v>
      </c>
      <c r="D207" s="4">
        <v>1</v>
      </c>
      <c r="E207" s="4">
        <v>1</v>
      </c>
      <c r="F207" s="4" t="s">
        <v>125</v>
      </c>
      <c r="G207" s="4">
        <v>6</v>
      </c>
      <c r="H207" s="4">
        <v>3</v>
      </c>
      <c r="I207" s="4" t="s">
        <v>246</v>
      </c>
      <c r="J207" s="7">
        <v>1</v>
      </c>
      <c r="K207" s="4" t="s">
        <v>125</v>
      </c>
    </row>
    <row r="208" spans="1:11" ht="27.9" customHeight="1" x14ac:dyDescent="0.3">
      <c r="A208" s="3">
        <v>45672</v>
      </c>
      <c r="B208" s="4" t="s">
        <v>135</v>
      </c>
      <c r="C208" s="4" t="s">
        <v>145</v>
      </c>
      <c r="D208" s="4">
        <v>0</v>
      </c>
      <c r="E208" s="4">
        <v>1</v>
      </c>
      <c r="F208" s="4" t="s">
        <v>130</v>
      </c>
      <c r="G208" s="4">
        <v>10</v>
      </c>
      <c r="H208" s="4">
        <v>3</v>
      </c>
      <c r="I208" s="4" t="s">
        <v>246</v>
      </c>
      <c r="J208" s="7">
        <v>0</v>
      </c>
      <c r="K208" s="4" t="s">
        <v>250</v>
      </c>
    </row>
    <row r="209" spans="1:11" ht="27.9" customHeight="1" x14ac:dyDescent="0.3">
      <c r="A209" s="3">
        <v>45672</v>
      </c>
      <c r="B209" s="4" t="s">
        <v>155</v>
      </c>
      <c r="C209" s="4" t="s">
        <v>149</v>
      </c>
      <c r="D209" s="4">
        <v>0</v>
      </c>
      <c r="E209" s="4">
        <v>2</v>
      </c>
      <c r="F209" s="4" t="s">
        <v>130</v>
      </c>
      <c r="G209" s="4">
        <v>21</v>
      </c>
      <c r="H209" s="4">
        <v>4</v>
      </c>
      <c r="I209" s="4" t="s">
        <v>246</v>
      </c>
      <c r="J209" s="7">
        <v>0</v>
      </c>
      <c r="K209" s="4" t="s">
        <v>250</v>
      </c>
    </row>
    <row r="210" spans="1:11" ht="27.9" customHeight="1" x14ac:dyDescent="0.3">
      <c r="A210" s="3">
        <v>45672</v>
      </c>
      <c r="B210" s="4" t="s">
        <v>138</v>
      </c>
      <c r="C210" s="4" t="s">
        <v>133</v>
      </c>
      <c r="D210" s="4">
        <v>3</v>
      </c>
      <c r="E210" s="4">
        <v>0</v>
      </c>
      <c r="F210" s="4" t="s">
        <v>124</v>
      </c>
      <c r="G210" s="4">
        <v>17</v>
      </c>
      <c r="H210" s="4">
        <v>5</v>
      </c>
      <c r="I210" s="4" t="s">
        <v>246</v>
      </c>
      <c r="J210" s="7">
        <v>3</v>
      </c>
      <c r="K210" s="4" t="s">
        <v>249</v>
      </c>
    </row>
    <row r="211" spans="1:11" ht="27.9" customHeight="1" x14ac:dyDescent="0.3">
      <c r="A211" s="3">
        <v>45672</v>
      </c>
      <c r="B211" s="4" t="s">
        <v>132</v>
      </c>
      <c r="C211" s="4" t="s">
        <v>156</v>
      </c>
      <c r="D211" s="4">
        <v>2</v>
      </c>
      <c r="E211" s="4">
        <v>1</v>
      </c>
      <c r="F211" s="4" t="s">
        <v>124</v>
      </c>
      <c r="G211" s="4">
        <v>14</v>
      </c>
      <c r="H211" s="4">
        <v>4</v>
      </c>
      <c r="I211" s="4" t="s">
        <v>246</v>
      </c>
      <c r="J211" s="7">
        <v>3</v>
      </c>
      <c r="K211" s="4" t="s">
        <v>249</v>
      </c>
    </row>
    <row r="212" spans="1:11" ht="27.9" customHeight="1" x14ac:dyDescent="0.3">
      <c r="A212" s="3">
        <v>45673</v>
      </c>
      <c r="B212" s="4" t="s">
        <v>128</v>
      </c>
      <c r="C212" s="4" t="s">
        <v>136</v>
      </c>
      <c r="D212" s="4">
        <v>0</v>
      </c>
      <c r="E212" s="4">
        <v>2</v>
      </c>
      <c r="F212" s="4" t="s">
        <v>130</v>
      </c>
      <c r="G212" s="4">
        <v>5</v>
      </c>
      <c r="H212" s="4">
        <v>3</v>
      </c>
      <c r="I212" s="4" t="s">
        <v>246</v>
      </c>
      <c r="J212" s="7">
        <v>0</v>
      </c>
      <c r="K212" s="4" t="s">
        <v>250</v>
      </c>
    </row>
    <row r="213" spans="1:11" ht="27.9" customHeight="1" x14ac:dyDescent="0.3">
      <c r="A213" s="3">
        <v>45673</v>
      </c>
      <c r="B213" s="4" t="s">
        <v>122</v>
      </c>
      <c r="C213" s="4" t="s">
        <v>139</v>
      </c>
      <c r="D213" s="4">
        <v>3</v>
      </c>
      <c r="E213" s="4">
        <v>1</v>
      </c>
      <c r="F213" s="4" t="s">
        <v>124</v>
      </c>
      <c r="G213" s="4">
        <v>23</v>
      </c>
      <c r="H213" s="4">
        <v>9</v>
      </c>
      <c r="I213" s="4" t="s">
        <v>246</v>
      </c>
      <c r="J213" s="7">
        <v>3</v>
      </c>
      <c r="K213" s="4" t="s">
        <v>249</v>
      </c>
    </row>
    <row r="214" spans="1:11" ht="27.9" customHeight="1" x14ac:dyDescent="0.3">
      <c r="A214" s="3">
        <v>45675</v>
      </c>
      <c r="B214" s="4" t="s">
        <v>138</v>
      </c>
      <c r="C214" s="4" t="s">
        <v>142</v>
      </c>
      <c r="D214" s="4">
        <v>1</v>
      </c>
      <c r="E214" s="4">
        <v>4</v>
      </c>
      <c r="F214" s="4" t="s">
        <v>130</v>
      </c>
      <c r="G214" s="4">
        <v>13</v>
      </c>
      <c r="H214" s="4">
        <v>5</v>
      </c>
      <c r="I214" s="4" t="s">
        <v>246</v>
      </c>
      <c r="J214" s="7">
        <v>0</v>
      </c>
      <c r="K214" s="4" t="s">
        <v>250</v>
      </c>
    </row>
    <row r="215" spans="1:11" ht="27.9" customHeight="1" x14ac:dyDescent="0.3">
      <c r="A215" s="3">
        <v>45675</v>
      </c>
      <c r="B215" s="4" t="s">
        <v>148</v>
      </c>
      <c r="C215" s="4" t="s">
        <v>129</v>
      </c>
      <c r="D215" s="4">
        <v>0</v>
      </c>
      <c r="E215" s="4">
        <v>2</v>
      </c>
      <c r="F215" s="4" t="s">
        <v>130</v>
      </c>
      <c r="G215" s="4">
        <v>11</v>
      </c>
      <c r="H215" s="4">
        <v>6</v>
      </c>
      <c r="I215" s="4" t="s">
        <v>246</v>
      </c>
      <c r="J215" s="7">
        <v>0</v>
      </c>
      <c r="K215" s="4" t="s">
        <v>250</v>
      </c>
    </row>
    <row r="216" spans="1:11" ht="27.9" customHeight="1" x14ac:dyDescent="0.3">
      <c r="A216" s="3">
        <v>45675</v>
      </c>
      <c r="B216" s="4" t="s">
        <v>155</v>
      </c>
      <c r="C216" s="4" t="s">
        <v>123</v>
      </c>
      <c r="D216" s="4">
        <v>0</v>
      </c>
      <c r="E216" s="4">
        <v>2</v>
      </c>
      <c r="F216" s="4" t="s">
        <v>130</v>
      </c>
      <c r="G216" s="4">
        <v>8</v>
      </c>
      <c r="H216" s="4">
        <v>4</v>
      </c>
      <c r="I216" s="4" t="s">
        <v>246</v>
      </c>
      <c r="J216" s="7">
        <v>0</v>
      </c>
      <c r="K216" s="4" t="s">
        <v>250</v>
      </c>
    </row>
    <row r="217" spans="1:11" ht="27.9" customHeight="1" x14ac:dyDescent="0.3">
      <c r="A217" s="3">
        <v>45675</v>
      </c>
      <c r="B217" s="4" t="s">
        <v>144</v>
      </c>
      <c r="C217" s="4" t="s">
        <v>149</v>
      </c>
      <c r="D217" s="4">
        <v>0</v>
      </c>
      <c r="E217" s="4">
        <v>2</v>
      </c>
      <c r="F217" s="4" t="s">
        <v>130</v>
      </c>
      <c r="G217" s="4">
        <v>7</v>
      </c>
      <c r="H217" s="4">
        <v>0</v>
      </c>
      <c r="I217" s="4" t="s">
        <v>246</v>
      </c>
      <c r="J217" s="7">
        <v>0</v>
      </c>
      <c r="K217" s="4" t="s">
        <v>250</v>
      </c>
    </row>
    <row r="218" spans="1:11" ht="27.9" customHeight="1" x14ac:dyDescent="0.3">
      <c r="A218" s="3">
        <v>45675</v>
      </c>
      <c r="B218" s="4" t="s">
        <v>132</v>
      </c>
      <c r="C218" s="4" t="s">
        <v>145</v>
      </c>
      <c r="D218" s="4">
        <v>2</v>
      </c>
      <c r="E218" s="4">
        <v>2</v>
      </c>
      <c r="F218" s="4" t="s">
        <v>125</v>
      </c>
      <c r="G218" s="4">
        <v>18</v>
      </c>
      <c r="H218" s="4">
        <v>6</v>
      </c>
      <c r="I218" s="4" t="s">
        <v>246</v>
      </c>
      <c r="J218" s="7">
        <v>1</v>
      </c>
      <c r="K218" s="4" t="s">
        <v>125</v>
      </c>
    </row>
    <row r="219" spans="1:11" ht="27.9" customHeight="1" x14ac:dyDescent="0.3">
      <c r="A219" s="3">
        <v>45676</v>
      </c>
      <c r="B219" s="4" t="s">
        <v>135</v>
      </c>
      <c r="C219" s="4" t="s">
        <v>156</v>
      </c>
      <c r="D219" s="4">
        <v>3</v>
      </c>
      <c r="E219" s="4">
        <v>2</v>
      </c>
      <c r="F219" s="4" t="s">
        <v>124</v>
      </c>
      <c r="G219" s="4">
        <v>12</v>
      </c>
      <c r="H219" s="4">
        <v>6</v>
      </c>
      <c r="I219" s="4" t="s">
        <v>246</v>
      </c>
      <c r="J219" s="7">
        <v>3</v>
      </c>
      <c r="K219" s="4" t="s">
        <v>249</v>
      </c>
    </row>
    <row r="220" spans="1:11" ht="27.9" customHeight="1" x14ac:dyDescent="0.3">
      <c r="A220" s="3">
        <v>45676</v>
      </c>
      <c r="B220" s="4" t="s">
        <v>122</v>
      </c>
      <c r="C220" s="4" t="s">
        <v>136</v>
      </c>
      <c r="D220" s="4">
        <v>1</v>
      </c>
      <c r="E220" s="4">
        <v>3</v>
      </c>
      <c r="F220" s="4" t="s">
        <v>130</v>
      </c>
      <c r="G220" s="4">
        <v>10</v>
      </c>
      <c r="H220" s="4">
        <v>1</v>
      </c>
      <c r="I220" s="4" t="s">
        <v>246</v>
      </c>
      <c r="J220" s="7">
        <v>0</v>
      </c>
      <c r="K220" s="4" t="s">
        <v>250</v>
      </c>
    </row>
    <row r="221" spans="1:11" ht="27.9" customHeight="1" x14ac:dyDescent="0.3">
      <c r="A221" s="3">
        <v>45676</v>
      </c>
      <c r="B221" s="4" t="s">
        <v>141</v>
      </c>
      <c r="C221" s="4" t="s">
        <v>139</v>
      </c>
      <c r="D221" s="4">
        <v>3</v>
      </c>
      <c r="E221" s="4">
        <v>2</v>
      </c>
      <c r="F221" s="4" t="s">
        <v>124</v>
      </c>
      <c r="G221" s="4">
        <v>14</v>
      </c>
      <c r="H221" s="4">
        <v>5</v>
      </c>
      <c r="I221" s="4" t="s">
        <v>246</v>
      </c>
      <c r="J221" s="7">
        <v>3</v>
      </c>
      <c r="K221" s="4" t="s">
        <v>249</v>
      </c>
    </row>
    <row r="222" spans="1:11" ht="27.9" customHeight="1" x14ac:dyDescent="0.3">
      <c r="A222" s="3">
        <v>45676</v>
      </c>
      <c r="B222" s="4" t="s">
        <v>128</v>
      </c>
      <c r="C222" s="4" t="s">
        <v>152</v>
      </c>
      <c r="D222" s="4">
        <v>0</v>
      </c>
      <c r="E222" s="4">
        <v>6</v>
      </c>
      <c r="F222" s="4" t="s">
        <v>130</v>
      </c>
      <c r="G222" s="4">
        <v>8</v>
      </c>
      <c r="H222" s="4">
        <v>4</v>
      </c>
      <c r="I222" s="4" t="s">
        <v>246</v>
      </c>
      <c r="J222" s="7">
        <v>0</v>
      </c>
      <c r="K222" s="4" t="s">
        <v>250</v>
      </c>
    </row>
    <row r="223" spans="1:11" ht="27.9" customHeight="1" x14ac:dyDescent="0.3">
      <c r="A223" s="3">
        <v>45677</v>
      </c>
      <c r="B223" s="4" t="s">
        <v>151</v>
      </c>
      <c r="C223" s="4" t="s">
        <v>133</v>
      </c>
      <c r="D223" s="4">
        <v>3</v>
      </c>
      <c r="E223" s="4">
        <v>1</v>
      </c>
      <c r="F223" s="4" t="s">
        <v>124</v>
      </c>
      <c r="G223" s="4">
        <v>19</v>
      </c>
      <c r="H223" s="4">
        <v>7</v>
      </c>
      <c r="I223" s="4" t="s">
        <v>246</v>
      </c>
      <c r="J223" s="7">
        <v>3</v>
      </c>
      <c r="K223" s="4" t="s">
        <v>249</v>
      </c>
    </row>
    <row r="224" spans="1:11" ht="27.9" customHeight="1" x14ac:dyDescent="0.3">
      <c r="A224" s="3">
        <v>45682</v>
      </c>
      <c r="B224" s="4" t="s">
        <v>142</v>
      </c>
      <c r="C224" s="4" t="s">
        <v>141</v>
      </c>
      <c r="D224" s="4">
        <v>5</v>
      </c>
      <c r="E224" s="4">
        <v>0</v>
      </c>
      <c r="F224" s="4" t="s">
        <v>124</v>
      </c>
      <c r="G224" s="4">
        <v>16</v>
      </c>
      <c r="H224" s="4">
        <v>10</v>
      </c>
      <c r="I224" s="4" t="s">
        <v>246</v>
      </c>
      <c r="J224" s="7">
        <v>3</v>
      </c>
      <c r="K224" s="4" t="s">
        <v>249</v>
      </c>
    </row>
    <row r="225" spans="1:11" ht="27.9" customHeight="1" x14ac:dyDescent="0.3">
      <c r="A225" s="3">
        <v>45682</v>
      </c>
      <c r="B225" s="4" t="s">
        <v>136</v>
      </c>
      <c r="C225" s="4" t="s">
        <v>135</v>
      </c>
      <c r="D225" s="4">
        <v>0</v>
      </c>
      <c r="E225" s="4">
        <v>1</v>
      </c>
      <c r="F225" s="4" t="s">
        <v>130</v>
      </c>
      <c r="G225" s="4">
        <v>16</v>
      </c>
      <c r="H225" s="4">
        <v>1</v>
      </c>
      <c r="I225" s="4" t="s">
        <v>246</v>
      </c>
      <c r="J225" s="7">
        <v>0</v>
      </c>
      <c r="K225" s="4" t="s">
        <v>250</v>
      </c>
    </row>
    <row r="226" spans="1:11" ht="27.9" customHeight="1" x14ac:dyDescent="0.3">
      <c r="A226" s="3">
        <v>45682</v>
      </c>
      <c r="B226" s="4" t="s">
        <v>129</v>
      </c>
      <c r="C226" s="4" t="s">
        <v>128</v>
      </c>
      <c r="D226" s="4">
        <v>4</v>
      </c>
      <c r="E226" s="4">
        <v>1</v>
      </c>
      <c r="F226" s="4" t="s">
        <v>124</v>
      </c>
      <c r="G226" s="4">
        <v>16</v>
      </c>
      <c r="H226" s="4">
        <v>6</v>
      </c>
      <c r="I226" s="4" t="s">
        <v>246</v>
      </c>
      <c r="J226" s="7">
        <v>3</v>
      </c>
      <c r="K226" s="4" t="s">
        <v>249</v>
      </c>
    </row>
    <row r="227" spans="1:11" ht="27.9" customHeight="1" x14ac:dyDescent="0.3">
      <c r="A227" s="3">
        <v>45682</v>
      </c>
      <c r="B227" s="4" t="s">
        <v>139</v>
      </c>
      <c r="C227" s="4" t="s">
        <v>138</v>
      </c>
      <c r="D227" s="4">
        <v>1</v>
      </c>
      <c r="E227" s="4">
        <v>3</v>
      </c>
      <c r="F227" s="4" t="s">
        <v>130</v>
      </c>
      <c r="G227" s="4">
        <v>12</v>
      </c>
      <c r="H227" s="4">
        <v>5</v>
      </c>
      <c r="I227" s="4" t="s">
        <v>246</v>
      </c>
      <c r="J227" s="7">
        <v>0</v>
      </c>
      <c r="K227" s="4" t="s">
        <v>250</v>
      </c>
    </row>
    <row r="228" spans="1:11" ht="27.9" customHeight="1" x14ac:dyDescent="0.3">
      <c r="A228" s="3">
        <v>45682</v>
      </c>
      <c r="B228" s="4" t="s">
        <v>133</v>
      </c>
      <c r="C228" s="4" t="s">
        <v>132</v>
      </c>
      <c r="D228" s="4">
        <v>0</v>
      </c>
      <c r="E228" s="4">
        <v>1</v>
      </c>
      <c r="F228" s="4" t="s">
        <v>130</v>
      </c>
      <c r="G228" s="4">
        <v>9</v>
      </c>
      <c r="H228" s="4">
        <v>4</v>
      </c>
      <c r="I228" s="4" t="s">
        <v>246</v>
      </c>
      <c r="J228" s="7">
        <v>0</v>
      </c>
      <c r="K228" s="4" t="s">
        <v>250</v>
      </c>
    </row>
    <row r="229" spans="1:11" ht="27.9" customHeight="1" x14ac:dyDescent="0.3">
      <c r="A229" s="3">
        <v>45682</v>
      </c>
      <c r="B229" s="4" t="s">
        <v>152</v>
      </c>
      <c r="C229" s="4" t="s">
        <v>151</v>
      </c>
      <c r="D229" s="4">
        <v>3</v>
      </c>
      <c r="E229" s="4">
        <v>1</v>
      </c>
      <c r="F229" s="4" t="s">
        <v>124</v>
      </c>
      <c r="G229" s="4">
        <v>15</v>
      </c>
      <c r="H229" s="4">
        <v>6</v>
      </c>
      <c r="I229" s="4" t="s">
        <v>246</v>
      </c>
      <c r="J229" s="7">
        <v>3</v>
      </c>
      <c r="K229" s="4" t="s">
        <v>249</v>
      </c>
    </row>
    <row r="230" spans="1:11" ht="27.9" customHeight="1" x14ac:dyDescent="0.3">
      <c r="A230" s="3">
        <v>45683</v>
      </c>
      <c r="B230" s="4" t="s">
        <v>149</v>
      </c>
      <c r="C230" s="4" t="s">
        <v>148</v>
      </c>
      <c r="D230" s="4">
        <v>1</v>
      </c>
      <c r="E230" s="4">
        <v>2</v>
      </c>
      <c r="F230" s="4" t="s">
        <v>130</v>
      </c>
      <c r="G230" s="4">
        <v>16</v>
      </c>
      <c r="H230" s="4">
        <v>5</v>
      </c>
      <c r="I230" s="4" t="s">
        <v>246</v>
      </c>
      <c r="J230" s="7">
        <v>0</v>
      </c>
      <c r="K230" s="4" t="s">
        <v>250</v>
      </c>
    </row>
    <row r="231" spans="1:11" ht="27.9" customHeight="1" x14ac:dyDescent="0.3">
      <c r="A231" s="3">
        <v>45683</v>
      </c>
      <c r="B231" s="4" t="s">
        <v>156</v>
      </c>
      <c r="C231" s="4" t="s">
        <v>155</v>
      </c>
      <c r="D231" s="4">
        <v>1</v>
      </c>
      <c r="E231" s="4">
        <v>2</v>
      </c>
      <c r="F231" s="4" t="s">
        <v>130</v>
      </c>
      <c r="G231" s="4">
        <v>15</v>
      </c>
      <c r="H231" s="4">
        <v>6</v>
      </c>
      <c r="I231" s="4" t="s">
        <v>246</v>
      </c>
      <c r="J231" s="7">
        <v>0</v>
      </c>
      <c r="K231" s="4" t="s">
        <v>250</v>
      </c>
    </row>
    <row r="232" spans="1:11" ht="27.9" customHeight="1" x14ac:dyDescent="0.3">
      <c r="A232" s="3">
        <v>45683</v>
      </c>
      <c r="B232" s="4" t="s">
        <v>145</v>
      </c>
      <c r="C232" s="4" t="s">
        <v>144</v>
      </c>
      <c r="D232" s="4">
        <v>1</v>
      </c>
      <c r="E232" s="4">
        <v>1</v>
      </c>
      <c r="F232" s="4" t="s">
        <v>125</v>
      </c>
      <c r="G232" s="4">
        <v>14</v>
      </c>
      <c r="H232" s="4">
        <v>4</v>
      </c>
      <c r="I232" s="4" t="s">
        <v>246</v>
      </c>
      <c r="J232" s="7">
        <v>1</v>
      </c>
      <c r="K232" s="4" t="s">
        <v>125</v>
      </c>
    </row>
    <row r="233" spans="1:11" ht="27.9" customHeight="1" x14ac:dyDescent="0.3">
      <c r="A233" s="3">
        <v>45683</v>
      </c>
      <c r="B233" s="4" t="s">
        <v>123</v>
      </c>
      <c r="C233" s="4" t="s">
        <v>122</v>
      </c>
      <c r="D233" s="4">
        <v>0</v>
      </c>
      <c r="E233" s="4">
        <v>1</v>
      </c>
      <c r="F233" s="4" t="s">
        <v>130</v>
      </c>
      <c r="G233" s="4">
        <v>9</v>
      </c>
      <c r="H233" s="4">
        <v>3</v>
      </c>
      <c r="I233" s="4" t="s">
        <v>246</v>
      </c>
      <c r="J233" s="7">
        <v>0</v>
      </c>
      <c r="K233" s="4" t="s">
        <v>250</v>
      </c>
    </row>
    <row r="234" spans="1:11" ht="27.9" customHeight="1" x14ac:dyDescent="0.3">
      <c r="A234" s="3">
        <v>45689</v>
      </c>
      <c r="B234" s="4" t="s">
        <v>141</v>
      </c>
      <c r="C234" s="4" t="s">
        <v>136</v>
      </c>
      <c r="D234" s="4">
        <v>7</v>
      </c>
      <c r="E234" s="4">
        <v>0</v>
      </c>
      <c r="F234" s="4" t="s">
        <v>124</v>
      </c>
      <c r="G234" s="4">
        <v>14</v>
      </c>
      <c r="H234" s="4">
        <v>9</v>
      </c>
      <c r="I234" s="4" t="s">
        <v>246</v>
      </c>
      <c r="J234" s="7">
        <v>3</v>
      </c>
      <c r="K234" s="4" t="s">
        <v>249</v>
      </c>
    </row>
    <row r="235" spans="1:11" ht="27.9" customHeight="1" x14ac:dyDescent="0.3">
      <c r="A235" s="3">
        <v>45689</v>
      </c>
      <c r="B235" s="4" t="s">
        <v>142</v>
      </c>
      <c r="C235" s="4" t="s">
        <v>129</v>
      </c>
      <c r="D235" s="4">
        <v>0</v>
      </c>
      <c r="E235" s="4">
        <v>2</v>
      </c>
      <c r="F235" s="4" t="s">
        <v>130</v>
      </c>
      <c r="G235" s="4">
        <v>14</v>
      </c>
      <c r="H235" s="4">
        <v>3</v>
      </c>
      <c r="I235" s="4" t="s">
        <v>246</v>
      </c>
      <c r="J235" s="7">
        <v>0</v>
      </c>
      <c r="K235" s="4" t="s">
        <v>250</v>
      </c>
    </row>
    <row r="236" spans="1:11" ht="27.9" customHeight="1" x14ac:dyDescent="0.3">
      <c r="A236" s="3">
        <v>45689</v>
      </c>
      <c r="B236" s="4" t="s">
        <v>135</v>
      </c>
      <c r="C236" s="4" t="s">
        <v>155</v>
      </c>
      <c r="D236" s="4">
        <v>4</v>
      </c>
      <c r="E236" s="4">
        <v>0</v>
      </c>
      <c r="F236" s="4" t="s">
        <v>124</v>
      </c>
      <c r="G236" s="4">
        <v>13</v>
      </c>
      <c r="H236" s="4">
        <v>7</v>
      </c>
      <c r="I236" s="4" t="s">
        <v>246</v>
      </c>
      <c r="J236" s="7">
        <v>3</v>
      </c>
      <c r="K236" s="4" t="s">
        <v>249</v>
      </c>
    </row>
    <row r="237" spans="1:11" ht="27.9" customHeight="1" x14ac:dyDescent="0.3">
      <c r="A237" s="3">
        <v>45689</v>
      </c>
      <c r="B237" s="4" t="s">
        <v>128</v>
      </c>
      <c r="C237" s="4" t="s">
        <v>139</v>
      </c>
      <c r="D237" s="4">
        <v>1</v>
      </c>
      <c r="E237" s="4">
        <v>2</v>
      </c>
      <c r="F237" s="4" t="s">
        <v>130</v>
      </c>
      <c r="G237" s="4">
        <v>15</v>
      </c>
      <c r="H237" s="4">
        <v>6</v>
      </c>
      <c r="I237" s="4" t="s">
        <v>246</v>
      </c>
      <c r="J237" s="7">
        <v>0</v>
      </c>
      <c r="K237" s="4" t="s">
        <v>250</v>
      </c>
    </row>
    <row r="238" spans="1:11" ht="27.9" customHeight="1" x14ac:dyDescent="0.3">
      <c r="A238" s="3">
        <v>45689</v>
      </c>
      <c r="B238" s="4" t="s">
        <v>138</v>
      </c>
      <c r="C238" s="4" t="s">
        <v>123</v>
      </c>
      <c r="D238" s="4">
        <v>1</v>
      </c>
      <c r="E238" s="4">
        <v>2</v>
      </c>
      <c r="F238" s="4" t="s">
        <v>130</v>
      </c>
      <c r="G238" s="4">
        <v>11</v>
      </c>
      <c r="H238" s="4">
        <v>4</v>
      </c>
      <c r="I238" s="4" t="s">
        <v>246</v>
      </c>
      <c r="J238" s="7">
        <v>0</v>
      </c>
      <c r="K238" s="4" t="s">
        <v>250</v>
      </c>
    </row>
    <row r="239" spans="1:11" ht="27.9" customHeight="1" x14ac:dyDescent="0.3">
      <c r="A239" s="3">
        <v>45689</v>
      </c>
      <c r="B239" s="4" t="s">
        <v>133</v>
      </c>
      <c r="C239" s="4" t="s">
        <v>145</v>
      </c>
      <c r="D239" s="4">
        <v>2</v>
      </c>
      <c r="E239" s="4">
        <v>0</v>
      </c>
      <c r="F239" s="4" t="s">
        <v>124</v>
      </c>
      <c r="G239" s="4">
        <v>8</v>
      </c>
      <c r="H239" s="4">
        <v>5</v>
      </c>
      <c r="I239" s="4" t="s">
        <v>246</v>
      </c>
      <c r="J239" s="7">
        <v>3</v>
      </c>
      <c r="K239" s="4" t="s">
        <v>249</v>
      </c>
    </row>
    <row r="240" spans="1:11" ht="27.9" customHeight="1" x14ac:dyDescent="0.3">
      <c r="A240" s="3">
        <v>45690</v>
      </c>
      <c r="B240" s="4" t="s">
        <v>148</v>
      </c>
      <c r="C240" s="4" t="s">
        <v>156</v>
      </c>
      <c r="D240" s="4">
        <v>0</v>
      </c>
      <c r="E240" s="4">
        <v>2</v>
      </c>
      <c r="F240" s="4" t="s">
        <v>130</v>
      </c>
      <c r="G240" s="4">
        <v>20</v>
      </c>
      <c r="H240" s="4">
        <v>4</v>
      </c>
      <c r="I240" s="4" t="s">
        <v>246</v>
      </c>
      <c r="J240" s="7">
        <v>0</v>
      </c>
      <c r="K240" s="4" t="s">
        <v>250</v>
      </c>
    </row>
    <row r="241" spans="1:11" ht="27.9" customHeight="1" x14ac:dyDescent="0.3">
      <c r="A241" s="3">
        <v>45690</v>
      </c>
      <c r="B241" s="4" t="s">
        <v>122</v>
      </c>
      <c r="C241" s="4" t="s">
        <v>149</v>
      </c>
      <c r="D241" s="4">
        <v>0</v>
      </c>
      <c r="E241" s="4">
        <v>2</v>
      </c>
      <c r="F241" s="4" t="s">
        <v>130</v>
      </c>
      <c r="G241" s="4">
        <v>17</v>
      </c>
      <c r="H241" s="4">
        <v>2</v>
      </c>
      <c r="I241" s="4" t="s">
        <v>246</v>
      </c>
      <c r="J241" s="7">
        <v>0</v>
      </c>
      <c r="K241" s="4" t="s">
        <v>250</v>
      </c>
    </row>
    <row r="242" spans="1:11" ht="27.9" customHeight="1" x14ac:dyDescent="0.3">
      <c r="A242" s="3">
        <v>45690</v>
      </c>
      <c r="B242" s="4" t="s">
        <v>132</v>
      </c>
      <c r="C242" s="4" t="s">
        <v>152</v>
      </c>
      <c r="D242" s="4">
        <v>5</v>
      </c>
      <c r="E242" s="4">
        <v>1</v>
      </c>
      <c r="F242" s="4" t="s">
        <v>124</v>
      </c>
      <c r="G242" s="4">
        <v>12</v>
      </c>
      <c r="H242" s="4">
        <v>7</v>
      </c>
      <c r="I242" s="4" t="s">
        <v>246</v>
      </c>
      <c r="J242" s="7">
        <v>3</v>
      </c>
      <c r="K242" s="4" t="s">
        <v>249</v>
      </c>
    </row>
    <row r="243" spans="1:11" ht="27.9" customHeight="1" x14ac:dyDescent="0.3">
      <c r="A243" s="3">
        <v>45691</v>
      </c>
      <c r="B243" s="4" t="s">
        <v>151</v>
      </c>
      <c r="C243" s="4" t="s">
        <v>144</v>
      </c>
      <c r="D243" s="4">
        <v>2</v>
      </c>
      <c r="E243" s="4">
        <v>1</v>
      </c>
      <c r="F243" s="4" t="s">
        <v>124</v>
      </c>
      <c r="G243" s="4">
        <v>22</v>
      </c>
      <c r="H243" s="4">
        <v>3</v>
      </c>
      <c r="I243" s="4" t="s">
        <v>246</v>
      </c>
      <c r="J243" s="7">
        <v>3</v>
      </c>
      <c r="K243" s="4" t="s">
        <v>249</v>
      </c>
    </row>
    <row r="244" spans="1:11" ht="27.9" customHeight="1" x14ac:dyDescent="0.3">
      <c r="A244" s="3">
        <v>45700</v>
      </c>
      <c r="B244" s="4" t="s">
        <v>135</v>
      </c>
      <c r="C244" s="4" t="s">
        <v>129</v>
      </c>
      <c r="D244" s="4">
        <v>2</v>
      </c>
      <c r="E244" s="4">
        <v>2</v>
      </c>
      <c r="F244" s="4" t="s">
        <v>125</v>
      </c>
      <c r="G244" s="4">
        <v>10</v>
      </c>
      <c r="H244" s="4">
        <v>3</v>
      </c>
      <c r="I244" s="4" t="s">
        <v>246</v>
      </c>
      <c r="J244" s="7">
        <v>1</v>
      </c>
      <c r="K244" s="4" t="s">
        <v>125</v>
      </c>
    </row>
    <row r="245" spans="1:11" ht="27.9" customHeight="1" x14ac:dyDescent="0.3">
      <c r="A245" s="3">
        <v>45702</v>
      </c>
      <c r="B245" s="4" t="s">
        <v>136</v>
      </c>
      <c r="C245" s="4" t="s">
        <v>151</v>
      </c>
      <c r="D245" s="4">
        <v>3</v>
      </c>
      <c r="E245" s="4">
        <v>0</v>
      </c>
      <c r="F245" s="4" t="s">
        <v>124</v>
      </c>
      <c r="G245" s="4">
        <v>13</v>
      </c>
      <c r="H245" s="4">
        <v>5</v>
      </c>
      <c r="I245" s="4" t="s">
        <v>246</v>
      </c>
      <c r="J245" s="7">
        <v>3</v>
      </c>
      <c r="K245" s="4" t="s">
        <v>249</v>
      </c>
    </row>
    <row r="246" spans="1:11" ht="27.9" customHeight="1" x14ac:dyDescent="0.3">
      <c r="A246" s="3">
        <v>45703</v>
      </c>
      <c r="B246" s="4" t="s">
        <v>155</v>
      </c>
      <c r="C246" s="4" t="s">
        <v>132</v>
      </c>
      <c r="D246" s="4">
        <v>0</v>
      </c>
      <c r="E246" s="4">
        <v>2</v>
      </c>
      <c r="F246" s="4" t="s">
        <v>130</v>
      </c>
      <c r="G246" s="4">
        <v>6</v>
      </c>
      <c r="H246" s="4">
        <v>2</v>
      </c>
      <c r="I246" s="4" t="s">
        <v>246</v>
      </c>
      <c r="J246" s="7">
        <v>0</v>
      </c>
      <c r="K246" s="4" t="s">
        <v>250</v>
      </c>
    </row>
    <row r="247" spans="1:11" ht="27.9" customHeight="1" x14ac:dyDescent="0.3">
      <c r="A247" s="3">
        <v>45703</v>
      </c>
      <c r="B247" s="4" t="s">
        <v>145</v>
      </c>
      <c r="C247" s="4" t="s">
        <v>128</v>
      </c>
      <c r="D247" s="4">
        <v>1</v>
      </c>
      <c r="E247" s="4">
        <v>1</v>
      </c>
      <c r="F247" s="4" t="s">
        <v>125</v>
      </c>
      <c r="G247" s="4">
        <v>25</v>
      </c>
      <c r="H247" s="4">
        <v>6</v>
      </c>
      <c r="I247" s="4" t="s">
        <v>246</v>
      </c>
      <c r="J247" s="7">
        <v>1</v>
      </c>
      <c r="K247" s="4" t="s">
        <v>125</v>
      </c>
    </row>
    <row r="248" spans="1:11" ht="27.9" customHeight="1" x14ac:dyDescent="0.3">
      <c r="A248" s="3">
        <v>45703</v>
      </c>
      <c r="B248" s="4" t="s">
        <v>123</v>
      </c>
      <c r="C248" s="4" t="s">
        <v>141</v>
      </c>
      <c r="D248" s="4">
        <v>2</v>
      </c>
      <c r="E248" s="4">
        <v>1</v>
      </c>
      <c r="F248" s="4" t="s">
        <v>124</v>
      </c>
      <c r="G248" s="4">
        <v>24</v>
      </c>
      <c r="H248" s="4">
        <v>10</v>
      </c>
      <c r="I248" s="4" t="s">
        <v>246</v>
      </c>
      <c r="J248" s="7">
        <v>3</v>
      </c>
      <c r="K248" s="4" t="s">
        <v>249</v>
      </c>
    </row>
    <row r="249" spans="1:11" ht="27.9" customHeight="1" x14ac:dyDescent="0.3">
      <c r="A249" s="3">
        <v>45703</v>
      </c>
      <c r="B249" s="4" t="s">
        <v>152</v>
      </c>
      <c r="C249" s="4" t="s">
        <v>138</v>
      </c>
      <c r="D249" s="4">
        <v>4</v>
      </c>
      <c r="E249" s="4">
        <v>0</v>
      </c>
      <c r="F249" s="4" t="s">
        <v>124</v>
      </c>
      <c r="G249" s="4">
        <v>11</v>
      </c>
      <c r="H249" s="4">
        <v>7</v>
      </c>
      <c r="I249" s="4" t="s">
        <v>246</v>
      </c>
      <c r="J249" s="7">
        <v>3</v>
      </c>
      <c r="K249" s="4" t="s">
        <v>249</v>
      </c>
    </row>
    <row r="250" spans="1:11" ht="27.9" customHeight="1" x14ac:dyDescent="0.3">
      <c r="A250" s="3">
        <v>45703</v>
      </c>
      <c r="B250" s="4" t="s">
        <v>139</v>
      </c>
      <c r="C250" s="4" t="s">
        <v>142</v>
      </c>
      <c r="D250" s="4">
        <v>1</v>
      </c>
      <c r="E250" s="4">
        <v>3</v>
      </c>
      <c r="F250" s="4" t="s">
        <v>130</v>
      </c>
      <c r="G250" s="4">
        <v>11</v>
      </c>
      <c r="H250" s="4">
        <v>4</v>
      </c>
      <c r="I250" s="4" t="s">
        <v>246</v>
      </c>
      <c r="J250" s="7">
        <v>0</v>
      </c>
      <c r="K250" s="4" t="s">
        <v>250</v>
      </c>
    </row>
    <row r="251" spans="1:11" ht="27.9" customHeight="1" x14ac:dyDescent="0.3">
      <c r="A251" s="3">
        <v>45703</v>
      </c>
      <c r="B251" s="4" t="s">
        <v>144</v>
      </c>
      <c r="C251" s="4" t="s">
        <v>148</v>
      </c>
      <c r="D251" s="4">
        <v>0</v>
      </c>
      <c r="E251" s="4">
        <v>1</v>
      </c>
      <c r="F251" s="4" t="s">
        <v>130</v>
      </c>
      <c r="G251" s="4">
        <v>13</v>
      </c>
      <c r="H251" s="4">
        <v>3</v>
      </c>
      <c r="I251" s="4" t="s">
        <v>246</v>
      </c>
      <c r="J251" s="7">
        <v>0</v>
      </c>
      <c r="K251" s="4" t="s">
        <v>250</v>
      </c>
    </row>
    <row r="252" spans="1:11" ht="27.9" customHeight="1" x14ac:dyDescent="0.3">
      <c r="A252" s="3">
        <v>45703</v>
      </c>
      <c r="B252" s="4" t="s">
        <v>149</v>
      </c>
      <c r="C252" s="4" t="s">
        <v>135</v>
      </c>
      <c r="D252" s="4">
        <v>1</v>
      </c>
      <c r="E252" s="4">
        <v>2</v>
      </c>
      <c r="F252" s="4" t="s">
        <v>130</v>
      </c>
      <c r="G252" s="4">
        <v>17</v>
      </c>
      <c r="H252" s="4">
        <v>6</v>
      </c>
      <c r="I252" s="4" t="s">
        <v>246</v>
      </c>
      <c r="J252" s="7">
        <v>0</v>
      </c>
      <c r="K252" s="4" t="s">
        <v>250</v>
      </c>
    </row>
    <row r="253" spans="1:11" ht="27.9" customHeight="1" x14ac:dyDescent="0.3">
      <c r="A253" s="3">
        <v>45704</v>
      </c>
      <c r="B253" s="4" t="s">
        <v>129</v>
      </c>
      <c r="C253" s="4" t="s">
        <v>133</v>
      </c>
      <c r="D253" s="4">
        <v>2</v>
      </c>
      <c r="E253" s="4">
        <v>1</v>
      </c>
      <c r="F253" s="4" t="s">
        <v>124</v>
      </c>
      <c r="G253" s="4">
        <v>10</v>
      </c>
      <c r="H253" s="4">
        <v>3</v>
      </c>
      <c r="I253" s="4" t="s">
        <v>246</v>
      </c>
      <c r="J253" s="7">
        <v>3</v>
      </c>
      <c r="K253" s="4" t="s">
        <v>249</v>
      </c>
    </row>
    <row r="254" spans="1:11" ht="27.9" customHeight="1" x14ac:dyDescent="0.3">
      <c r="A254" s="3">
        <v>45704</v>
      </c>
      <c r="B254" s="4" t="s">
        <v>156</v>
      </c>
      <c r="C254" s="4" t="s">
        <v>122</v>
      </c>
      <c r="D254" s="4">
        <v>1</v>
      </c>
      <c r="E254" s="4">
        <v>0</v>
      </c>
      <c r="F254" s="4" t="s">
        <v>124</v>
      </c>
      <c r="G254" s="4">
        <v>22</v>
      </c>
      <c r="H254" s="4">
        <v>7</v>
      </c>
      <c r="I254" s="4" t="s">
        <v>246</v>
      </c>
      <c r="J254" s="7">
        <v>3</v>
      </c>
      <c r="K254" s="4" t="s">
        <v>249</v>
      </c>
    </row>
    <row r="255" spans="1:11" ht="27.9" customHeight="1" x14ac:dyDescent="0.3">
      <c r="A255" s="3">
        <v>45707</v>
      </c>
      <c r="B255" s="4" t="s">
        <v>145</v>
      </c>
      <c r="C255" s="4" t="s">
        <v>129</v>
      </c>
      <c r="D255" s="4">
        <v>2</v>
      </c>
      <c r="E255" s="4">
        <v>2</v>
      </c>
      <c r="F255" s="4" t="s">
        <v>125</v>
      </c>
      <c r="G255" s="4">
        <v>9</v>
      </c>
      <c r="H255" s="4">
        <v>4</v>
      </c>
      <c r="I255" s="4" t="s">
        <v>246</v>
      </c>
      <c r="J255" s="7">
        <v>1</v>
      </c>
      <c r="K255" s="4" t="s">
        <v>125</v>
      </c>
    </row>
    <row r="256" spans="1:11" ht="27.9" customHeight="1" x14ac:dyDescent="0.3">
      <c r="A256" s="3">
        <v>45709</v>
      </c>
      <c r="B256" s="4" t="s">
        <v>155</v>
      </c>
      <c r="C256" s="4" t="s">
        <v>148</v>
      </c>
      <c r="D256" s="4">
        <v>0</v>
      </c>
      <c r="E256" s="4">
        <v>4</v>
      </c>
      <c r="F256" s="4" t="s">
        <v>130</v>
      </c>
      <c r="G256" s="4">
        <v>8</v>
      </c>
      <c r="H256" s="4">
        <v>3</v>
      </c>
      <c r="I256" s="4" t="s">
        <v>246</v>
      </c>
      <c r="J256" s="7">
        <v>0</v>
      </c>
      <c r="K256" s="4" t="s">
        <v>250</v>
      </c>
    </row>
    <row r="257" spans="1:11" ht="27.9" customHeight="1" x14ac:dyDescent="0.3">
      <c r="A257" s="3">
        <v>45710</v>
      </c>
      <c r="B257" s="4" t="s">
        <v>135</v>
      </c>
      <c r="C257" s="4" t="s">
        <v>122</v>
      </c>
      <c r="D257" s="4">
        <v>2</v>
      </c>
      <c r="E257" s="4">
        <v>2</v>
      </c>
      <c r="F257" s="4" t="s">
        <v>125</v>
      </c>
      <c r="G257" s="4">
        <v>9</v>
      </c>
      <c r="H257" s="4">
        <v>8</v>
      </c>
      <c r="I257" s="4" t="s">
        <v>246</v>
      </c>
      <c r="J257" s="7">
        <v>1</v>
      </c>
      <c r="K257" s="4" t="s">
        <v>125</v>
      </c>
    </row>
    <row r="258" spans="1:11" ht="27.9" customHeight="1" x14ac:dyDescent="0.3">
      <c r="A258" s="3">
        <v>45710</v>
      </c>
      <c r="B258" s="4" t="s">
        <v>132</v>
      </c>
      <c r="C258" s="4" t="s">
        <v>144</v>
      </c>
      <c r="D258" s="4">
        <v>0</v>
      </c>
      <c r="E258" s="4">
        <v>1</v>
      </c>
      <c r="F258" s="4" t="s">
        <v>130</v>
      </c>
      <c r="G258" s="4">
        <v>20</v>
      </c>
      <c r="H258" s="4">
        <v>2</v>
      </c>
      <c r="I258" s="4" t="s">
        <v>246</v>
      </c>
      <c r="J258" s="7">
        <v>0</v>
      </c>
      <c r="K258" s="4" t="s">
        <v>250</v>
      </c>
    </row>
    <row r="259" spans="1:11" ht="27.9" customHeight="1" x14ac:dyDescent="0.3">
      <c r="A259" s="3">
        <v>45710</v>
      </c>
      <c r="B259" s="4" t="s">
        <v>142</v>
      </c>
      <c r="C259" s="4" t="s">
        <v>133</v>
      </c>
      <c r="D259" s="4">
        <v>0</v>
      </c>
      <c r="E259" s="4">
        <v>1</v>
      </c>
      <c r="F259" s="4" t="s">
        <v>130</v>
      </c>
      <c r="G259" s="4">
        <v>8</v>
      </c>
      <c r="H259" s="4">
        <v>3</v>
      </c>
      <c r="I259" s="4" t="s">
        <v>246</v>
      </c>
      <c r="J259" s="7">
        <v>0</v>
      </c>
      <c r="K259" s="4" t="s">
        <v>250</v>
      </c>
    </row>
    <row r="260" spans="1:11" ht="27.9" customHeight="1" x14ac:dyDescent="0.3">
      <c r="A260" s="3">
        <v>45710</v>
      </c>
      <c r="B260" s="4" t="s">
        <v>123</v>
      </c>
      <c r="C260" s="4" t="s">
        <v>149</v>
      </c>
      <c r="D260" s="4">
        <v>0</v>
      </c>
      <c r="E260" s="4">
        <v>2</v>
      </c>
      <c r="F260" s="4" t="s">
        <v>130</v>
      </c>
      <c r="G260" s="4">
        <v>10</v>
      </c>
      <c r="H260" s="4">
        <v>0</v>
      </c>
      <c r="I260" s="4" t="s">
        <v>246</v>
      </c>
      <c r="J260" s="7">
        <v>0</v>
      </c>
      <c r="K260" s="4" t="s">
        <v>250</v>
      </c>
    </row>
    <row r="261" spans="1:11" ht="27.9" customHeight="1" x14ac:dyDescent="0.3">
      <c r="A261" s="3">
        <v>45710</v>
      </c>
      <c r="B261" s="4" t="s">
        <v>128</v>
      </c>
      <c r="C261" s="4" t="s">
        <v>156</v>
      </c>
      <c r="D261" s="4">
        <v>1</v>
      </c>
      <c r="E261" s="4">
        <v>4</v>
      </c>
      <c r="F261" s="4" t="s">
        <v>130</v>
      </c>
      <c r="G261" s="4">
        <v>17</v>
      </c>
      <c r="H261" s="4">
        <v>5</v>
      </c>
      <c r="I261" s="4" t="s">
        <v>246</v>
      </c>
      <c r="J261" s="7">
        <v>0</v>
      </c>
      <c r="K261" s="4" t="s">
        <v>250</v>
      </c>
    </row>
    <row r="262" spans="1:11" ht="27.9" customHeight="1" x14ac:dyDescent="0.3">
      <c r="A262" s="3">
        <v>45710</v>
      </c>
      <c r="B262" s="4" t="s">
        <v>139</v>
      </c>
      <c r="C262" s="4" t="s">
        <v>136</v>
      </c>
      <c r="D262" s="4">
        <v>0</v>
      </c>
      <c r="E262" s="4">
        <v>4</v>
      </c>
      <c r="F262" s="4" t="s">
        <v>130</v>
      </c>
      <c r="G262" s="4">
        <v>6</v>
      </c>
      <c r="H262" s="4">
        <v>1</v>
      </c>
      <c r="I262" s="4" t="s">
        <v>246</v>
      </c>
      <c r="J262" s="7">
        <v>0</v>
      </c>
      <c r="K262" s="4" t="s">
        <v>250</v>
      </c>
    </row>
    <row r="263" spans="1:11" ht="27.9" customHeight="1" x14ac:dyDescent="0.3">
      <c r="A263" s="3">
        <v>45710</v>
      </c>
      <c r="B263" s="4" t="s">
        <v>145</v>
      </c>
      <c r="C263" s="4" t="s">
        <v>151</v>
      </c>
      <c r="D263" s="4">
        <v>2</v>
      </c>
      <c r="E263" s="4">
        <v>1</v>
      </c>
      <c r="F263" s="4" t="s">
        <v>124</v>
      </c>
      <c r="G263" s="4">
        <v>12</v>
      </c>
      <c r="H263" s="4">
        <v>6</v>
      </c>
      <c r="I263" s="4" t="s">
        <v>246</v>
      </c>
      <c r="J263" s="7">
        <v>3</v>
      </c>
      <c r="K263" s="4" t="s">
        <v>249</v>
      </c>
    </row>
    <row r="264" spans="1:11" ht="27.9" customHeight="1" x14ac:dyDescent="0.3">
      <c r="A264" s="3">
        <v>45711</v>
      </c>
      <c r="B264" s="4" t="s">
        <v>138</v>
      </c>
      <c r="C264" s="4" t="s">
        <v>141</v>
      </c>
      <c r="D264" s="4">
        <v>4</v>
      </c>
      <c r="E264" s="4">
        <v>3</v>
      </c>
      <c r="F264" s="4" t="s">
        <v>124</v>
      </c>
      <c r="G264" s="4">
        <v>13</v>
      </c>
      <c r="H264" s="4">
        <v>5</v>
      </c>
      <c r="I264" s="4" t="s">
        <v>246</v>
      </c>
      <c r="J264" s="7">
        <v>3</v>
      </c>
      <c r="K264" s="4" t="s">
        <v>249</v>
      </c>
    </row>
    <row r="265" spans="1:11" ht="27.9" customHeight="1" x14ac:dyDescent="0.3">
      <c r="A265" s="3">
        <v>45711</v>
      </c>
      <c r="B265" s="4" t="s">
        <v>152</v>
      </c>
      <c r="C265" s="4" t="s">
        <v>129</v>
      </c>
      <c r="D265" s="4">
        <v>0</v>
      </c>
      <c r="E265" s="4">
        <v>2</v>
      </c>
      <c r="F265" s="4" t="s">
        <v>130</v>
      </c>
      <c r="G265" s="4">
        <v>16</v>
      </c>
      <c r="H265" s="4">
        <v>5</v>
      </c>
      <c r="I265" s="4" t="s">
        <v>246</v>
      </c>
      <c r="J265" s="7">
        <v>0</v>
      </c>
      <c r="K265" s="4" t="s">
        <v>250</v>
      </c>
    </row>
    <row r="266" spans="1:11" ht="27.9" customHeight="1" x14ac:dyDescent="0.3">
      <c r="A266" s="3">
        <v>45713</v>
      </c>
      <c r="B266" s="4" t="s">
        <v>136</v>
      </c>
      <c r="C266" s="4" t="s">
        <v>142</v>
      </c>
      <c r="D266" s="4">
        <v>2</v>
      </c>
      <c r="E266" s="4">
        <v>1</v>
      </c>
      <c r="F266" s="4" t="s">
        <v>124</v>
      </c>
      <c r="G266" s="4">
        <v>11</v>
      </c>
      <c r="H266" s="4">
        <v>4</v>
      </c>
      <c r="I266" s="4" t="s">
        <v>246</v>
      </c>
      <c r="J266" s="7">
        <v>3</v>
      </c>
      <c r="K266" s="4" t="s">
        <v>249</v>
      </c>
    </row>
    <row r="267" spans="1:11" ht="27.9" customHeight="1" x14ac:dyDescent="0.3">
      <c r="A267" s="3">
        <v>45713</v>
      </c>
      <c r="B267" s="4" t="s">
        <v>149</v>
      </c>
      <c r="C267" s="4" t="s">
        <v>145</v>
      </c>
      <c r="D267" s="4">
        <v>4</v>
      </c>
      <c r="E267" s="4">
        <v>1</v>
      </c>
      <c r="F267" s="4" t="s">
        <v>124</v>
      </c>
      <c r="G267" s="4">
        <v>19</v>
      </c>
      <c r="H267" s="4">
        <v>6</v>
      </c>
      <c r="I267" s="4" t="s">
        <v>246</v>
      </c>
      <c r="J267" s="7">
        <v>3</v>
      </c>
      <c r="K267" s="4" t="s">
        <v>249</v>
      </c>
    </row>
    <row r="268" spans="1:11" ht="27.9" customHeight="1" x14ac:dyDescent="0.3">
      <c r="A268" s="3">
        <v>45713</v>
      </c>
      <c r="B268" s="4" t="s">
        <v>133</v>
      </c>
      <c r="C268" s="4" t="s">
        <v>123</v>
      </c>
      <c r="D268" s="4">
        <v>1</v>
      </c>
      <c r="E268" s="4">
        <v>2</v>
      </c>
      <c r="F268" s="4" t="s">
        <v>130</v>
      </c>
      <c r="G268" s="4">
        <v>18</v>
      </c>
      <c r="H268" s="4">
        <v>5</v>
      </c>
      <c r="I268" s="4" t="s">
        <v>246</v>
      </c>
      <c r="J268" s="7">
        <v>0</v>
      </c>
      <c r="K268" s="4" t="s">
        <v>250</v>
      </c>
    </row>
    <row r="269" spans="1:11" ht="27.9" customHeight="1" x14ac:dyDescent="0.3">
      <c r="A269" s="3">
        <v>45713</v>
      </c>
      <c r="B269" s="4" t="s">
        <v>151</v>
      </c>
      <c r="C269" s="4" t="s">
        <v>139</v>
      </c>
      <c r="D269" s="4">
        <v>4</v>
      </c>
      <c r="E269" s="4">
        <v>0</v>
      </c>
      <c r="F269" s="4" t="s">
        <v>124</v>
      </c>
      <c r="G269" s="4">
        <v>19</v>
      </c>
      <c r="H269" s="4">
        <v>10</v>
      </c>
      <c r="I269" s="4" t="s">
        <v>246</v>
      </c>
      <c r="J269" s="7">
        <v>3</v>
      </c>
      <c r="K269" s="4" t="s">
        <v>249</v>
      </c>
    </row>
    <row r="270" spans="1:11" ht="27.9" customHeight="1" x14ac:dyDescent="0.3">
      <c r="A270" s="3">
        <v>45714</v>
      </c>
      <c r="B270" s="4" t="s">
        <v>148</v>
      </c>
      <c r="C270" s="4" t="s">
        <v>135</v>
      </c>
      <c r="D270" s="4">
        <v>1</v>
      </c>
      <c r="E270" s="4">
        <v>1</v>
      </c>
      <c r="F270" s="4" t="s">
        <v>125</v>
      </c>
      <c r="G270" s="4">
        <v>12</v>
      </c>
      <c r="H270" s="4">
        <v>3</v>
      </c>
      <c r="I270" s="4" t="s">
        <v>246</v>
      </c>
      <c r="J270" s="7">
        <v>1</v>
      </c>
      <c r="K270" s="4" t="s">
        <v>125</v>
      </c>
    </row>
    <row r="271" spans="1:11" ht="27.9" customHeight="1" x14ac:dyDescent="0.3">
      <c r="A271" s="3">
        <v>45714</v>
      </c>
      <c r="B271" s="4" t="s">
        <v>122</v>
      </c>
      <c r="C271" s="4" t="s">
        <v>128</v>
      </c>
      <c r="D271" s="4">
        <v>3</v>
      </c>
      <c r="E271" s="4">
        <v>2</v>
      </c>
      <c r="F271" s="4" t="s">
        <v>124</v>
      </c>
      <c r="G271" s="4">
        <v>10</v>
      </c>
      <c r="H271" s="4">
        <v>6</v>
      </c>
      <c r="I271" s="4" t="s">
        <v>246</v>
      </c>
      <c r="J271" s="7">
        <v>3</v>
      </c>
      <c r="K271" s="4" t="s">
        <v>249</v>
      </c>
    </row>
    <row r="272" spans="1:11" ht="27.9" customHeight="1" x14ac:dyDescent="0.3">
      <c r="A272" s="3">
        <v>45714</v>
      </c>
      <c r="B272" s="4" t="s">
        <v>141</v>
      </c>
      <c r="C272" s="4" t="s">
        <v>132</v>
      </c>
      <c r="D272" s="4">
        <v>0</v>
      </c>
      <c r="E272" s="4">
        <v>0</v>
      </c>
      <c r="F272" s="4" t="s">
        <v>125</v>
      </c>
      <c r="G272" s="4">
        <v>6</v>
      </c>
      <c r="H272" s="4">
        <v>2</v>
      </c>
      <c r="I272" s="4" t="s">
        <v>246</v>
      </c>
      <c r="J272" s="7">
        <v>1</v>
      </c>
      <c r="K272" s="4" t="s">
        <v>125</v>
      </c>
    </row>
    <row r="273" spans="1:11" ht="27.9" customHeight="1" x14ac:dyDescent="0.3">
      <c r="A273" s="3">
        <v>45714</v>
      </c>
      <c r="B273" s="4" t="s">
        <v>156</v>
      </c>
      <c r="C273" s="4" t="s">
        <v>152</v>
      </c>
      <c r="D273" s="4">
        <v>0</v>
      </c>
      <c r="E273" s="4">
        <v>1</v>
      </c>
      <c r="F273" s="4" t="s">
        <v>130</v>
      </c>
      <c r="G273" s="4">
        <v>11</v>
      </c>
      <c r="H273" s="4">
        <v>6</v>
      </c>
      <c r="I273" s="4" t="s">
        <v>246</v>
      </c>
      <c r="J273" s="7">
        <v>0</v>
      </c>
      <c r="K273" s="4" t="s">
        <v>250</v>
      </c>
    </row>
    <row r="274" spans="1:11" ht="27.9" customHeight="1" x14ac:dyDescent="0.3">
      <c r="A274" s="3">
        <v>45714</v>
      </c>
      <c r="B274" s="4" t="s">
        <v>129</v>
      </c>
      <c r="C274" s="4" t="s">
        <v>138</v>
      </c>
      <c r="D274" s="4">
        <v>2</v>
      </c>
      <c r="E274" s="4">
        <v>0</v>
      </c>
      <c r="F274" s="4" t="s">
        <v>124</v>
      </c>
      <c r="G274" s="4">
        <v>12</v>
      </c>
      <c r="H274" s="4">
        <v>3</v>
      </c>
      <c r="I274" s="4" t="s">
        <v>246</v>
      </c>
      <c r="J274" s="7">
        <v>3</v>
      </c>
      <c r="K274" s="4" t="s">
        <v>249</v>
      </c>
    </row>
    <row r="275" spans="1:11" ht="27.9" customHeight="1" x14ac:dyDescent="0.3">
      <c r="A275" s="3">
        <v>45715</v>
      </c>
      <c r="B275" s="4" t="s">
        <v>144</v>
      </c>
      <c r="C275" s="4" t="s">
        <v>155</v>
      </c>
      <c r="D275" s="4">
        <v>2</v>
      </c>
      <c r="E275" s="4">
        <v>0</v>
      </c>
      <c r="F275" s="4" t="s">
        <v>124</v>
      </c>
      <c r="G275" s="4">
        <v>8</v>
      </c>
      <c r="H275" s="4">
        <v>2</v>
      </c>
      <c r="I275" s="4" t="s">
        <v>246</v>
      </c>
      <c r="J275" s="7">
        <v>3</v>
      </c>
      <c r="K275" s="4" t="s">
        <v>249</v>
      </c>
    </row>
    <row r="276" spans="1:11" ht="27.9" customHeight="1" x14ac:dyDescent="0.3">
      <c r="A276" s="3">
        <v>45724</v>
      </c>
      <c r="B276" s="4" t="s">
        <v>141</v>
      </c>
      <c r="C276" s="4" t="s">
        <v>152</v>
      </c>
      <c r="D276" s="4">
        <v>1</v>
      </c>
      <c r="E276" s="4">
        <v>0</v>
      </c>
      <c r="F276" s="4" t="s">
        <v>124</v>
      </c>
      <c r="G276" s="4">
        <v>9</v>
      </c>
      <c r="H276" s="4">
        <v>4</v>
      </c>
      <c r="I276" s="4" t="s">
        <v>246</v>
      </c>
      <c r="J276" s="7">
        <v>3</v>
      </c>
      <c r="K276" s="4" t="s">
        <v>249</v>
      </c>
    </row>
    <row r="277" spans="1:11" ht="27.9" customHeight="1" x14ac:dyDescent="0.3">
      <c r="A277" s="3">
        <v>45724</v>
      </c>
      <c r="B277" s="4" t="s">
        <v>136</v>
      </c>
      <c r="C277" s="4" t="s">
        <v>123</v>
      </c>
      <c r="D277" s="4">
        <v>2</v>
      </c>
      <c r="E277" s="4">
        <v>1</v>
      </c>
      <c r="F277" s="4" t="s">
        <v>124</v>
      </c>
      <c r="G277" s="4">
        <v>9</v>
      </c>
      <c r="H277" s="4">
        <v>4</v>
      </c>
      <c r="I277" s="4" t="s">
        <v>246</v>
      </c>
      <c r="J277" s="7">
        <v>3</v>
      </c>
      <c r="K277" s="4" t="s">
        <v>249</v>
      </c>
    </row>
    <row r="278" spans="1:11" ht="27.9" customHeight="1" x14ac:dyDescent="0.3">
      <c r="A278" s="3">
        <v>45724</v>
      </c>
      <c r="B278" s="4" t="s">
        <v>149</v>
      </c>
      <c r="C278" s="4" t="s">
        <v>128</v>
      </c>
      <c r="D278" s="4">
        <v>1</v>
      </c>
      <c r="E278" s="4">
        <v>0</v>
      </c>
      <c r="F278" s="4" t="s">
        <v>124</v>
      </c>
      <c r="G278" s="4">
        <v>19</v>
      </c>
      <c r="H278" s="4">
        <v>4</v>
      </c>
      <c r="I278" s="4" t="s">
        <v>246</v>
      </c>
      <c r="J278" s="7">
        <v>3</v>
      </c>
      <c r="K278" s="4" t="s">
        <v>249</v>
      </c>
    </row>
    <row r="279" spans="1:11" ht="27.9" customHeight="1" x14ac:dyDescent="0.3">
      <c r="A279" s="3">
        <v>45724</v>
      </c>
      <c r="B279" s="4" t="s">
        <v>129</v>
      </c>
      <c r="C279" s="4" t="s">
        <v>139</v>
      </c>
      <c r="D279" s="4">
        <v>3</v>
      </c>
      <c r="E279" s="4">
        <v>1</v>
      </c>
      <c r="F279" s="4" t="s">
        <v>124</v>
      </c>
      <c r="G279" s="4">
        <v>28</v>
      </c>
      <c r="H279" s="4">
        <v>7</v>
      </c>
      <c r="I279" s="4" t="s">
        <v>246</v>
      </c>
      <c r="J279" s="7">
        <v>3</v>
      </c>
      <c r="K279" s="4" t="s">
        <v>249</v>
      </c>
    </row>
    <row r="280" spans="1:11" ht="27.9" customHeight="1" x14ac:dyDescent="0.3">
      <c r="A280" s="3">
        <v>45724</v>
      </c>
      <c r="B280" s="4" t="s">
        <v>148</v>
      </c>
      <c r="C280" s="4" t="s">
        <v>145</v>
      </c>
      <c r="D280" s="4">
        <v>0</v>
      </c>
      <c r="E280" s="4">
        <v>1</v>
      </c>
      <c r="F280" s="4" t="s">
        <v>130</v>
      </c>
      <c r="G280" s="4">
        <v>13</v>
      </c>
      <c r="H280" s="4">
        <v>3</v>
      </c>
      <c r="I280" s="4" t="s">
        <v>246</v>
      </c>
      <c r="J280" s="7">
        <v>0</v>
      </c>
      <c r="K280" s="4" t="s">
        <v>250</v>
      </c>
    </row>
    <row r="281" spans="1:11" ht="27.9" customHeight="1" x14ac:dyDescent="0.3">
      <c r="A281" s="3">
        <v>45724</v>
      </c>
      <c r="B281" s="4" t="s">
        <v>133</v>
      </c>
      <c r="C281" s="4" t="s">
        <v>135</v>
      </c>
      <c r="D281" s="4">
        <v>1</v>
      </c>
      <c r="E281" s="4">
        <v>1</v>
      </c>
      <c r="F281" s="4" t="s">
        <v>125</v>
      </c>
      <c r="G281" s="4">
        <v>11</v>
      </c>
      <c r="H281" s="4">
        <v>3</v>
      </c>
      <c r="I281" s="4" t="s">
        <v>246</v>
      </c>
      <c r="J281" s="7">
        <v>1</v>
      </c>
      <c r="K281" s="4" t="s">
        <v>125</v>
      </c>
    </row>
    <row r="282" spans="1:11" ht="27.9" customHeight="1" x14ac:dyDescent="0.3">
      <c r="A282" s="3">
        <v>45725</v>
      </c>
      <c r="B282" s="4" t="s">
        <v>151</v>
      </c>
      <c r="C282" s="4" t="s">
        <v>155</v>
      </c>
      <c r="D282" s="4">
        <v>1</v>
      </c>
      <c r="E282" s="4">
        <v>0</v>
      </c>
      <c r="F282" s="4" t="s">
        <v>124</v>
      </c>
      <c r="G282" s="4">
        <v>20</v>
      </c>
      <c r="H282" s="4">
        <v>7</v>
      </c>
      <c r="I282" s="4" t="s">
        <v>246</v>
      </c>
      <c r="J282" s="7">
        <v>3</v>
      </c>
      <c r="K282" s="4" t="s">
        <v>249</v>
      </c>
    </row>
    <row r="283" spans="1:11" ht="27.9" customHeight="1" x14ac:dyDescent="0.3">
      <c r="A283" s="3">
        <v>45725</v>
      </c>
      <c r="B283" s="4" t="s">
        <v>156</v>
      </c>
      <c r="C283" s="4" t="s">
        <v>142</v>
      </c>
      <c r="D283" s="4">
        <v>2</v>
      </c>
      <c r="E283" s="4">
        <v>2</v>
      </c>
      <c r="F283" s="4" t="s">
        <v>125</v>
      </c>
      <c r="G283" s="4">
        <v>12</v>
      </c>
      <c r="H283" s="4">
        <v>4</v>
      </c>
      <c r="I283" s="4" t="s">
        <v>246</v>
      </c>
      <c r="J283" s="7">
        <v>1</v>
      </c>
      <c r="K283" s="4" t="s">
        <v>125</v>
      </c>
    </row>
    <row r="284" spans="1:11" ht="27.9" customHeight="1" x14ac:dyDescent="0.3">
      <c r="A284" s="3">
        <v>45725</v>
      </c>
      <c r="B284" s="4" t="s">
        <v>122</v>
      </c>
      <c r="C284" s="4" t="s">
        <v>132</v>
      </c>
      <c r="D284" s="4">
        <v>1</v>
      </c>
      <c r="E284" s="4">
        <v>1</v>
      </c>
      <c r="F284" s="4" t="s">
        <v>125</v>
      </c>
      <c r="G284" s="4">
        <v>10</v>
      </c>
      <c r="H284" s="4">
        <v>6</v>
      </c>
      <c r="I284" s="4" t="s">
        <v>246</v>
      </c>
      <c r="J284" s="7">
        <v>1</v>
      </c>
      <c r="K284" s="4" t="s">
        <v>125</v>
      </c>
    </row>
    <row r="285" spans="1:11" ht="27.9" customHeight="1" x14ac:dyDescent="0.3">
      <c r="A285" s="3">
        <v>45726</v>
      </c>
      <c r="B285" s="4" t="s">
        <v>144</v>
      </c>
      <c r="C285" s="4" t="s">
        <v>138</v>
      </c>
      <c r="D285" s="4">
        <v>0</v>
      </c>
      <c r="E285" s="4">
        <v>1</v>
      </c>
      <c r="F285" s="4" t="s">
        <v>130</v>
      </c>
      <c r="G285" s="4">
        <v>9</v>
      </c>
      <c r="H285" s="4">
        <v>2</v>
      </c>
      <c r="I285" s="4" t="s">
        <v>246</v>
      </c>
      <c r="J285" s="7">
        <v>0</v>
      </c>
      <c r="K285" s="4" t="s">
        <v>250</v>
      </c>
    </row>
    <row r="286" spans="1:11" ht="27.9" customHeight="1" x14ac:dyDescent="0.3">
      <c r="A286" s="3">
        <v>45731</v>
      </c>
      <c r="B286" s="4" t="s">
        <v>135</v>
      </c>
      <c r="C286" s="4" t="s">
        <v>144</v>
      </c>
      <c r="D286" s="4">
        <v>1</v>
      </c>
      <c r="E286" s="4">
        <v>1</v>
      </c>
      <c r="F286" s="4" t="s">
        <v>125</v>
      </c>
      <c r="G286" s="4">
        <v>13</v>
      </c>
      <c r="H286" s="4">
        <v>5</v>
      </c>
      <c r="I286" s="4" t="s">
        <v>246</v>
      </c>
      <c r="J286" s="7">
        <v>1</v>
      </c>
      <c r="K286" s="4" t="s">
        <v>125</v>
      </c>
    </row>
    <row r="287" spans="1:11" ht="27.9" customHeight="1" x14ac:dyDescent="0.3">
      <c r="A287" s="3">
        <v>45731</v>
      </c>
      <c r="B287" s="4" t="s">
        <v>128</v>
      </c>
      <c r="C287" s="4" t="s">
        <v>141</v>
      </c>
      <c r="D287" s="4">
        <v>2</v>
      </c>
      <c r="E287" s="4">
        <v>4</v>
      </c>
      <c r="F287" s="4" t="s">
        <v>130</v>
      </c>
      <c r="G287" s="4">
        <v>11</v>
      </c>
      <c r="H287" s="4">
        <v>4</v>
      </c>
      <c r="I287" s="4" t="s">
        <v>246</v>
      </c>
      <c r="J287" s="7">
        <v>0</v>
      </c>
      <c r="K287" s="4" t="s">
        <v>250</v>
      </c>
    </row>
    <row r="288" spans="1:11" ht="27.9" customHeight="1" x14ac:dyDescent="0.3">
      <c r="A288" s="3">
        <v>45731</v>
      </c>
      <c r="B288" s="4" t="s">
        <v>152</v>
      </c>
      <c r="C288" s="4" t="s">
        <v>136</v>
      </c>
      <c r="D288" s="4">
        <v>2</v>
      </c>
      <c r="E288" s="4">
        <v>2</v>
      </c>
      <c r="F288" s="4" t="s">
        <v>125</v>
      </c>
      <c r="G288" s="4">
        <v>11</v>
      </c>
      <c r="H288" s="4">
        <v>3</v>
      </c>
      <c r="I288" s="4" t="s">
        <v>246</v>
      </c>
      <c r="J288" s="7">
        <v>1</v>
      </c>
      <c r="K288" s="4" t="s">
        <v>125</v>
      </c>
    </row>
    <row r="289" spans="1:11" ht="27.9" customHeight="1" x14ac:dyDescent="0.3">
      <c r="A289" s="3">
        <v>45731</v>
      </c>
      <c r="B289" s="4" t="s">
        <v>139</v>
      </c>
      <c r="C289" s="4" t="s">
        <v>133</v>
      </c>
      <c r="D289" s="4">
        <v>1</v>
      </c>
      <c r="E289" s="4">
        <v>2</v>
      </c>
      <c r="F289" s="4" t="s">
        <v>130</v>
      </c>
      <c r="G289" s="4">
        <v>10</v>
      </c>
      <c r="H289" s="4">
        <v>3</v>
      </c>
      <c r="I289" s="4" t="s">
        <v>246</v>
      </c>
      <c r="J289" s="7">
        <v>0</v>
      </c>
      <c r="K289" s="4" t="s">
        <v>250</v>
      </c>
    </row>
    <row r="290" spans="1:11" ht="27.9" customHeight="1" x14ac:dyDescent="0.3">
      <c r="A290" s="3">
        <v>45731</v>
      </c>
      <c r="B290" s="4" t="s">
        <v>142</v>
      </c>
      <c r="C290" s="4" t="s">
        <v>148</v>
      </c>
      <c r="D290" s="4">
        <v>1</v>
      </c>
      <c r="E290" s="4">
        <v>2</v>
      </c>
      <c r="F290" s="4" t="s">
        <v>130</v>
      </c>
      <c r="G290" s="4">
        <v>17</v>
      </c>
      <c r="H290" s="4">
        <v>5</v>
      </c>
      <c r="I290" s="4" t="s">
        <v>246</v>
      </c>
      <c r="J290" s="7">
        <v>0</v>
      </c>
      <c r="K290" s="4" t="s">
        <v>250</v>
      </c>
    </row>
    <row r="291" spans="1:11" ht="27.9" customHeight="1" x14ac:dyDescent="0.3">
      <c r="A291" s="3">
        <v>45732</v>
      </c>
      <c r="B291" s="4" t="s">
        <v>132</v>
      </c>
      <c r="C291" s="4" t="s">
        <v>151</v>
      </c>
      <c r="D291" s="4">
        <v>1</v>
      </c>
      <c r="E291" s="4">
        <v>0</v>
      </c>
      <c r="F291" s="4" t="s">
        <v>124</v>
      </c>
      <c r="G291" s="4">
        <v>12</v>
      </c>
      <c r="H291" s="4">
        <v>4</v>
      </c>
      <c r="I291" s="4" t="s">
        <v>246</v>
      </c>
      <c r="J291" s="7">
        <v>3</v>
      </c>
      <c r="K291" s="4" t="s">
        <v>249</v>
      </c>
    </row>
    <row r="292" spans="1:11" ht="27.9" customHeight="1" x14ac:dyDescent="0.3">
      <c r="A292" s="3">
        <v>45732</v>
      </c>
      <c r="B292" s="4" t="s">
        <v>123</v>
      </c>
      <c r="C292" s="4" t="s">
        <v>156</v>
      </c>
      <c r="D292" s="4">
        <v>2</v>
      </c>
      <c r="E292" s="4">
        <v>0</v>
      </c>
      <c r="F292" s="4" t="s">
        <v>124</v>
      </c>
      <c r="G292" s="4">
        <v>13</v>
      </c>
      <c r="H292" s="4">
        <v>4</v>
      </c>
      <c r="I292" s="4" t="s">
        <v>246</v>
      </c>
      <c r="J292" s="7">
        <v>3</v>
      </c>
      <c r="K292" s="4" t="s">
        <v>249</v>
      </c>
    </row>
    <row r="293" spans="1:11" ht="27.9" customHeight="1" x14ac:dyDescent="0.3">
      <c r="A293" s="3">
        <v>45732</v>
      </c>
      <c r="B293" s="4" t="s">
        <v>155</v>
      </c>
      <c r="C293" s="4" t="s">
        <v>122</v>
      </c>
      <c r="D293" s="4">
        <v>0</v>
      </c>
      <c r="E293" s="4">
        <v>3</v>
      </c>
      <c r="F293" s="4" t="s">
        <v>130</v>
      </c>
      <c r="G293" s="4">
        <v>11</v>
      </c>
      <c r="H293" s="4">
        <v>3</v>
      </c>
      <c r="I293" s="4" t="s">
        <v>246</v>
      </c>
      <c r="J293" s="7">
        <v>0</v>
      </c>
      <c r="K293" s="4" t="s">
        <v>250</v>
      </c>
    </row>
    <row r="294" spans="1:11" ht="27.9" customHeight="1" x14ac:dyDescent="0.3">
      <c r="A294" s="3">
        <v>45748</v>
      </c>
      <c r="B294" s="4" t="s">
        <v>132</v>
      </c>
      <c r="C294" s="4" t="s">
        <v>123</v>
      </c>
      <c r="D294" s="4">
        <v>2</v>
      </c>
      <c r="E294" s="4">
        <v>1</v>
      </c>
      <c r="F294" s="4" t="s">
        <v>124</v>
      </c>
      <c r="G294" s="4">
        <v>17</v>
      </c>
      <c r="H294" s="4">
        <v>4</v>
      </c>
      <c r="I294" s="4" t="s">
        <v>246</v>
      </c>
      <c r="J294" s="7">
        <v>3</v>
      </c>
      <c r="K294" s="4" t="s">
        <v>249</v>
      </c>
    </row>
    <row r="295" spans="1:11" ht="27.9" customHeight="1" x14ac:dyDescent="0.3">
      <c r="A295" s="3">
        <v>45748</v>
      </c>
      <c r="B295" s="4" t="s">
        <v>133</v>
      </c>
      <c r="C295" s="4" t="s">
        <v>144</v>
      </c>
      <c r="D295" s="4">
        <v>1</v>
      </c>
      <c r="E295" s="4">
        <v>0</v>
      </c>
      <c r="F295" s="4" t="s">
        <v>124</v>
      </c>
      <c r="G295" s="4">
        <v>9</v>
      </c>
      <c r="H295" s="4">
        <v>2</v>
      </c>
      <c r="I295" s="4" t="s">
        <v>246</v>
      </c>
      <c r="J295" s="7">
        <v>3</v>
      </c>
      <c r="K295" s="4" t="s">
        <v>249</v>
      </c>
    </row>
    <row r="296" spans="1:11" ht="27.9" customHeight="1" x14ac:dyDescent="0.3">
      <c r="A296" s="3">
        <v>45748</v>
      </c>
      <c r="B296" s="4" t="s">
        <v>141</v>
      </c>
      <c r="C296" s="4" t="s">
        <v>122</v>
      </c>
      <c r="D296" s="4">
        <v>1</v>
      </c>
      <c r="E296" s="4">
        <v>0</v>
      </c>
      <c r="F296" s="4" t="s">
        <v>124</v>
      </c>
      <c r="G296" s="4">
        <v>8</v>
      </c>
      <c r="H296" s="4">
        <v>2</v>
      </c>
      <c r="I296" s="4" t="s">
        <v>246</v>
      </c>
      <c r="J296" s="7">
        <v>3</v>
      </c>
      <c r="K296" s="4" t="s">
        <v>249</v>
      </c>
    </row>
    <row r="297" spans="1:11" ht="27.9" customHeight="1" x14ac:dyDescent="0.3">
      <c r="A297" s="3">
        <v>45749</v>
      </c>
      <c r="B297" s="4" t="s">
        <v>142</v>
      </c>
      <c r="C297" s="4" t="s">
        <v>128</v>
      </c>
      <c r="D297" s="4">
        <v>1</v>
      </c>
      <c r="E297" s="4">
        <v>2</v>
      </c>
      <c r="F297" s="4" t="s">
        <v>130</v>
      </c>
      <c r="G297" s="4">
        <v>24</v>
      </c>
      <c r="H297" s="4">
        <v>7</v>
      </c>
      <c r="I297" s="4" t="s">
        <v>246</v>
      </c>
      <c r="J297" s="7">
        <v>0</v>
      </c>
      <c r="K297" s="4" t="s">
        <v>250</v>
      </c>
    </row>
    <row r="298" spans="1:11" ht="27.9" customHeight="1" x14ac:dyDescent="0.3">
      <c r="A298" s="3">
        <v>45749</v>
      </c>
      <c r="B298" s="4" t="s">
        <v>136</v>
      </c>
      <c r="C298" s="4" t="s">
        <v>145</v>
      </c>
      <c r="D298" s="4">
        <v>0</v>
      </c>
      <c r="E298" s="4">
        <v>3</v>
      </c>
      <c r="F298" s="4" t="s">
        <v>130</v>
      </c>
      <c r="G298" s="4">
        <v>11</v>
      </c>
      <c r="H298" s="4">
        <v>4</v>
      </c>
      <c r="I298" s="4" t="s">
        <v>246</v>
      </c>
      <c r="J298" s="7">
        <v>0</v>
      </c>
      <c r="K298" s="4" t="s">
        <v>250</v>
      </c>
    </row>
    <row r="299" spans="1:11" ht="27.9" customHeight="1" x14ac:dyDescent="0.3">
      <c r="A299" s="3">
        <v>45749</v>
      </c>
      <c r="B299" s="4" t="s">
        <v>152</v>
      </c>
      <c r="C299" s="4" t="s">
        <v>155</v>
      </c>
      <c r="D299" s="4">
        <v>2</v>
      </c>
      <c r="E299" s="4">
        <v>0</v>
      </c>
      <c r="F299" s="4" t="s">
        <v>124</v>
      </c>
      <c r="G299" s="4">
        <v>18</v>
      </c>
      <c r="H299" s="4">
        <v>5</v>
      </c>
      <c r="I299" s="4" t="s">
        <v>246</v>
      </c>
      <c r="J299" s="7">
        <v>3</v>
      </c>
      <c r="K299" s="4" t="s">
        <v>249</v>
      </c>
    </row>
    <row r="300" spans="1:11" ht="27.9" customHeight="1" x14ac:dyDescent="0.3">
      <c r="A300" s="3">
        <v>45749</v>
      </c>
      <c r="B300" s="4" t="s">
        <v>138</v>
      </c>
      <c r="C300" s="4" t="s">
        <v>148</v>
      </c>
      <c r="D300" s="4">
        <v>2</v>
      </c>
      <c r="E300" s="4">
        <v>1</v>
      </c>
      <c r="F300" s="4" t="s">
        <v>124</v>
      </c>
      <c r="G300" s="4">
        <v>21</v>
      </c>
      <c r="H300" s="4">
        <v>4</v>
      </c>
      <c r="I300" s="4" t="s">
        <v>246</v>
      </c>
      <c r="J300" s="7">
        <v>3</v>
      </c>
      <c r="K300" s="4" t="s">
        <v>249</v>
      </c>
    </row>
    <row r="301" spans="1:11" ht="27.9" customHeight="1" x14ac:dyDescent="0.3">
      <c r="A301" s="3">
        <v>45749</v>
      </c>
      <c r="B301" s="4" t="s">
        <v>139</v>
      </c>
      <c r="C301" s="4" t="s">
        <v>149</v>
      </c>
      <c r="D301" s="4">
        <v>1</v>
      </c>
      <c r="E301" s="4">
        <v>1</v>
      </c>
      <c r="F301" s="4" t="s">
        <v>125</v>
      </c>
      <c r="G301" s="4">
        <v>8</v>
      </c>
      <c r="H301" s="4">
        <v>2</v>
      </c>
      <c r="I301" s="4" t="s">
        <v>246</v>
      </c>
      <c r="J301" s="7">
        <v>1</v>
      </c>
      <c r="K301" s="4" t="s">
        <v>125</v>
      </c>
    </row>
    <row r="302" spans="1:11" ht="27.9" customHeight="1" x14ac:dyDescent="0.3">
      <c r="A302" s="3">
        <v>45749</v>
      </c>
      <c r="B302" s="4" t="s">
        <v>129</v>
      </c>
      <c r="C302" s="4" t="s">
        <v>135</v>
      </c>
      <c r="D302" s="4">
        <v>1</v>
      </c>
      <c r="E302" s="4">
        <v>0</v>
      </c>
      <c r="F302" s="4" t="s">
        <v>124</v>
      </c>
      <c r="G302" s="4">
        <v>17</v>
      </c>
      <c r="H302" s="4">
        <v>3</v>
      </c>
      <c r="I302" s="4" t="s">
        <v>246</v>
      </c>
      <c r="J302" s="7">
        <v>3</v>
      </c>
      <c r="K302" s="4" t="s">
        <v>249</v>
      </c>
    </row>
    <row r="303" spans="1:11" ht="27.9" customHeight="1" x14ac:dyDescent="0.3">
      <c r="A303" s="3">
        <v>45750</v>
      </c>
      <c r="B303" s="4" t="s">
        <v>151</v>
      </c>
      <c r="C303" s="4" t="s">
        <v>156</v>
      </c>
      <c r="D303" s="4">
        <v>1</v>
      </c>
      <c r="E303" s="4">
        <v>0</v>
      </c>
      <c r="F303" s="4" t="s">
        <v>124</v>
      </c>
      <c r="G303" s="4">
        <v>11</v>
      </c>
      <c r="H303" s="4">
        <v>5</v>
      </c>
      <c r="I303" s="4" t="s">
        <v>246</v>
      </c>
      <c r="J303" s="7">
        <v>3</v>
      </c>
      <c r="K303" s="4" t="s">
        <v>249</v>
      </c>
    </row>
    <row r="304" spans="1:11" ht="27.9" customHeight="1" x14ac:dyDescent="0.3">
      <c r="A304" s="3">
        <v>45752</v>
      </c>
      <c r="B304" s="4" t="s">
        <v>135</v>
      </c>
      <c r="C304" s="4" t="s">
        <v>132</v>
      </c>
      <c r="D304" s="4">
        <v>1</v>
      </c>
      <c r="E304" s="4">
        <v>1</v>
      </c>
      <c r="F304" s="4" t="s">
        <v>125</v>
      </c>
      <c r="G304" s="4">
        <v>5</v>
      </c>
      <c r="H304" s="4">
        <v>2</v>
      </c>
      <c r="I304" s="4" t="s">
        <v>246</v>
      </c>
      <c r="J304" s="7">
        <v>1</v>
      </c>
      <c r="K304" s="4" t="s">
        <v>125</v>
      </c>
    </row>
    <row r="305" spans="1:11" ht="27.9" customHeight="1" x14ac:dyDescent="0.3">
      <c r="A305" s="3">
        <v>45752</v>
      </c>
      <c r="B305" s="4" t="s">
        <v>149</v>
      </c>
      <c r="C305" s="4" t="s">
        <v>136</v>
      </c>
      <c r="D305" s="4">
        <v>2</v>
      </c>
      <c r="E305" s="4">
        <v>1</v>
      </c>
      <c r="F305" s="4" t="s">
        <v>124</v>
      </c>
      <c r="G305" s="4">
        <v>8</v>
      </c>
      <c r="H305" s="4">
        <v>3</v>
      </c>
      <c r="I305" s="4" t="s">
        <v>246</v>
      </c>
      <c r="J305" s="7">
        <v>3</v>
      </c>
      <c r="K305" s="4" t="s">
        <v>249</v>
      </c>
    </row>
    <row r="306" spans="1:11" ht="27.9" customHeight="1" x14ac:dyDescent="0.3">
      <c r="A306" s="3">
        <v>45752</v>
      </c>
      <c r="B306" s="4" t="s">
        <v>128</v>
      </c>
      <c r="C306" s="4" t="s">
        <v>133</v>
      </c>
      <c r="D306" s="4">
        <v>1</v>
      </c>
      <c r="E306" s="4">
        <v>2</v>
      </c>
      <c r="F306" s="4" t="s">
        <v>130</v>
      </c>
      <c r="G306" s="4">
        <v>6</v>
      </c>
      <c r="H306" s="4">
        <v>2</v>
      </c>
      <c r="I306" s="4" t="s">
        <v>246</v>
      </c>
      <c r="J306" s="7">
        <v>0</v>
      </c>
      <c r="K306" s="4" t="s">
        <v>250</v>
      </c>
    </row>
    <row r="307" spans="1:11" ht="27.9" customHeight="1" x14ac:dyDescent="0.3">
      <c r="A307" s="3">
        <v>45752</v>
      </c>
      <c r="B307" s="4" t="s">
        <v>144</v>
      </c>
      <c r="C307" s="4" t="s">
        <v>142</v>
      </c>
      <c r="D307" s="4">
        <v>2</v>
      </c>
      <c r="E307" s="4">
        <v>2</v>
      </c>
      <c r="F307" s="4" t="s">
        <v>125</v>
      </c>
      <c r="G307" s="4">
        <v>9</v>
      </c>
      <c r="H307" s="4">
        <v>3</v>
      </c>
      <c r="I307" s="4" t="s">
        <v>246</v>
      </c>
      <c r="J307" s="7">
        <v>1</v>
      </c>
      <c r="K307" s="4" t="s">
        <v>125</v>
      </c>
    </row>
    <row r="308" spans="1:11" ht="27.9" customHeight="1" x14ac:dyDescent="0.3">
      <c r="A308" s="3">
        <v>45752</v>
      </c>
      <c r="B308" s="4" t="s">
        <v>145</v>
      </c>
      <c r="C308" s="4" t="s">
        <v>141</v>
      </c>
      <c r="D308" s="4">
        <v>2</v>
      </c>
      <c r="E308" s="4">
        <v>1</v>
      </c>
      <c r="F308" s="4" t="s">
        <v>124</v>
      </c>
      <c r="G308" s="4">
        <v>17</v>
      </c>
      <c r="H308" s="4">
        <v>8</v>
      </c>
      <c r="I308" s="4" t="s">
        <v>246</v>
      </c>
      <c r="J308" s="7">
        <v>3</v>
      </c>
      <c r="K308" s="4" t="s">
        <v>249</v>
      </c>
    </row>
    <row r="309" spans="1:11" ht="27.9" customHeight="1" x14ac:dyDescent="0.3">
      <c r="A309" s="3">
        <v>45753</v>
      </c>
      <c r="B309" s="4" t="s">
        <v>148</v>
      </c>
      <c r="C309" s="4" t="s">
        <v>151</v>
      </c>
      <c r="D309" s="4">
        <v>0</v>
      </c>
      <c r="E309" s="4">
        <v>0</v>
      </c>
      <c r="F309" s="4" t="s">
        <v>125</v>
      </c>
      <c r="G309" s="4">
        <v>9</v>
      </c>
      <c r="H309" s="4">
        <v>2</v>
      </c>
      <c r="I309" s="4" t="s">
        <v>246</v>
      </c>
      <c r="J309" s="7">
        <v>1</v>
      </c>
      <c r="K309" s="4" t="s">
        <v>125</v>
      </c>
    </row>
    <row r="310" spans="1:11" ht="27.9" customHeight="1" x14ac:dyDescent="0.3">
      <c r="A310" s="3">
        <v>45753</v>
      </c>
      <c r="B310" s="4" t="s">
        <v>123</v>
      </c>
      <c r="C310" s="4" t="s">
        <v>129</v>
      </c>
      <c r="D310" s="4">
        <v>3</v>
      </c>
      <c r="E310" s="4">
        <v>2</v>
      </c>
      <c r="F310" s="4" t="s">
        <v>124</v>
      </c>
      <c r="G310" s="4">
        <v>12</v>
      </c>
      <c r="H310" s="4">
        <v>6</v>
      </c>
      <c r="I310" s="4" t="s">
        <v>246</v>
      </c>
      <c r="J310" s="7">
        <v>3</v>
      </c>
      <c r="K310" s="4" t="s">
        <v>249</v>
      </c>
    </row>
    <row r="311" spans="1:11" ht="27.9" customHeight="1" x14ac:dyDescent="0.3">
      <c r="A311" s="3">
        <v>45753</v>
      </c>
      <c r="B311" s="4" t="s">
        <v>156</v>
      </c>
      <c r="C311" s="4" t="s">
        <v>139</v>
      </c>
      <c r="D311" s="4">
        <v>3</v>
      </c>
      <c r="E311" s="4">
        <v>1</v>
      </c>
      <c r="F311" s="4" t="s">
        <v>124</v>
      </c>
      <c r="G311" s="4">
        <v>13</v>
      </c>
      <c r="H311" s="4">
        <v>8</v>
      </c>
      <c r="I311" s="4" t="s">
        <v>246</v>
      </c>
      <c r="J311" s="7">
        <v>3</v>
      </c>
      <c r="K311" s="4" t="s">
        <v>249</v>
      </c>
    </row>
    <row r="312" spans="1:11" ht="27.9" customHeight="1" x14ac:dyDescent="0.3">
      <c r="A312" s="3">
        <v>45753</v>
      </c>
      <c r="B312" s="4" t="s">
        <v>122</v>
      </c>
      <c r="C312" s="4" t="s">
        <v>152</v>
      </c>
      <c r="D312" s="4">
        <v>0</v>
      </c>
      <c r="E312" s="4">
        <v>0</v>
      </c>
      <c r="F312" s="4" t="s">
        <v>125</v>
      </c>
      <c r="G312" s="4">
        <v>13</v>
      </c>
      <c r="H312" s="4">
        <v>2</v>
      </c>
      <c r="I312" s="4" t="s">
        <v>246</v>
      </c>
      <c r="J312" s="7">
        <v>1</v>
      </c>
      <c r="K312" s="4" t="s">
        <v>125</v>
      </c>
    </row>
    <row r="313" spans="1:11" ht="27.9" customHeight="1" x14ac:dyDescent="0.3">
      <c r="A313" s="3">
        <v>45754</v>
      </c>
      <c r="B313" s="4" t="s">
        <v>155</v>
      </c>
      <c r="C313" s="4" t="s">
        <v>138</v>
      </c>
      <c r="D313" s="4">
        <v>0</v>
      </c>
      <c r="E313" s="4">
        <v>3</v>
      </c>
      <c r="F313" s="4" t="s">
        <v>130</v>
      </c>
      <c r="G313" s="4">
        <v>7</v>
      </c>
      <c r="H313" s="4">
        <v>2</v>
      </c>
      <c r="I313" s="4" t="s">
        <v>246</v>
      </c>
      <c r="J313" s="7">
        <v>0</v>
      </c>
      <c r="K313" s="4" t="s">
        <v>250</v>
      </c>
    </row>
    <row r="314" spans="1:11" ht="27.9" customHeight="1" x14ac:dyDescent="0.3">
      <c r="A314" s="3">
        <v>45759</v>
      </c>
      <c r="B314" s="4" t="s">
        <v>152</v>
      </c>
      <c r="C314" s="4" t="s">
        <v>149</v>
      </c>
      <c r="D314" s="4">
        <v>5</v>
      </c>
      <c r="E314" s="4">
        <v>2</v>
      </c>
      <c r="F314" s="4" t="s">
        <v>124</v>
      </c>
      <c r="G314" s="4">
        <v>21</v>
      </c>
      <c r="H314" s="4">
        <v>9</v>
      </c>
      <c r="I314" s="4" t="s">
        <v>246</v>
      </c>
      <c r="J314" s="7">
        <v>3</v>
      </c>
      <c r="K314" s="4" t="s">
        <v>249</v>
      </c>
    </row>
    <row r="315" spans="1:11" ht="27.9" customHeight="1" x14ac:dyDescent="0.3">
      <c r="A315" s="3">
        <v>45759</v>
      </c>
      <c r="B315" s="4" t="s">
        <v>136</v>
      </c>
      <c r="C315" s="4" t="s">
        <v>155</v>
      </c>
      <c r="D315" s="4">
        <v>2</v>
      </c>
      <c r="E315" s="4">
        <v>2</v>
      </c>
      <c r="F315" s="4" t="s">
        <v>125</v>
      </c>
      <c r="G315" s="4">
        <v>21</v>
      </c>
      <c r="H315" s="4">
        <v>7</v>
      </c>
      <c r="I315" s="4" t="s">
        <v>246</v>
      </c>
      <c r="J315" s="7">
        <v>1</v>
      </c>
      <c r="K315" s="4" t="s">
        <v>125</v>
      </c>
    </row>
    <row r="316" spans="1:11" ht="27.9" customHeight="1" x14ac:dyDescent="0.3">
      <c r="A316" s="3">
        <v>45759</v>
      </c>
      <c r="B316" s="4" t="s">
        <v>141</v>
      </c>
      <c r="C316" s="4" t="s">
        <v>135</v>
      </c>
      <c r="D316" s="4">
        <v>0</v>
      </c>
      <c r="E316" s="4">
        <v>1</v>
      </c>
      <c r="F316" s="4" t="s">
        <v>130</v>
      </c>
      <c r="G316" s="4">
        <v>10</v>
      </c>
      <c r="H316" s="4">
        <v>5</v>
      </c>
      <c r="I316" s="4" t="s">
        <v>246</v>
      </c>
      <c r="J316" s="7">
        <v>0</v>
      </c>
      <c r="K316" s="4" t="s">
        <v>250</v>
      </c>
    </row>
    <row r="317" spans="1:11" ht="27.9" customHeight="1" x14ac:dyDescent="0.3">
      <c r="A317" s="3">
        <v>45759</v>
      </c>
      <c r="B317" s="4" t="s">
        <v>139</v>
      </c>
      <c r="C317" s="4" t="s">
        <v>145</v>
      </c>
      <c r="D317" s="4">
        <v>0</v>
      </c>
      <c r="E317" s="4">
        <v>3</v>
      </c>
      <c r="F317" s="4" t="s">
        <v>130</v>
      </c>
      <c r="G317" s="4">
        <v>7</v>
      </c>
      <c r="H317" s="4">
        <v>2</v>
      </c>
      <c r="I317" s="4" t="s">
        <v>246</v>
      </c>
      <c r="J317" s="7">
        <v>0</v>
      </c>
      <c r="K317" s="4" t="s">
        <v>250</v>
      </c>
    </row>
    <row r="318" spans="1:11" ht="27.9" customHeight="1" x14ac:dyDescent="0.3">
      <c r="A318" s="3">
        <v>45759</v>
      </c>
      <c r="B318" s="4" t="s">
        <v>132</v>
      </c>
      <c r="C318" s="4" t="s">
        <v>148</v>
      </c>
      <c r="D318" s="4">
        <v>1</v>
      </c>
      <c r="E318" s="4">
        <v>1</v>
      </c>
      <c r="F318" s="4" t="s">
        <v>125</v>
      </c>
      <c r="G318" s="4">
        <v>14</v>
      </c>
      <c r="H318" s="4">
        <v>3</v>
      </c>
      <c r="I318" s="4" t="s">
        <v>246</v>
      </c>
      <c r="J318" s="7">
        <v>1</v>
      </c>
      <c r="K318" s="4" t="s">
        <v>125</v>
      </c>
    </row>
    <row r="319" spans="1:11" ht="27.9" customHeight="1" x14ac:dyDescent="0.3">
      <c r="A319" s="3">
        <v>45760</v>
      </c>
      <c r="B319" s="4" t="s">
        <v>151</v>
      </c>
      <c r="C319" s="4" t="s">
        <v>128</v>
      </c>
      <c r="D319" s="4">
        <v>2</v>
      </c>
      <c r="E319" s="4">
        <v>2</v>
      </c>
      <c r="F319" s="4" t="s">
        <v>125</v>
      </c>
      <c r="G319" s="4">
        <v>34</v>
      </c>
      <c r="H319" s="4">
        <v>9</v>
      </c>
      <c r="I319" s="4" t="s">
        <v>246</v>
      </c>
      <c r="J319" s="7">
        <v>1</v>
      </c>
      <c r="K319" s="4" t="s">
        <v>125</v>
      </c>
    </row>
    <row r="320" spans="1:11" ht="27.9" customHeight="1" x14ac:dyDescent="0.3">
      <c r="A320" s="3">
        <v>45760</v>
      </c>
      <c r="B320" s="4" t="s">
        <v>129</v>
      </c>
      <c r="C320" s="4" t="s">
        <v>144</v>
      </c>
      <c r="D320" s="4">
        <v>2</v>
      </c>
      <c r="E320" s="4">
        <v>1</v>
      </c>
      <c r="F320" s="4" t="s">
        <v>124</v>
      </c>
      <c r="G320" s="4">
        <v>15</v>
      </c>
      <c r="H320" s="4">
        <v>6</v>
      </c>
      <c r="I320" s="4" t="s">
        <v>246</v>
      </c>
      <c r="J320" s="7">
        <v>3</v>
      </c>
      <c r="K320" s="4" t="s">
        <v>249</v>
      </c>
    </row>
    <row r="321" spans="1:11" ht="27.9" customHeight="1" x14ac:dyDescent="0.3">
      <c r="A321" s="3">
        <v>45760</v>
      </c>
      <c r="B321" s="4" t="s">
        <v>133</v>
      </c>
      <c r="C321" s="4" t="s">
        <v>156</v>
      </c>
      <c r="D321" s="4">
        <v>4</v>
      </c>
      <c r="E321" s="4">
        <v>2</v>
      </c>
      <c r="F321" s="4" t="s">
        <v>124</v>
      </c>
      <c r="G321" s="4">
        <v>13</v>
      </c>
      <c r="H321" s="4">
        <v>5</v>
      </c>
      <c r="I321" s="4" t="s">
        <v>246</v>
      </c>
      <c r="J321" s="7">
        <v>3</v>
      </c>
      <c r="K321" s="4" t="s">
        <v>249</v>
      </c>
    </row>
    <row r="322" spans="1:11" ht="27.9" customHeight="1" x14ac:dyDescent="0.3">
      <c r="A322" s="3">
        <v>45760</v>
      </c>
      <c r="B322" s="4" t="s">
        <v>138</v>
      </c>
      <c r="C322" s="4" t="s">
        <v>122</v>
      </c>
      <c r="D322" s="4">
        <v>4</v>
      </c>
      <c r="E322" s="4">
        <v>1</v>
      </c>
      <c r="F322" s="4" t="s">
        <v>124</v>
      </c>
      <c r="G322" s="4">
        <v>13</v>
      </c>
      <c r="H322" s="4">
        <v>6</v>
      </c>
      <c r="I322" s="4" t="s">
        <v>246</v>
      </c>
      <c r="J322" s="7">
        <v>3</v>
      </c>
      <c r="K322" s="4" t="s">
        <v>249</v>
      </c>
    </row>
    <row r="323" spans="1:11" ht="27.9" customHeight="1" x14ac:dyDescent="0.3">
      <c r="A323" s="3">
        <v>45761</v>
      </c>
      <c r="B323" s="4" t="s">
        <v>142</v>
      </c>
      <c r="C323" s="4" t="s">
        <v>123</v>
      </c>
      <c r="D323" s="4">
        <v>1</v>
      </c>
      <c r="E323" s="4">
        <v>0</v>
      </c>
      <c r="F323" s="4" t="s">
        <v>124</v>
      </c>
      <c r="G323" s="4">
        <v>12</v>
      </c>
      <c r="H323" s="4">
        <v>3</v>
      </c>
      <c r="I323" s="4" t="s">
        <v>246</v>
      </c>
      <c r="J323" s="7">
        <v>3</v>
      </c>
      <c r="K323" s="4" t="s">
        <v>249</v>
      </c>
    </row>
    <row r="324" spans="1:11" ht="27.9" customHeight="1" x14ac:dyDescent="0.3">
      <c r="A324" s="3">
        <v>45763</v>
      </c>
      <c r="B324" s="4" t="s">
        <v>138</v>
      </c>
      <c r="C324" s="4" t="s">
        <v>149</v>
      </c>
      <c r="D324" s="4">
        <v>5</v>
      </c>
      <c r="E324" s="4">
        <v>0</v>
      </c>
      <c r="F324" s="4" t="s">
        <v>124</v>
      </c>
      <c r="G324" s="4">
        <v>14</v>
      </c>
      <c r="H324" s="4">
        <v>7</v>
      </c>
      <c r="I324" s="4" t="s">
        <v>246</v>
      </c>
      <c r="J324" s="7">
        <v>3</v>
      </c>
      <c r="K324" s="4" t="s">
        <v>249</v>
      </c>
    </row>
    <row r="325" spans="1:11" ht="27.9" customHeight="1" x14ac:dyDescent="0.3">
      <c r="A325" s="3">
        <v>45766</v>
      </c>
      <c r="B325" s="4" t="s">
        <v>148</v>
      </c>
      <c r="C325" s="4" t="s">
        <v>136</v>
      </c>
      <c r="D325" s="4">
        <v>4</v>
      </c>
      <c r="E325" s="4">
        <v>2</v>
      </c>
      <c r="F325" s="4" t="s">
        <v>124</v>
      </c>
      <c r="G325" s="4">
        <v>16</v>
      </c>
      <c r="H325" s="4">
        <v>8</v>
      </c>
      <c r="I325" s="4" t="s">
        <v>246</v>
      </c>
      <c r="J325" s="7">
        <v>3</v>
      </c>
      <c r="K325" s="4" t="s">
        <v>249</v>
      </c>
    </row>
    <row r="326" spans="1:11" ht="27.9" customHeight="1" x14ac:dyDescent="0.3">
      <c r="A326" s="3">
        <v>45766</v>
      </c>
      <c r="B326" s="4" t="s">
        <v>149</v>
      </c>
      <c r="C326" s="4" t="s">
        <v>142</v>
      </c>
      <c r="D326" s="4">
        <v>0</v>
      </c>
      <c r="E326" s="4">
        <v>0</v>
      </c>
      <c r="F326" s="4" t="s">
        <v>125</v>
      </c>
      <c r="G326" s="4">
        <v>5</v>
      </c>
      <c r="H326" s="4">
        <v>0</v>
      </c>
      <c r="I326" s="4" t="s">
        <v>246</v>
      </c>
      <c r="J326" s="7">
        <v>1</v>
      </c>
      <c r="K326" s="4" t="s">
        <v>125</v>
      </c>
    </row>
    <row r="327" spans="1:11" ht="27.9" customHeight="1" x14ac:dyDescent="0.3">
      <c r="A327" s="3">
        <v>45766</v>
      </c>
      <c r="B327" s="4" t="s">
        <v>135</v>
      </c>
      <c r="C327" s="4" t="s">
        <v>152</v>
      </c>
      <c r="D327" s="4">
        <v>0</v>
      </c>
      <c r="E327" s="4">
        <v>2</v>
      </c>
      <c r="F327" s="4" t="s">
        <v>130</v>
      </c>
      <c r="G327" s="4">
        <v>8</v>
      </c>
      <c r="H327" s="4">
        <v>3</v>
      </c>
      <c r="I327" s="4" t="s">
        <v>246</v>
      </c>
      <c r="J327" s="7">
        <v>0</v>
      </c>
      <c r="K327" s="4" t="s">
        <v>250</v>
      </c>
    </row>
    <row r="328" spans="1:11" ht="27.9" customHeight="1" x14ac:dyDescent="0.3">
      <c r="A328" s="3">
        <v>45766</v>
      </c>
      <c r="B328" s="4" t="s">
        <v>144</v>
      </c>
      <c r="C328" s="4" t="s">
        <v>139</v>
      </c>
      <c r="D328" s="4">
        <v>1</v>
      </c>
      <c r="E328" s="4">
        <v>1</v>
      </c>
      <c r="F328" s="4" t="s">
        <v>125</v>
      </c>
      <c r="G328" s="4">
        <v>12</v>
      </c>
      <c r="H328" s="4">
        <v>4</v>
      </c>
      <c r="I328" s="4" t="s">
        <v>246</v>
      </c>
      <c r="J328" s="7">
        <v>1</v>
      </c>
      <c r="K328" s="4" t="s">
        <v>125</v>
      </c>
    </row>
    <row r="329" spans="1:11" ht="27.9" customHeight="1" x14ac:dyDescent="0.3">
      <c r="A329" s="3">
        <v>45766</v>
      </c>
      <c r="B329" s="4" t="s">
        <v>145</v>
      </c>
      <c r="C329" s="4" t="s">
        <v>138</v>
      </c>
      <c r="D329" s="4">
        <v>4</v>
      </c>
      <c r="E329" s="4">
        <v>1</v>
      </c>
      <c r="F329" s="4" t="s">
        <v>124</v>
      </c>
      <c r="G329" s="4">
        <v>23</v>
      </c>
      <c r="H329" s="4">
        <v>9</v>
      </c>
      <c r="I329" s="4" t="s">
        <v>246</v>
      </c>
      <c r="J329" s="7">
        <v>3</v>
      </c>
      <c r="K329" s="4" t="s">
        <v>249</v>
      </c>
    </row>
    <row r="330" spans="1:11" ht="27.9" customHeight="1" x14ac:dyDescent="0.3">
      <c r="A330" s="3">
        <v>45767</v>
      </c>
      <c r="B330" s="4" t="s">
        <v>123</v>
      </c>
      <c r="C330" s="4" t="s">
        <v>151</v>
      </c>
      <c r="D330" s="4">
        <v>1</v>
      </c>
      <c r="E330" s="4">
        <v>2</v>
      </c>
      <c r="F330" s="4" t="s">
        <v>130</v>
      </c>
      <c r="G330" s="4">
        <v>6</v>
      </c>
      <c r="H330" s="4">
        <v>1</v>
      </c>
      <c r="I330" s="4" t="s">
        <v>246</v>
      </c>
      <c r="J330" s="7">
        <v>0</v>
      </c>
      <c r="K330" s="4" t="s">
        <v>250</v>
      </c>
    </row>
    <row r="331" spans="1:11" ht="27.9" customHeight="1" x14ac:dyDescent="0.3">
      <c r="A331" s="3">
        <v>45767</v>
      </c>
      <c r="B331" s="4" t="s">
        <v>128</v>
      </c>
      <c r="C331" s="4" t="s">
        <v>132</v>
      </c>
      <c r="D331" s="4">
        <v>0</v>
      </c>
      <c r="E331" s="4">
        <v>4</v>
      </c>
      <c r="F331" s="4" t="s">
        <v>130</v>
      </c>
      <c r="G331" s="4">
        <v>4</v>
      </c>
      <c r="H331" s="4">
        <v>0</v>
      </c>
      <c r="I331" s="4" t="s">
        <v>246</v>
      </c>
      <c r="J331" s="7">
        <v>0</v>
      </c>
      <c r="K331" s="4" t="s">
        <v>250</v>
      </c>
    </row>
    <row r="332" spans="1:11" ht="27.9" customHeight="1" x14ac:dyDescent="0.3">
      <c r="A332" s="3">
        <v>45767</v>
      </c>
      <c r="B332" s="4" t="s">
        <v>122</v>
      </c>
      <c r="C332" s="4" t="s">
        <v>133</v>
      </c>
      <c r="D332" s="4">
        <v>0</v>
      </c>
      <c r="E332" s="4">
        <v>1</v>
      </c>
      <c r="F332" s="4" t="s">
        <v>130</v>
      </c>
      <c r="G332" s="4">
        <v>12</v>
      </c>
      <c r="H332" s="4">
        <v>2</v>
      </c>
      <c r="I332" s="4" t="s">
        <v>246</v>
      </c>
      <c r="J332" s="7">
        <v>0</v>
      </c>
      <c r="K332" s="4" t="s">
        <v>250</v>
      </c>
    </row>
    <row r="333" spans="1:11" ht="27.9" customHeight="1" x14ac:dyDescent="0.3">
      <c r="A333" s="3">
        <v>45767</v>
      </c>
      <c r="B333" s="4" t="s">
        <v>155</v>
      </c>
      <c r="C333" s="4" t="s">
        <v>129</v>
      </c>
      <c r="D333" s="4">
        <v>0</v>
      </c>
      <c r="E333" s="4">
        <v>1</v>
      </c>
      <c r="F333" s="4" t="s">
        <v>130</v>
      </c>
      <c r="G333" s="4">
        <v>5</v>
      </c>
      <c r="H333" s="4">
        <v>0</v>
      </c>
      <c r="I333" s="4" t="s">
        <v>246</v>
      </c>
      <c r="J333" s="7">
        <v>0</v>
      </c>
      <c r="K333" s="4" t="s">
        <v>250</v>
      </c>
    </row>
    <row r="334" spans="1:11" ht="27.9" customHeight="1" x14ac:dyDescent="0.3">
      <c r="A334" s="3">
        <v>45768</v>
      </c>
      <c r="B334" s="4" t="s">
        <v>156</v>
      </c>
      <c r="C334" s="4" t="s">
        <v>141</v>
      </c>
      <c r="D334" s="4">
        <v>1</v>
      </c>
      <c r="E334" s="4">
        <v>2</v>
      </c>
      <c r="F334" s="4" t="s">
        <v>130</v>
      </c>
      <c r="G334" s="4">
        <v>22</v>
      </c>
      <c r="H334" s="4">
        <v>6</v>
      </c>
      <c r="I334" s="4" t="s">
        <v>246</v>
      </c>
      <c r="J334" s="7">
        <v>0</v>
      </c>
      <c r="K334" s="4" t="s">
        <v>250</v>
      </c>
    </row>
    <row r="335" spans="1:11" ht="27.9" customHeight="1" x14ac:dyDescent="0.3">
      <c r="A335" s="3">
        <v>45769</v>
      </c>
      <c r="B335" s="4" t="s">
        <v>152</v>
      </c>
      <c r="C335" s="4" t="s">
        <v>145</v>
      </c>
      <c r="D335" s="4">
        <v>2</v>
      </c>
      <c r="E335" s="4">
        <v>1</v>
      </c>
      <c r="F335" s="4" t="s">
        <v>124</v>
      </c>
      <c r="G335" s="4">
        <v>14</v>
      </c>
      <c r="H335" s="4">
        <v>6</v>
      </c>
      <c r="I335" s="4" t="s">
        <v>246</v>
      </c>
      <c r="J335" s="7">
        <v>3</v>
      </c>
      <c r="K335" s="4" t="s">
        <v>249</v>
      </c>
    </row>
    <row r="336" spans="1:11" ht="27.9" customHeight="1" x14ac:dyDescent="0.3">
      <c r="A336" s="3">
        <v>45770</v>
      </c>
      <c r="B336" s="4" t="s">
        <v>132</v>
      </c>
      <c r="C336" s="4" t="s">
        <v>149</v>
      </c>
      <c r="D336" s="4">
        <v>2</v>
      </c>
      <c r="E336" s="4">
        <v>2</v>
      </c>
      <c r="F336" s="4" t="s">
        <v>125</v>
      </c>
      <c r="G336" s="4">
        <v>12</v>
      </c>
      <c r="H336" s="4">
        <v>6</v>
      </c>
      <c r="I336" s="4" t="s">
        <v>246</v>
      </c>
      <c r="J336" s="7">
        <v>1</v>
      </c>
      <c r="K336" s="4" t="s">
        <v>125</v>
      </c>
    </row>
    <row r="337" spans="1:11" ht="27.9" customHeight="1" x14ac:dyDescent="0.3">
      <c r="A337" s="3">
        <v>45773</v>
      </c>
      <c r="B337" s="4" t="s">
        <v>151</v>
      </c>
      <c r="C337" s="4" t="s">
        <v>135</v>
      </c>
      <c r="D337" s="4">
        <v>1</v>
      </c>
      <c r="E337" s="4">
        <v>0</v>
      </c>
      <c r="F337" s="4" t="s">
        <v>124</v>
      </c>
      <c r="G337" s="4">
        <v>10</v>
      </c>
      <c r="H337" s="4">
        <v>7</v>
      </c>
      <c r="I337" s="4" t="s">
        <v>246</v>
      </c>
      <c r="J337" s="7">
        <v>3</v>
      </c>
      <c r="K337" s="4" t="s">
        <v>249</v>
      </c>
    </row>
    <row r="338" spans="1:11" ht="27.9" customHeight="1" x14ac:dyDescent="0.3">
      <c r="A338" s="3">
        <v>45773</v>
      </c>
      <c r="B338" s="4" t="s">
        <v>136</v>
      </c>
      <c r="C338" s="4" t="s">
        <v>144</v>
      </c>
      <c r="D338" s="4">
        <v>3</v>
      </c>
      <c r="E338" s="4">
        <v>2</v>
      </c>
      <c r="F338" s="4" t="s">
        <v>124</v>
      </c>
      <c r="G338" s="4">
        <v>16</v>
      </c>
      <c r="H338" s="4">
        <v>9</v>
      </c>
      <c r="I338" s="4" t="s">
        <v>246</v>
      </c>
      <c r="J338" s="7">
        <v>3</v>
      </c>
      <c r="K338" s="4" t="s">
        <v>249</v>
      </c>
    </row>
    <row r="339" spans="1:11" ht="27.9" customHeight="1" x14ac:dyDescent="0.3">
      <c r="A339" s="3">
        <v>45773</v>
      </c>
      <c r="B339" s="4" t="s">
        <v>138</v>
      </c>
      <c r="C339" s="4" t="s">
        <v>128</v>
      </c>
      <c r="D339" s="4">
        <v>3</v>
      </c>
      <c r="E339" s="4">
        <v>0</v>
      </c>
      <c r="F339" s="4" t="s">
        <v>124</v>
      </c>
      <c r="G339" s="4">
        <v>25</v>
      </c>
      <c r="H339" s="4">
        <v>5</v>
      </c>
      <c r="I339" s="4" t="s">
        <v>246</v>
      </c>
      <c r="J339" s="7">
        <v>3</v>
      </c>
      <c r="K339" s="4" t="s">
        <v>249</v>
      </c>
    </row>
    <row r="340" spans="1:11" ht="27.9" customHeight="1" x14ac:dyDescent="0.3">
      <c r="A340" s="3">
        <v>45773</v>
      </c>
      <c r="B340" s="4" t="s">
        <v>139</v>
      </c>
      <c r="C340" s="4" t="s">
        <v>123</v>
      </c>
      <c r="D340" s="4">
        <v>1</v>
      </c>
      <c r="E340" s="4">
        <v>2</v>
      </c>
      <c r="F340" s="4" t="s">
        <v>130</v>
      </c>
      <c r="G340" s="4">
        <v>7</v>
      </c>
      <c r="H340" s="4">
        <v>3</v>
      </c>
      <c r="I340" s="4" t="s">
        <v>246</v>
      </c>
      <c r="J340" s="7">
        <v>0</v>
      </c>
      <c r="K340" s="4" t="s">
        <v>250</v>
      </c>
    </row>
    <row r="341" spans="1:11" ht="27.9" customHeight="1" x14ac:dyDescent="0.3">
      <c r="A341" s="3">
        <v>45773</v>
      </c>
      <c r="B341" s="4" t="s">
        <v>133</v>
      </c>
      <c r="C341" s="4" t="s">
        <v>155</v>
      </c>
      <c r="D341" s="4">
        <v>3</v>
      </c>
      <c r="E341" s="4">
        <v>0</v>
      </c>
      <c r="F341" s="4" t="s">
        <v>124</v>
      </c>
      <c r="G341" s="4">
        <v>20</v>
      </c>
      <c r="H341" s="4">
        <v>6</v>
      </c>
      <c r="I341" s="4" t="s">
        <v>246</v>
      </c>
      <c r="J341" s="7">
        <v>3</v>
      </c>
      <c r="K341" s="4" t="s">
        <v>249</v>
      </c>
    </row>
    <row r="342" spans="1:11" ht="27.9" customHeight="1" x14ac:dyDescent="0.3">
      <c r="A342" s="3">
        <v>45774</v>
      </c>
      <c r="B342" s="4" t="s">
        <v>142</v>
      </c>
      <c r="C342" s="4" t="s">
        <v>122</v>
      </c>
      <c r="D342" s="4">
        <v>1</v>
      </c>
      <c r="E342" s="4">
        <v>1</v>
      </c>
      <c r="F342" s="4" t="s">
        <v>125</v>
      </c>
      <c r="G342" s="4">
        <v>8</v>
      </c>
      <c r="H342" s="4">
        <v>1</v>
      </c>
      <c r="I342" s="4" t="s">
        <v>246</v>
      </c>
      <c r="J342" s="7">
        <v>1</v>
      </c>
      <c r="K342" s="4" t="s">
        <v>125</v>
      </c>
    </row>
    <row r="343" spans="1:11" ht="27.9" customHeight="1" x14ac:dyDescent="0.3">
      <c r="A343" s="3">
        <v>45774</v>
      </c>
      <c r="B343" s="4" t="s">
        <v>129</v>
      </c>
      <c r="C343" s="4" t="s">
        <v>156</v>
      </c>
      <c r="D343" s="4">
        <v>5</v>
      </c>
      <c r="E343" s="4">
        <v>1</v>
      </c>
      <c r="F343" s="4" t="s">
        <v>124</v>
      </c>
      <c r="G343" s="4">
        <v>25</v>
      </c>
      <c r="H343" s="4">
        <v>8</v>
      </c>
      <c r="I343" s="4" t="s">
        <v>246</v>
      </c>
      <c r="J343" s="7">
        <v>3</v>
      </c>
      <c r="K343" s="4" t="s">
        <v>249</v>
      </c>
    </row>
    <row r="344" spans="1:11" ht="27.9" customHeight="1" x14ac:dyDescent="0.3">
      <c r="A344" s="3">
        <v>45778</v>
      </c>
      <c r="B344" s="4" t="s">
        <v>141</v>
      </c>
      <c r="C344" s="4" t="s">
        <v>148</v>
      </c>
      <c r="D344" s="4">
        <v>0</v>
      </c>
      <c r="E344" s="4">
        <v>2</v>
      </c>
      <c r="F344" s="4" t="s">
        <v>130</v>
      </c>
      <c r="G344" s="4">
        <v>14</v>
      </c>
      <c r="H344" s="4">
        <v>5</v>
      </c>
      <c r="I344" s="4" t="s">
        <v>246</v>
      </c>
      <c r="J344" s="7">
        <v>0</v>
      </c>
      <c r="K344" s="4" t="s">
        <v>250</v>
      </c>
    </row>
    <row r="345" spans="1:11" ht="27.9" customHeight="1" x14ac:dyDescent="0.3">
      <c r="A345" s="3">
        <v>45779</v>
      </c>
      <c r="B345" s="4" t="s">
        <v>152</v>
      </c>
      <c r="C345" s="4" t="s">
        <v>133</v>
      </c>
      <c r="D345" s="4">
        <v>1</v>
      </c>
      <c r="E345" s="4">
        <v>0</v>
      </c>
      <c r="F345" s="4" t="s">
        <v>124</v>
      </c>
      <c r="G345" s="4">
        <v>9</v>
      </c>
      <c r="H345" s="4">
        <v>2</v>
      </c>
      <c r="I345" s="4" t="s">
        <v>246</v>
      </c>
      <c r="J345" s="7">
        <v>3</v>
      </c>
      <c r="K345" s="4" t="s">
        <v>249</v>
      </c>
    </row>
    <row r="346" spans="1:11" ht="27.9" customHeight="1" x14ac:dyDescent="0.3">
      <c r="A346" s="3">
        <v>45780</v>
      </c>
      <c r="B346" s="4" t="s">
        <v>145</v>
      </c>
      <c r="C346" s="4" t="s">
        <v>123</v>
      </c>
      <c r="D346" s="4">
        <v>1</v>
      </c>
      <c r="E346" s="4">
        <v>0</v>
      </c>
      <c r="F346" s="4" t="s">
        <v>124</v>
      </c>
      <c r="G346" s="4">
        <v>10</v>
      </c>
      <c r="H346" s="4">
        <v>3</v>
      </c>
      <c r="I346" s="4" t="s">
        <v>246</v>
      </c>
      <c r="J346" s="7">
        <v>3</v>
      </c>
      <c r="K346" s="4" t="s">
        <v>249</v>
      </c>
    </row>
    <row r="347" spans="1:11" ht="27.9" customHeight="1" x14ac:dyDescent="0.3">
      <c r="A347" s="3">
        <v>45780</v>
      </c>
      <c r="B347" s="4" t="s">
        <v>135</v>
      </c>
      <c r="C347" s="4" t="s">
        <v>128</v>
      </c>
      <c r="D347" s="4">
        <v>2</v>
      </c>
      <c r="E347" s="4">
        <v>2</v>
      </c>
      <c r="F347" s="4" t="s">
        <v>125</v>
      </c>
      <c r="G347" s="4">
        <v>8</v>
      </c>
      <c r="H347" s="4">
        <v>3</v>
      </c>
      <c r="I347" s="4" t="s">
        <v>246</v>
      </c>
      <c r="J347" s="7">
        <v>1</v>
      </c>
      <c r="K347" s="4" t="s">
        <v>125</v>
      </c>
    </row>
    <row r="348" spans="1:11" ht="27.9" customHeight="1" x14ac:dyDescent="0.3">
      <c r="A348" s="3">
        <v>45780</v>
      </c>
      <c r="B348" s="4" t="s">
        <v>155</v>
      </c>
      <c r="C348" s="4" t="s">
        <v>139</v>
      </c>
      <c r="D348" s="4">
        <v>2</v>
      </c>
      <c r="E348" s="4">
        <v>0</v>
      </c>
      <c r="F348" s="4" t="s">
        <v>124</v>
      </c>
      <c r="G348" s="4">
        <v>14</v>
      </c>
      <c r="H348" s="4">
        <v>4</v>
      </c>
      <c r="I348" s="4" t="s">
        <v>246</v>
      </c>
      <c r="J348" s="7">
        <v>3</v>
      </c>
      <c r="K348" s="4" t="s">
        <v>249</v>
      </c>
    </row>
    <row r="349" spans="1:11" ht="27.9" customHeight="1" x14ac:dyDescent="0.3">
      <c r="A349" s="3">
        <v>45780</v>
      </c>
      <c r="B349" s="4" t="s">
        <v>132</v>
      </c>
      <c r="C349" s="4" t="s">
        <v>142</v>
      </c>
      <c r="D349" s="4">
        <v>1</v>
      </c>
      <c r="E349" s="4">
        <v>2</v>
      </c>
      <c r="F349" s="4" t="s">
        <v>130</v>
      </c>
      <c r="G349" s="4">
        <v>13</v>
      </c>
      <c r="H349" s="4">
        <v>4</v>
      </c>
      <c r="I349" s="4" t="s">
        <v>246</v>
      </c>
      <c r="J349" s="7">
        <v>0</v>
      </c>
      <c r="K349" s="4" t="s">
        <v>250</v>
      </c>
    </row>
    <row r="350" spans="1:11" ht="27.9" customHeight="1" x14ac:dyDescent="0.3">
      <c r="A350" s="3">
        <v>45781</v>
      </c>
      <c r="B350" s="4" t="s">
        <v>148</v>
      </c>
      <c r="C350" s="4" t="s">
        <v>122</v>
      </c>
      <c r="D350" s="4">
        <v>4</v>
      </c>
      <c r="E350" s="4">
        <v>3</v>
      </c>
      <c r="F350" s="4" t="s">
        <v>124</v>
      </c>
      <c r="G350" s="4">
        <v>12</v>
      </c>
      <c r="H350" s="4">
        <v>6</v>
      </c>
      <c r="I350" s="4" t="s">
        <v>246</v>
      </c>
      <c r="J350" s="7">
        <v>3</v>
      </c>
      <c r="K350" s="4" t="s">
        <v>249</v>
      </c>
    </row>
    <row r="351" spans="1:11" ht="27.9" customHeight="1" x14ac:dyDescent="0.3">
      <c r="A351" s="3">
        <v>45781</v>
      </c>
      <c r="B351" s="4" t="s">
        <v>136</v>
      </c>
      <c r="C351" s="4" t="s">
        <v>138</v>
      </c>
      <c r="D351" s="4">
        <v>1</v>
      </c>
      <c r="E351" s="4">
        <v>1</v>
      </c>
      <c r="F351" s="4" t="s">
        <v>125</v>
      </c>
      <c r="G351" s="4">
        <v>5</v>
      </c>
      <c r="H351" s="4">
        <v>2</v>
      </c>
      <c r="I351" s="4" t="s">
        <v>246</v>
      </c>
      <c r="J351" s="7">
        <v>1</v>
      </c>
      <c r="K351" s="4" t="s">
        <v>125</v>
      </c>
    </row>
    <row r="352" spans="1:11" ht="27.9" customHeight="1" x14ac:dyDescent="0.3">
      <c r="A352" s="3">
        <v>45781</v>
      </c>
      <c r="B352" s="4" t="s">
        <v>144</v>
      </c>
      <c r="C352" s="4" t="s">
        <v>156</v>
      </c>
      <c r="D352" s="4">
        <v>1</v>
      </c>
      <c r="E352" s="4">
        <v>1</v>
      </c>
      <c r="F352" s="4" t="s">
        <v>125</v>
      </c>
      <c r="G352" s="4">
        <v>11</v>
      </c>
      <c r="H352" s="4">
        <v>2</v>
      </c>
      <c r="I352" s="4" t="s">
        <v>246</v>
      </c>
      <c r="J352" s="7">
        <v>1</v>
      </c>
      <c r="K352" s="4" t="s">
        <v>125</v>
      </c>
    </row>
    <row r="353" spans="1:11" ht="27.9" customHeight="1" x14ac:dyDescent="0.3">
      <c r="A353" s="3">
        <v>45781</v>
      </c>
      <c r="B353" s="4" t="s">
        <v>151</v>
      </c>
      <c r="C353" s="4" t="s">
        <v>129</v>
      </c>
      <c r="D353" s="4">
        <v>3</v>
      </c>
      <c r="E353" s="4">
        <v>1</v>
      </c>
      <c r="F353" s="4" t="s">
        <v>124</v>
      </c>
      <c r="G353" s="4">
        <v>17</v>
      </c>
      <c r="H353" s="4">
        <v>7</v>
      </c>
      <c r="I353" s="4" t="s">
        <v>246</v>
      </c>
      <c r="J353" s="7">
        <v>3</v>
      </c>
      <c r="K353" s="4" t="s">
        <v>249</v>
      </c>
    </row>
    <row r="354" spans="1:11" ht="27.9" customHeight="1" x14ac:dyDescent="0.3">
      <c r="A354" s="3">
        <v>45782</v>
      </c>
      <c r="B354" s="4" t="s">
        <v>149</v>
      </c>
      <c r="C354" s="4" t="s">
        <v>141</v>
      </c>
      <c r="D354" s="4">
        <v>1</v>
      </c>
      <c r="E354" s="4">
        <v>1</v>
      </c>
      <c r="F354" s="4" t="s">
        <v>125</v>
      </c>
      <c r="G354" s="4">
        <v>20</v>
      </c>
      <c r="H354" s="4">
        <v>3</v>
      </c>
      <c r="I354" s="4" t="s">
        <v>246</v>
      </c>
      <c r="J354" s="7">
        <v>1</v>
      </c>
      <c r="K354" s="4" t="s">
        <v>125</v>
      </c>
    </row>
    <row r="355" spans="1:11" ht="27.9" customHeight="1" x14ac:dyDescent="0.3">
      <c r="A355" s="3">
        <v>45787</v>
      </c>
      <c r="B355" s="4" t="s">
        <v>123</v>
      </c>
      <c r="C355" s="4" t="s">
        <v>135</v>
      </c>
      <c r="D355" s="4">
        <v>1</v>
      </c>
      <c r="E355" s="4">
        <v>3</v>
      </c>
      <c r="F355" s="4" t="s">
        <v>130</v>
      </c>
      <c r="G355" s="4">
        <v>18</v>
      </c>
      <c r="H355" s="4">
        <v>6</v>
      </c>
      <c r="I355" s="4" t="s">
        <v>246</v>
      </c>
      <c r="J355" s="7">
        <v>0</v>
      </c>
      <c r="K355" s="4" t="s">
        <v>250</v>
      </c>
    </row>
    <row r="356" spans="1:11" ht="27.9" customHeight="1" x14ac:dyDescent="0.3">
      <c r="A356" s="3">
        <v>45787</v>
      </c>
      <c r="B356" s="4" t="s">
        <v>128</v>
      </c>
      <c r="C356" s="4" t="s">
        <v>148</v>
      </c>
      <c r="D356" s="4">
        <v>0</v>
      </c>
      <c r="E356" s="4">
        <v>1</v>
      </c>
      <c r="F356" s="4" t="s">
        <v>130</v>
      </c>
      <c r="G356" s="4">
        <v>11</v>
      </c>
      <c r="H356" s="4">
        <v>4</v>
      </c>
      <c r="I356" s="4" t="s">
        <v>246</v>
      </c>
      <c r="J356" s="7">
        <v>0</v>
      </c>
      <c r="K356" s="4" t="s">
        <v>250</v>
      </c>
    </row>
    <row r="357" spans="1:11" ht="27.9" customHeight="1" x14ac:dyDescent="0.3">
      <c r="A357" s="3">
        <v>45787</v>
      </c>
      <c r="B357" s="4" t="s">
        <v>139</v>
      </c>
      <c r="C357" s="4" t="s">
        <v>152</v>
      </c>
      <c r="D357" s="4">
        <v>0</v>
      </c>
      <c r="E357" s="4">
        <v>0</v>
      </c>
      <c r="F357" s="4" t="s">
        <v>125</v>
      </c>
      <c r="G357" s="4">
        <v>2</v>
      </c>
      <c r="H357" s="4">
        <v>0</v>
      </c>
      <c r="I357" s="4" t="s">
        <v>246</v>
      </c>
      <c r="J357" s="7">
        <v>1</v>
      </c>
      <c r="K357" s="4" t="s">
        <v>125</v>
      </c>
    </row>
    <row r="358" spans="1:11" ht="27.9" customHeight="1" x14ac:dyDescent="0.3">
      <c r="A358" s="3">
        <v>45787</v>
      </c>
      <c r="B358" s="4" t="s">
        <v>133</v>
      </c>
      <c r="C358" s="4" t="s">
        <v>136</v>
      </c>
      <c r="D358" s="4">
        <v>0</v>
      </c>
      <c r="E358" s="4">
        <v>2</v>
      </c>
      <c r="F358" s="4" t="s">
        <v>130</v>
      </c>
      <c r="G358" s="4">
        <v>10</v>
      </c>
      <c r="H358" s="4">
        <v>3</v>
      </c>
      <c r="I358" s="4" t="s">
        <v>246</v>
      </c>
      <c r="J358" s="7">
        <v>0</v>
      </c>
      <c r="K358" s="4" t="s">
        <v>250</v>
      </c>
    </row>
    <row r="359" spans="1:11" ht="27.9" customHeight="1" x14ac:dyDescent="0.3">
      <c r="A359" s="3">
        <v>45787</v>
      </c>
      <c r="B359" s="4" t="s">
        <v>142</v>
      </c>
      <c r="C359" s="4" t="s">
        <v>145</v>
      </c>
      <c r="D359" s="4">
        <v>0</v>
      </c>
      <c r="E359" s="4">
        <v>1</v>
      </c>
      <c r="F359" s="4" t="s">
        <v>130</v>
      </c>
      <c r="G359" s="4">
        <v>10</v>
      </c>
      <c r="H359" s="4">
        <v>4</v>
      </c>
      <c r="I359" s="4" t="s">
        <v>246</v>
      </c>
      <c r="J359" s="7">
        <v>0</v>
      </c>
      <c r="K359" s="4" t="s">
        <v>250</v>
      </c>
    </row>
    <row r="360" spans="1:11" ht="27.9" customHeight="1" x14ac:dyDescent="0.3">
      <c r="A360" s="3">
        <v>45788</v>
      </c>
      <c r="B360" s="4" t="s">
        <v>138</v>
      </c>
      <c r="C360" s="4" t="s">
        <v>151</v>
      </c>
      <c r="D360" s="4">
        <v>2</v>
      </c>
      <c r="E360" s="4">
        <v>0</v>
      </c>
      <c r="F360" s="4" t="s">
        <v>124</v>
      </c>
      <c r="G360" s="4">
        <v>15</v>
      </c>
      <c r="H360" s="4">
        <v>6</v>
      </c>
      <c r="I360" s="4" t="s">
        <v>246</v>
      </c>
      <c r="J360" s="7">
        <v>3</v>
      </c>
      <c r="K360" s="4" t="s">
        <v>249</v>
      </c>
    </row>
    <row r="361" spans="1:11" ht="27.9" customHeight="1" x14ac:dyDescent="0.3">
      <c r="A361" s="3">
        <v>45788</v>
      </c>
      <c r="B361" s="4" t="s">
        <v>122</v>
      </c>
      <c r="C361" s="4" t="s">
        <v>144</v>
      </c>
      <c r="D361" s="4">
        <v>0</v>
      </c>
      <c r="E361" s="4">
        <v>2</v>
      </c>
      <c r="F361" s="4" t="s">
        <v>130</v>
      </c>
      <c r="G361" s="4">
        <v>20</v>
      </c>
      <c r="H361" s="4">
        <v>5</v>
      </c>
      <c r="I361" s="4" t="s">
        <v>246</v>
      </c>
      <c r="J361" s="7">
        <v>0</v>
      </c>
      <c r="K361" s="4" t="s">
        <v>250</v>
      </c>
    </row>
    <row r="362" spans="1:11" ht="27.9" customHeight="1" x14ac:dyDescent="0.3">
      <c r="A362" s="3">
        <v>45788</v>
      </c>
      <c r="B362" s="4" t="s">
        <v>141</v>
      </c>
      <c r="C362" s="4" t="s">
        <v>155</v>
      </c>
      <c r="D362" s="4">
        <v>2</v>
      </c>
      <c r="E362" s="4">
        <v>2</v>
      </c>
      <c r="F362" s="4" t="s">
        <v>125</v>
      </c>
      <c r="G362" s="4">
        <v>15</v>
      </c>
      <c r="H362" s="4">
        <v>4</v>
      </c>
      <c r="I362" s="4" t="s">
        <v>246</v>
      </c>
      <c r="J362" s="7">
        <v>1</v>
      </c>
      <c r="K362" s="4" t="s">
        <v>125</v>
      </c>
    </row>
    <row r="363" spans="1:11" ht="27.9" customHeight="1" x14ac:dyDescent="0.3">
      <c r="A363" s="3">
        <v>45788</v>
      </c>
      <c r="B363" s="4" t="s">
        <v>156</v>
      </c>
      <c r="C363" s="4" t="s">
        <v>149</v>
      </c>
      <c r="D363" s="4">
        <v>0</v>
      </c>
      <c r="E363" s="4">
        <v>2</v>
      </c>
      <c r="F363" s="4" t="s">
        <v>130</v>
      </c>
      <c r="G363" s="4">
        <v>8</v>
      </c>
      <c r="H363" s="4">
        <v>1</v>
      </c>
      <c r="I363" s="4" t="s">
        <v>246</v>
      </c>
      <c r="J363" s="7">
        <v>0</v>
      </c>
      <c r="K363" s="4" t="s">
        <v>250</v>
      </c>
    </row>
    <row r="364" spans="1:11" ht="27.9" customHeight="1" x14ac:dyDescent="0.3">
      <c r="A364" s="3">
        <v>45788</v>
      </c>
      <c r="B364" s="4" t="s">
        <v>129</v>
      </c>
      <c r="C364" s="4" t="s">
        <v>132</v>
      </c>
      <c r="D364" s="4">
        <v>2</v>
      </c>
      <c r="E364" s="4">
        <v>2</v>
      </c>
      <c r="F364" s="4" t="s">
        <v>125</v>
      </c>
      <c r="G364" s="4">
        <v>14</v>
      </c>
      <c r="H364" s="4">
        <v>5</v>
      </c>
      <c r="I364" s="4" t="s">
        <v>246</v>
      </c>
      <c r="J364" s="7">
        <v>1</v>
      </c>
      <c r="K364" s="4" t="s">
        <v>125</v>
      </c>
    </row>
    <row r="365" spans="1:11" ht="27.9" customHeight="1" x14ac:dyDescent="0.3">
      <c r="A365" s="3">
        <v>45793</v>
      </c>
      <c r="B365" s="4" t="s">
        <v>145</v>
      </c>
      <c r="C365" s="4" t="s">
        <v>156</v>
      </c>
      <c r="D365" s="4">
        <v>2</v>
      </c>
      <c r="E365" s="4">
        <v>0</v>
      </c>
      <c r="F365" s="4" t="s">
        <v>124</v>
      </c>
      <c r="G365" s="4">
        <v>18</v>
      </c>
      <c r="H365" s="4">
        <v>7</v>
      </c>
      <c r="I365" s="4" t="s">
        <v>246</v>
      </c>
      <c r="J365" s="7">
        <v>3</v>
      </c>
      <c r="K365" s="4" t="s">
        <v>249</v>
      </c>
    </row>
    <row r="366" spans="1:11" ht="27.9" customHeight="1" x14ac:dyDescent="0.3">
      <c r="A366" s="3">
        <v>45793</v>
      </c>
      <c r="B366" s="4" t="s">
        <v>151</v>
      </c>
      <c r="C366" s="4" t="s">
        <v>122</v>
      </c>
      <c r="D366" s="4">
        <v>1</v>
      </c>
      <c r="E366" s="4">
        <v>0</v>
      </c>
      <c r="F366" s="4" t="s">
        <v>124</v>
      </c>
      <c r="G366" s="4">
        <v>11</v>
      </c>
      <c r="H366" s="4">
        <v>3</v>
      </c>
      <c r="I366" s="4" t="s">
        <v>246</v>
      </c>
      <c r="J366" s="7">
        <v>3</v>
      </c>
      <c r="K366" s="4" t="s">
        <v>249</v>
      </c>
    </row>
    <row r="367" spans="1:11" ht="27.9" customHeight="1" x14ac:dyDescent="0.3">
      <c r="A367" s="3">
        <v>45795</v>
      </c>
      <c r="B367" s="4" t="s">
        <v>135</v>
      </c>
      <c r="C367" s="4" t="s">
        <v>139</v>
      </c>
      <c r="D367" s="4">
        <v>2</v>
      </c>
      <c r="E367" s="4">
        <v>0</v>
      </c>
      <c r="F367" s="4" t="s">
        <v>124</v>
      </c>
      <c r="G367" s="4">
        <v>13</v>
      </c>
      <c r="H367" s="4">
        <v>5</v>
      </c>
      <c r="I367" s="4" t="s">
        <v>246</v>
      </c>
      <c r="J367" s="7">
        <v>3</v>
      </c>
      <c r="K367" s="4" t="s">
        <v>249</v>
      </c>
    </row>
    <row r="368" spans="1:11" ht="27.9" customHeight="1" x14ac:dyDescent="0.3">
      <c r="A368" s="3">
        <v>45795</v>
      </c>
      <c r="B368" s="4" t="s">
        <v>144</v>
      </c>
      <c r="C368" s="4" t="s">
        <v>141</v>
      </c>
      <c r="D368" s="4">
        <v>1</v>
      </c>
      <c r="E368" s="4">
        <v>2</v>
      </c>
      <c r="F368" s="4" t="s">
        <v>130</v>
      </c>
      <c r="G368" s="4">
        <v>16</v>
      </c>
      <c r="H368" s="4">
        <v>5</v>
      </c>
      <c r="I368" s="4" t="s">
        <v>246</v>
      </c>
      <c r="J368" s="7">
        <v>0</v>
      </c>
      <c r="K368" s="4" t="s">
        <v>250</v>
      </c>
    </row>
    <row r="369" spans="1:11" ht="27.9" customHeight="1" x14ac:dyDescent="0.3">
      <c r="A369" s="3">
        <v>45795</v>
      </c>
      <c r="B369" s="4" t="s">
        <v>148</v>
      </c>
      <c r="C369" s="4" t="s">
        <v>123</v>
      </c>
      <c r="D369" s="4">
        <v>2</v>
      </c>
      <c r="E369" s="4">
        <v>3</v>
      </c>
      <c r="F369" s="4" t="s">
        <v>130</v>
      </c>
      <c r="G369" s="4">
        <v>11</v>
      </c>
      <c r="H369" s="4">
        <v>6</v>
      </c>
      <c r="I369" s="4" t="s">
        <v>246</v>
      </c>
      <c r="J369" s="7">
        <v>0</v>
      </c>
      <c r="K369" s="4" t="s">
        <v>250</v>
      </c>
    </row>
    <row r="370" spans="1:11" ht="27.9" customHeight="1" x14ac:dyDescent="0.3">
      <c r="A370" s="3">
        <v>45795</v>
      </c>
      <c r="B370" s="4" t="s">
        <v>155</v>
      </c>
      <c r="C370" s="4" t="s">
        <v>128</v>
      </c>
      <c r="D370" s="4">
        <v>2</v>
      </c>
      <c r="E370" s="4">
        <v>0</v>
      </c>
      <c r="F370" s="4" t="s">
        <v>124</v>
      </c>
      <c r="G370" s="4">
        <v>9</v>
      </c>
      <c r="H370" s="4">
        <v>3</v>
      </c>
      <c r="I370" s="4" t="s">
        <v>246</v>
      </c>
      <c r="J370" s="7">
        <v>3</v>
      </c>
      <c r="K370" s="4" t="s">
        <v>249</v>
      </c>
    </row>
    <row r="371" spans="1:11" ht="27.9" customHeight="1" x14ac:dyDescent="0.3">
      <c r="A371" s="3">
        <v>45795</v>
      </c>
      <c r="B371" s="4" t="s">
        <v>132</v>
      </c>
      <c r="C371" s="4" t="s">
        <v>138</v>
      </c>
      <c r="D371" s="4">
        <v>1</v>
      </c>
      <c r="E371" s="4">
        <v>0</v>
      </c>
      <c r="F371" s="4" t="s">
        <v>124</v>
      </c>
      <c r="G371" s="4">
        <v>12</v>
      </c>
      <c r="H371" s="4">
        <v>4</v>
      </c>
      <c r="I371" s="4" t="s">
        <v>246</v>
      </c>
      <c r="J371" s="7">
        <v>3</v>
      </c>
      <c r="K371" s="4" t="s">
        <v>249</v>
      </c>
    </row>
    <row r="372" spans="1:11" ht="27.9" customHeight="1" x14ac:dyDescent="0.3">
      <c r="A372" s="3">
        <v>45796</v>
      </c>
      <c r="B372" s="4" t="s">
        <v>136</v>
      </c>
      <c r="C372" s="4" t="s">
        <v>129</v>
      </c>
      <c r="D372" s="4">
        <v>3</v>
      </c>
      <c r="E372" s="4">
        <v>2</v>
      </c>
      <c r="F372" s="4" t="s">
        <v>124</v>
      </c>
      <c r="G372" s="4">
        <v>25</v>
      </c>
      <c r="H372" s="4">
        <v>12</v>
      </c>
      <c r="I372" s="4" t="s">
        <v>246</v>
      </c>
      <c r="J372" s="7">
        <v>3</v>
      </c>
      <c r="K372" s="4" t="s">
        <v>249</v>
      </c>
    </row>
    <row r="373" spans="1:11" ht="27.9" customHeight="1" x14ac:dyDescent="0.3">
      <c r="A373" s="3">
        <v>45797</v>
      </c>
      <c r="B373" s="4" t="s">
        <v>149</v>
      </c>
      <c r="C373" s="4" t="s">
        <v>133</v>
      </c>
      <c r="D373" s="4">
        <v>4</v>
      </c>
      <c r="E373" s="4">
        <v>2</v>
      </c>
      <c r="F373" s="4" t="s">
        <v>124</v>
      </c>
      <c r="G373" s="4">
        <v>14</v>
      </c>
      <c r="H373" s="4">
        <v>10</v>
      </c>
      <c r="I373" s="4" t="s">
        <v>246</v>
      </c>
      <c r="J373" s="7">
        <v>3</v>
      </c>
      <c r="K373" s="4" t="s">
        <v>249</v>
      </c>
    </row>
    <row r="374" spans="1:11" ht="27.9" customHeight="1" x14ac:dyDescent="0.3">
      <c r="A374" s="3">
        <v>45797</v>
      </c>
      <c r="B374" s="4" t="s">
        <v>152</v>
      </c>
      <c r="C374" s="4" t="s">
        <v>142</v>
      </c>
      <c r="D374" s="4">
        <v>3</v>
      </c>
      <c r="E374" s="4">
        <v>1</v>
      </c>
      <c r="F374" s="4" t="s">
        <v>124</v>
      </c>
      <c r="G374" s="4">
        <v>12</v>
      </c>
      <c r="H374" s="4">
        <v>5</v>
      </c>
      <c r="I374" s="4" t="s">
        <v>246</v>
      </c>
      <c r="J374" s="7">
        <v>3</v>
      </c>
      <c r="K374" s="4" t="s">
        <v>249</v>
      </c>
    </row>
    <row r="375" spans="1:11" ht="27.9" customHeight="1" x14ac:dyDescent="0.3">
      <c r="A375" s="3">
        <v>45802</v>
      </c>
      <c r="B375" s="4" t="s">
        <v>142</v>
      </c>
      <c r="C375" s="4" t="s">
        <v>155</v>
      </c>
      <c r="D375" s="4">
        <v>2</v>
      </c>
      <c r="E375" s="4">
        <v>0</v>
      </c>
      <c r="F375" s="4" t="s">
        <v>124</v>
      </c>
      <c r="G375" s="4">
        <v>20</v>
      </c>
      <c r="H375" s="4">
        <v>7</v>
      </c>
      <c r="I375" s="4" t="s">
        <v>246</v>
      </c>
      <c r="J375" s="7">
        <v>3</v>
      </c>
      <c r="K375" s="4" t="s">
        <v>249</v>
      </c>
    </row>
    <row r="376" spans="1:11" ht="27.9" customHeight="1" x14ac:dyDescent="0.3">
      <c r="A376" s="3">
        <v>45802</v>
      </c>
      <c r="B376" s="4" t="s">
        <v>123</v>
      </c>
      <c r="C376" s="4" t="s">
        <v>152</v>
      </c>
      <c r="D376" s="4">
        <v>0</v>
      </c>
      <c r="E376" s="4">
        <v>2</v>
      </c>
      <c r="F376" s="4" t="s">
        <v>130</v>
      </c>
      <c r="G376" s="4">
        <v>13</v>
      </c>
      <c r="H376" s="4">
        <v>3</v>
      </c>
      <c r="I376" s="4" t="s">
        <v>246</v>
      </c>
      <c r="J376" s="7">
        <v>0</v>
      </c>
      <c r="K376" s="4" t="s">
        <v>250</v>
      </c>
    </row>
    <row r="377" spans="1:11" ht="27.9" customHeight="1" x14ac:dyDescent="0.3">
      <c r="A377" s="3">
        <v>45802</v>
      </c>
      <c r="B377" s="4" t="s">
        <v>128</v>
      </c>
      <c r="C377" s="4" t="s">
        <v>144</v>
      </c>
      <c r="D377" s="4">
        <v>1</v>
      </c>
      <c r="E377" s="4">
        <v>3</v>
      </c>
      <c r="F377" s="4" t="s">
        <v>130</v>
      </c>
      <c r="G377" s="4">
        <v>14</v>
      </c>
      <c r="H377" s="4">
        <v>4</v>
      </c>
      <c r="I377" s="4" t="s">
        <v>246</v>
      </c>
      <c r="J377" s="7">
        <v>0</v>
      </c>
      <c r="K377" s="4" t="s">
        <v>250</v>
      </c>
    </row>
    <row r="378" spans="1:11" ht="27.9" customHeight="1" x14ac:dyDescent="0.3">
      <c r="A378" s="3">
        <v>45802</v>
      </c>
      <c r="B378" s="4" t="s">
        <v>129</v>
      </c>
      <c r="C378" s="4" t="s">
        <v>149</v>
      </c>
      <c r="D378" s="4">
        <v>1</v>
      </c>
      <c r="E378" s="4">
        <v>1</v>
      </c>
      <c r="F378" s="4" t="s">
        <v>125</v>
      </c>
      <c r="G378" s="4">
        <v>14</v>
      </c>
      <c r="H378" s="4">
        <v>3</v>
      </c>
      <c r="I378" s="4" t="s">
        <v>246</v>
      </c>
      <c r="J378" s="7">
        <v>1</v>
      </c>
      <c r="K378" s="4" t="s">
        <v>125</v>
      </c>
    </row>
    <row r="379" spans="1:11" ht="27.9" customHeight="1" x14ac:dyDescent="0.3">
      <c r="A379" s="3">
        <v>45802</v>
      </c>
      <c r="B379" s="4" t="s">
        <v>122</v>
      </c>
      <c r="C379" s="4" t="s">
        <v>145</v>
      </c>
      <c r="D379" s="4">
        <v>2</v>
      </c>
      <c r="E379" s="4">
        <v>0</v>
      </c>
      <c r="F379" s="4" t="s">
        <v>124</v>
      </c>
      <c r="G379" s="4">
        <v>25</v>
      </c>
      <c r="H379" s="4">
        <v>10</v>
      </c>
      <c r="I379" s="4" t="s">
        <v>246</v>
      </c>
      <c r="J379" s="7">
        <v>3</v>
      </c>
      <c r="K379" s="4" t="s">
        <v>249</v>
      </c>
    </row>
    <row r="380" spans="1:11" ht="27.9" customHeight="1" x14ac:dyDescent="0.3">
      <c r="A380" s="3">
        <v>45802</v>
      </c>
      <c r="B380" s="4" t="s">
        <v>138</v>
      </c>
      <c r="C380" s="4" t="s">
        <v>135</v>
      </c>
      <c r="D380" s="4">
        <v>0</v>
      </c>
      <c r="E380" s="4">
        <v>1</v>
      </c>
      <c r="F380" s="4" t="s">
        <v>130</v>
      </c>
      <c r="G380" s="4">
        <v>17</v>
      </c>
      <c r="H380" s="4">
        <v>6</v>
      </c>
      <c r="I380" s="4" t="s">
        <v>246</v>
      </c>
      <c r="J380" s="7">
        <v>0</v>
      </c>
      <c r="K380" s="4" t="s">
        <v>250</v>
      </c>
    </row>
    <row r="381" spans="1:11" ht="27.9" customHeight="1" x14ac:dyDescent="0.3">
      <c r="A381" s="3">
        <v>45802</v>
      </c>
      <c r="B381" s="4" t="s">
        <v>141</v>
      </c>
      <c r="C381" s="4" t="s">
        <v>151</v>
      </c>
      <c r="D381" s="4">
        <v>0</v>
      </c>
      <c r="E381" s="4">
        <v>1</v>
      </c>
      <c r="F381" s="4" t="s">
        <v>130</v>
      </c>
      <c r="G381" s="4">
        <v>10</v>
      </c>
      <c r="H381" s="4">
        <v>2</v>
      </c>
      <c r="I381" s="4" t="s">
        <v>246</v>
      </c>
      <c r="J381" s="7">
        <v>0</v>
      </c>
      <c r="K381" s="4" t="s">
        <v>250</v>
      </c>
    </row>
    <row r="382" spans="1:11" ht="27.9" customHeight="1" x14ac:dyDescent="0.3">
      <c r="A382" s="3">
        <v>45802</v>
      </c>
      <c r="B382" s="4" t="s">
        <v>139</v>
      </c>
      <c r="C382" s="4" t="s">
        <v>132</v>
      </c>
      <c r="D382" s="4">
        <v>1</v>
      </c>
      <c r="E382" s="4">
        <v>2</v>
      </c>
      <c r="F382" s="4" t="s">
        <v>130</v>
      </c>
      <c r="G382" s="4">
        <v>7</v>
      </c>
      <c r="H382" s="4">
        <v>2</v>
      </c>
      <c r="I382" s="4" t="s">
        <v>246</v>
      </c>
      <c r="J382" s="7">
        <v>0</v>
      </c>
      <c r="K382" s="4" t="s">
        <v>250</v>
      </c>
    </row>
    <row r="383" spans="1:11" ht="27.9" customHeight="1" x14ac:dyDescent="0.3">
      <c r="A383" s="3">
        <v>45802</v>
      </c>
      <c r="B383" s="4" t="s">
        <v>156</v>
      </c>
      <c r="C383" s="4" t="s">
        <v>136</v>
      </c>
      <c r="D383" s="4">
        <v>1</v>
      </c>
      <c r="E383" s="4">
        <v>4</v>
      </c>
      <c r="F383" s="4" t="s">
        <v>130</v>
      </c>
      <c r="G383" s="4">
        <v>4</v>
      </c>
      <c r="H383" s="4">
        <v>2</v>
      </c>
      <c r="I383" s="4" t="s">
        <v>246</v>
      </c>
      <c r="J383" s="7">
        <v>0</v>
      </c>
      <c r="K383" s="4" t="s">
        <v>250</v>
      </c>
    </row>
    <row r="384" spans="1:11" ht="27.9" customHeight="1" x14ac:dyDescent="0.3">
      <c r="A384" s="3">
        <v>45802</v>
      </c>
      <c r="B384" s="4" t="s">
        <v>133</v>
      </c>
      <c r="C384" s="4" t="s">
        <v>148</v>
      </c>
      <c r="D384" s="4">
        <v>1</v>
      </c>
      <c r="E384" s="4">
        <v>1</v>
      </c>
      <c r="F384" s="4" t="s">
        <v>125</v>
      </c>
      <c r="G384" s="4">
        <v>18</v>
      </c>
      <c r="H384" s="4">
        <v>6</v>
      </c>
      <c r="I384" s="4" t="s">
        <v>246</v>
      </c>
      <c r="J384" s="7">
        <v>1</v>
      </c>
      <c r="K384" s="4" t="s">
        <v>125</v>
      </c>
    </row>
    <row r="385" spans="1:11" ht="27.9" customHeight="1" x14ac:dyDescent="0.3">
      <c r="A385" s="3">
        <v>45520</v>
      </c>
      <c r="B385" s="4" t="s">
        <v>123</v>
      </c>
      <c r="C385" s="4" t="s">
        <v>122</v>
      </c>
      <c r="D385" s="4">
        <v>0</v>
      </c>
      <c r="E385" s="4">
        <v>1</v>
      </c>
      <c r="F385" s="4" t="s">
        <v>124</v>
      </c>
      <c r="G385" s="4">
        <v>10</v>
      </c>
      <c r="H385" s="4">
        <v>2</v>
      </c>
      <c r="I385" s="4" t="s">
        <v>247</v>
      </c>
      <c r="J385" s="7">
        <v>0</v>
      </c>
      <c r="K385" s="4" t="s">
        <v>250</v>
      </c>
    </row>
    <row r="386" spans="1:11" ht="27.9" customHeight="1" x14ac:dyDescent="0.3">
      <c r="A386" s="3">
        <v>45521</v>
      </c>
      <c r="B386" s="4" t="s">
        <v>129</v>
      </c>
      <c r="C386" s="4" t="s">
        <v>128</v>
      </c>
      <c r="D386" s="4">
        <v>2</v>
      </c>
      <c r="E386" s="4">
        <v>0</v>
      </c>
      <c r="F386" s="4" t="s">
        <v>130</v>
      </c>
      <c r="G386" s="4">
        <v>18</v>
      </c>
      <c r="H386" s="4">
        <v>5</v>
      </c>
      <c r="I386" s="4" t="s">
        <v>247</v>
      </c>
      <c r="J386" s="7">
        <v>3</v>
      </c>
      <c r="K386" s="4" t="s">
        <v>249</v>
      </c>
    </row>
    <row r="387" spans="1:11" ht="27.9" customHeight="1" x14ac:dyDescent="0.3">
      <c r="A387" s="3">
        <v>45521</v>
      </c>
      <c r="B387" s="4" t="s">
        <v>133</v>
      </c>
      <c r="C387" s="4" t="s">
        <v>132</v>
      </c>
      <c r="D387" s="4">
        <v>0</v>
      </c>
      <c r="E387" s="4">
        <v>2</v>
      </c>
      <c r="F387" s="4" t="s">
        <v>124</v>
      </c>
      <c r="G387" s="4">
        <v>9</v>
      </c>
      <c r="H387" s="4">
        <v>3</v>
      </c>
      <c r="I387" s="4" t="s">
        <v>247</v>
      </c>
      <c r="J387" s="7">
        <v>0</v>
      </c>
      <c r="K387" s="4" t="s">
        <v>250</v>
      </c>
    </row>
    <row r="388" spans="1:11" ht="27.9" customHeight="1" x14ac:dyDescent="0.3">
      <c r="A388" s="3">
        <v>45521</v>
      </c>
      <c r="B388" s="4" t="s">
        <v>136</v>
      </c>
      <c r="C388" s="4" t="s">
        <v>135</v>
      </c>
      <c r="D388" s="4">
        <v>3</v>
      </c>
      <c r="E388" s="4">
        <v>0</v>
      </c>
      <c r="F388" s="4" t="s">
        <v>130</v>
      </c>
      <c r="G388" s="4">
        <v>10</v>
      </c>
      <c r="H388" s="4">
        <v>5</v>
      </c>
      <c r="I388" s="4" t="s">
        <v>247</v>
      </c>
      <c r="J388" s="7">
        <v>3</v>
      </c>
      <c r="K388" s="4" t="s">
        <v>249</v>
      </c>
    </row>
    <row r="389" spans="1:11" ht="27.9" customHeight="1" x14ac:dyDescent="0.3">
      <c r="A389" s="3">
        <v>45521</v>
      </c>
      <c r="B389" s="4" t="s">
        <v>139</v>
      </c>
      <c r="C389" s="4" t="s">
        <v>138</v>
      </c>
      <c r="D389" s="4">
        <v>0</v>
      </c>
      <c r="E389" s="4">
        <v>1</v>
      </c>
      <c r="F389" s="4" t="s">
        <v>124</v>
      </c>
      <c r="G389" s="4">
        <v>19</v>
      </c>
      <c r="H389" s="4">
        <v>4</v>
      </c>
      <c r="I389" s="4" t="s">
        <v>247</v>
      </c>
      <c r="J389" s="7">
        <v>0</v>
      </c>
      <c r="K389" s="4" t="s">
        <v>250</v>
      </c>
    </row>
    <row r="390" spans="1:11" ht="27.9" customHeight="1" x14ac:dyDescent="0.3">
      <c r="A390" s="3">
        <v>45521</v>
      </c>
      <c r="B390" s="4" t="s">
        <v>142</v>
      </c>
      <c r="C390" s="4" t="s">
        <v>141</v>
      </c>
      <c r="D390" s="4">
        <v>1</v>
      </c>
      <c r="E390" s="4">
        <v>1</v>
      </c>
      <c r="F390" s="4" t="s">
        <v>125</v>
      </c>
      <c r="G390" s="4">
        <v>13</v>
      </c>
      <c r="H390" s="4">
        <v>4</v>
      </c>
      <c r="I390" s="4" t="s">
        <v>247</v>
      </c>
      <c r="J390" s="7">
        <v>1</v>
      </c>
      <c r="K390" s="4" t="s">
        <v>125</v>
      </c>
    </row>
    <row r="391" spans="1:11" ht="27.9" customHeight="1" x14ac:dyDescent="0.3">
      <c r="A391" s="3">
        <v>45521</v>
      </c>
      <c r="B391" s="4" t="s">
        <v>145</v>
      </c>
      <c r="C391" s="4" t="s">
        <v>144</v>
      </c>
      <c r="D391" s="4">
        <v>2</v>
      </c>
      <c r="E391" s="4">
        <v>1</v>
      </c>
      <c r="F391" s="4" t="s">
        <v>130</v>
      </c>
      <c r="G391" s="4">
        <v>15</v>
      </c>
      <c r="H391" s="4">
        <v>3</v>
      </c>
      <c r="I391" s="4" t="s">
        <v>247</v>
      </c>
      <c r="J391" s="7">
        <v>3</v>
      </c>
      <c r="K391" s="4" t="s">
        <v>249</v>
      </c>
    </row>
    <row r="392" spans="1:11" ht="27.9" customHeight="1" x14ac:dyDescent="0.3">
      <c r="A392" s="3">
        <v>45522</v>
      </c>
      <c r="B392" s="4" t="s">
        <v>149</v>
      </c>
      <c r="C392" s="4" t="s">
        <v>148</v>
      </c>
      <c r="D392" s="4">
        <v>1</v>
      </c>
      <c r="E392" s="4">
        <v>2</v>
      </c>
      <c r="F392" s="4" t="s">
        <v>124</v>
      </c>
      <c r="G392" s="4">
        <v>14</v>
      </c>
      <c r="H392" s="4">
        <v>6</v>
      </c>
      <c r="I392" s="4" t="s">
        <v>247</v>
      </c>
      <c r="J392" s="7">
        <v>0</v>
      </c>
      <c r="K392" s="4" t="s">
        <v>250</v>
      </c>
    </row>
    <row r="393" spans="1:11" ht="27.9" customHeight="1" x14ac:dyDescent="0.3">
      <c r="A393" s="3">
        <v>45522</v>
      </c>
      <c r="B393" s="4" t="s">
        <v>152</v>
      </c>
      <c r="C393" s="4" t="s">
        <v>151</v>
      </c>
      <c r="D393" s="4">
        <v>2</v>
      </c>
      <c r="E393" s="4">
        <v>0</v>
      </c>
      <c r="F393" s="4" t="s">
        <v>130</v>
      </c>
      <c r="G393" s="4">
        <v>11</v>
      </c>
      <c r="H393" s="4">
        <v>5</v>
      </c>
      <c r="I393" s="4" t="s">
        <v>247</v>
      </c>
      <c r="J393" s="7">
        <v>3</v>
      </c>
      <c r="K393" s="4" t="s">
        <v>249</v>
      </c>
    </row>
    <row r="394" spans="1:11" ht="27.9" customHeight="1" x14ac:dyDescent="0.3">
      <c r="A394" s="3">
        <v>45523</v>
      </c>
      <c r="B394" s="4" t="s">
        <v>156</v>
      </c>
      <c r="C394" s="4" t="s">
        <v>155</v>
      </c>
      <c r="D394" s="4">
        <v>1</v>
      </c>
      <c r="E394" s="4">
        <v>1</v>
      </c>
      <c r="F394" s="4" t="s">
        <v>125</v>
      </c>
      <c r="G394" s="4">
        <v>15</v>
      </c>
      <c r="H394" s="4">
        <v>7</v>
      </c>
      <c r="I394" s="4" t="s">
        <v>247</v>
      </c>
      <c r="J394" s="7">
        <v>1</v>
      </c>
      <c r="K394" s="4" t="s">
        <v>125</v>
      </c>
    </row>
    <row r="395" spans="1:11" ht="27.9" customHeight="1" x14ac:dyDescent="0.3">
      <c r="A395" s="3">
        <v>45528</v>
      </c>
      <c r="B395" s="4" t="s">
        <v>122</v>
      </c>
      <c r="C395" s="4" t="s">
        <v>136</v>
      </c>
      <c r="D395" s="4">
        <v>1</v>
      </c>
      <c r="E395" s="4">
        <v>2</v>
      </c>
      <c r="F395" s="4" t="s">
        <v>124</v>
      </c>
      <c r="G395" s="4">
        <v>11</v>
      </c>
      <c r="H395" s="4">
        <v>4</v>
      </c>
      <c r="I395" s="4" t="s">
        <v>247</v>
      </c>
      <c r="J395" s="7">
        <v>0</v>
      </c>
      <c r="K395" s="4" t="s">
        <v>250</v>
      </c>
    </row>
    <row r="396" spans="1:11" ht="27.9" customHeight="1" x14ac:dyDescent="0.3">
      <c r="A396" s="3">
        <v>45528</v>
      </c>
      <c r="B396" s="4" t="s">
        <v>144</v>
      </c>
      <c r="C396" s="4" t="s">
        <v>149</v>
      </c>
      <c r="D396" s="4">
        <v>2</v>
      </c>
      <c r="E396" s="4">
        <v>0</v>
      </c>
      <c r="F396" s="4" t="s">
        <v>130</v>
      </c>
      <c r="G396" s="4">
        <v>18</v>
      </c>
      <c r="H396" s="4">
        <v>3</v>
      </c>
      <c r="I396" s="4" t="s">
        <v>247</v>
      </c>
      <c r="J396" s="7">
        <v>3</v>
      </c>
      <c r="K396" s="4" t="s">
        <v>249</v>
      </c>
    </row>
    <row r="397" spans="1:11" ht="27.9" customHeight="1" x14ac:dyDescent="0.3">
      <c r="A397" s="3">
        <v>45528</v>
      </c>
      <c r="B397" s="4" t="s">
        <v>155</v>
      </c>
      <c r="C397" s="4" t="s">
        <v>123</v>
      </c>
      <c r="D397" s="4">
        <v>1</v>
      </c>
      <c r="E397" s="4">
        <v>2</v>
      </c>
      <c r="F397" s="4" t="s">
        <v>124</v>
      </c>
      <c r="G397" s="4">
        <v>10</v>
      </c>
      <c r="H397" s="4">
        <v>4</v>
      </c>
      <c r="I397" s="4" t="s">
        <v>247</v>
      </c>
      <c r="J397" s="7">
        <v>0</v>
      </c>
      <c r="K397" s="4" t="s">
        <v>250</v>
      </c>
    </row>
    <row r="398" spans="1:11" ht="27.9" customHeight="1" x14ac:dyDescent="0.3">
      <c r="A398" s="3">
        <v>45528</v>
      </c>
      <c r="B398" s="4" t="s">
        <v>128</v>
      </c>
      <c r="C398" s="4" t="s">
        <v>152</v>
      </c>
      <c r="D398" s="4">
        <v>1</v>
      </c>
      <c r="E398" s="4">
        <v>4</v>
      </c>
      <c r="F398" s="4" t="s">
        <v>124</v>
      </c>
      <c r="G398" s="4">
        <v>1</v>
      </c>
      <c r="H398" s="4">
        <v>1</v>
      </c>
      <c r="I398" s="4" t="s">
        <v>247</v>
      </c>
      <c r="J398" s="7">
        <v>0</v>
      </c>
      <c r="K398" s="4" t="s">
        <v>250</v>
      </c>
    </row>
    <row r="399" spans="1:11" ht="27.9" customHeight="1" x14ac:dyDescent="0.3">
      <c r="A399" s="3">
        <v>45528</v>
      </c>
      <c r="B399" s="4" t="s">
        <v>141</v>
      </c>
      <c r="C399" s="4" t="s">
        <v>139</v>
      </c>
      <c r="D399" s="4">
        <v>1</v>
      </c>
      <c r="E399" s="4">
        <v>0</v>
      </c>
      <c r="F399" s="4" t="s">
        <v>130</v>
      </c>
      <c r="G399" s="4">
        <v>23</v>
      </c>
      <c r="H399" s="4">
        <v>8</v>
      </c>
      <c r="I399" s="4" t="s">
        <v>247</v>
      </c>
      <c r="J399" s="7">
        <v>3</v>
      </c>
      <c r="K399" s="4" t="s">
        <v>249</v>
      </c>
    </row>
    <row r="400" spans="1:11" ht="27.9" customHeight="1" x14ac:dyDescent="0.3">
      <c r="A400" s="3">
        <v>45528</v>
      </c>
      <c r="B400" s="4" t="s">
        <v>135</v>
      </c>
      <c r="C400" s="4" t="s">
        <v>156</v>
      </c>
      <c r="D400" s="4">
        <v>0</v>
      </c>
      <c r="E400" s="4">
        <v>4</v>
      </c>
      <c r="F400" s="4" t="s">
        <v>124</v>
      </c>
      <c r="G400" s="4">
        <v>10</v>
      </c>
      <c r="H400" s="4">
        <v>1</v>
      </c>
      <c r="I400" s="4" t="s">
        <v>247</v>
      </c>
      <c r="J400" s="7">
        <v>0</v>
      </c>
      <c r="K400" s="4" t="s">
        <v>250</v>
      </c>
    </row>
    <row r="401" spans="1:11" ht="27.9" customHeight="1" x14ac:dyDescent="0.3">
      <c r="A401" s="3">
        <v>45528</v>
      </c>
      <c r="B401" s="4" t="s">
        <v>132</v>
      </c>
      <c r="C401" s="4" t="s">
        <v>145</v>
      </c>
      <c r="D401" s="4">
        <v>2</v>
      </c>
      <c r="E401" s="4">
        <v>0</v>
      </c>
      <c r="F401" s="4" t="s">
        <v>130</v>
      </c>
      <c r="G401" s="4">
        <v>9</v>
      </c>
      <c r="H401" s="4">
        <v>4</v>
      </c>
      <c r="I401" s="4" t="s">
        <v>247</v>
      </c>
      <c r="J401" s="7">
        <v>3</v>
      </c>
      <c r="K401" s="4" t="s">
        <v>249</v>
      </c>
    </row>
    <row r="402" spans="1:11" ht="27.9" customHeight="1" x14ac:dyDescent="0.3">
      <c r="A402" s="3">
        <v>45529</v>
      </c>
      <c r="B402" s="4" t="s">
        <v>138</v>
      </c>
      <c r="C402" s="4" t="s">
        <v>142</v>
      </c>
      <c r="D402" s="4">
        <v>1</v>
      </c>
      <c r="E402" s="4">
        <v>1</v>
      </c>
      <c r="F402" s="4" t="s">
        <v>125</v>
      </c>
      <c r="G402" s="4">
        <v>14</v>
      </c>
      <c r="H402" s="4">
        <v>5</v>
      </c>
      <c r="I402" s="4" t="s">
        <v>247</v>
      </c>
      <c r="J402" s="7">
        <v>1</v>
      </c>
      <c r="K402" s="4" t="s">
        <v>125</v>
      </c>
    </row>
    <row r="403" spans="1:11" ht="27.9" customHeight="1" x14ac:dyDescent="0.3">
      <c r="A403" s="3">
        <v>45529</v>
      </c>
      <c r="B403" s="4" t="s">
        <v>151</v>
      </c>
      <c r="C403" s="4" t="s">
        <v>133</v>
      </c>
      <c r="D403" s="4">
        <v>6</v>
      </c>
      <c r="E403" s="4">
        <v>2</v>
      </c>
      <c r="F403" s="4" t="s">
        <v>130</v>
      </c>
      <c r="G403" s="4">
        <v>14</v>
      </c>
      <c r="H403" s="4">
        <v>8</v>
      </c>
      <c r="I403" s="4" t="s">
        <v>247</v>
      </c>
      <c r="J403" s="7">
        <v>3</v>
      </c>
      <c r="K403" s="4" t="s">
        <v>249</v>
      </c>
    </row>
    <row r="404" spans="1:11" ht="27.9" customHeight="1" x14ac:dyDescent="0.3">
      <c r="A404" s="3">
        <v>45529</v>
      </c>
      <c r="B404" s="4" t="s">
        <v>148</v>
      </c>
      <c r="C404" s="4" t="s">
        <v>129</v>
      </c>
      <c r="D404" s="4">
        <v>0</v>
      </c>
      <c r="E404" s="4">
        <v>2</v>
      </c>
      <c r="F404" s="4" t="s">
        <v>124</v>
      </c>
      <c r="G404" s="4">
        <v>8</v>
      </c>
      <c r="H404" s="4">
        <v>2</v>
      </c>
      <c r="I404" s="4" t="s">
        <v>247</v>
      </c>
      <c r="J404" s="7">
        <v>0</v>
      </c>
      <c r="K404" s="4" t="s">
        <v>250</v>
      </c>
    </row>
    <row r="405" spans="1:11" ht="27.9" customHeight="1" x14ac:dyDescent="0.3">
      <c r="A405" s="3">
        <v>45535</v>
      </c>
      <c r="B405" s="4" t="s">
        <v>136</v>
      </c>
      <c r="C405" s="4" t="s">
        <v>132</v>
      </c>
      <c r="D405" s="4">
        <v>1</v>
      </c>
      <c r="E405" s="4">
        <v>1</v>
      </c>
      <c r="F405" s="4" t="s">
        <v>125</v>
      </c>
      <c r="G405" s="4">
        <v>22</v>
      </c>
      <c r="H405" s="4">
        <v>4</v>
      </c>
      <c r="I405" s="4" t="s">
        <v>247</v>
      </c>
      <c r="J405" s="7">
        <v>1</v>
      </c>
      <c r="K405" s="4" t="s">
        <v>125</v>
      </c>
    </row>
    <row r="406" spans="1:11" ht="27.9" customHeight="1" x14ac:dyDescent="0.3">
      <c r="A406" s="3">
        <v>45535</v>
      </c>
      <c r="B406" s="4" t="s">
        <v>139</v>
      </c>
      <c r="C406" s="4" t="s">
        <v>148</v>
      </c>
      <c r="D406" s="4">
        <v>1</v>
      </c>
      <c r="E406" s="4">
        <v>3</v>
      </c>
      <c r="F406" s="4" t="s">
        <v>124</v>
      </c>
      <c r="G406" s="4">
        <v>18</v>
      </c>
      <c r="H406" s="4">
        <v>6</v>
      </c>
      <c r="I406" s="4" t="s">
        <v>247</v>
      </c>
      <c r="J406" s="7">
        <v>0</v>
      </c>
      <c r="K406" s="4" t="s">
        <v>250</v>
      </c>
    </row>
    <row r="407" spans="1:11" ht="27.9" customHeight="1" x14ac:dyDescent="0.3">
      <c r="A407" s="3">
        <v>45535</v>
      </c>
      <c r="B407" s="4" t="s">
        <v>142</v>
      </c>
      <c r="C407" s="4" t="s">
        <v>135</v>
      </c>
      <c r="D407" s="4">
        <v>3</v>
      </c>
      <c r="E407" s="4">
        <v>2</v>
      </c>
      <c r="F407" s="4" t="s">
        <v>130</v>
      </c>
      <c r="G407" s="4">
        <v>17</v>
      </c>
      <c r="H407" s="4">
        <v>7</v>
      </c>
      <c r="I407" s="4" t="s">
        <v>247</v>
      </c>
      <c r="J407" s="7">
        <v>3</v>
      </c>
      <c r="K407" s="4" t="s">
        <v>249</v>
      </c>
    </row>
    <row r="408" spans="1:11" ht="27.9" customHeight="1" x14ac:dyDescent="0.3">
      <c r="A408" s="3">
        <v>45535</v>
      </c>
      <c r="B408" s="4" t="s">
        <v>123</v>
      </c>
      <c r="C408" s="4" t="s">
        <v>128</v>
      </c>
      <c r="D408" s="4">
        <v>1</v>
      </c>
      <c r="E408" s="4">
        <v>1</v>
      </c>
      <c r="F408" s="4" t="s">
        <v>125</v>
      </c>
      <c r="G408" s="4">
        <v>9</v>
      </c>
      <c r="H408" s="4">
        <v>4</v>
      </c>
      <c r="I408" s="4" t="s">
        <v>247</v>
      </c>
      <c r="J408" s="7">
        <v>1</v>
      </c>
      <c r="K408" s="4" t="s">
        <v>125</v>
      </c>
    </row>
    <row r="409" spans="1:11" ht="27.9" customHeight="1" x14ac:dyDescent="0.3">
      <c r="A409" s="3">
        <v>45535</v>
      </c>
      <c r="B409" s="4" t="s">
        <v>145</v>
      </c>
      <c r="C409" s="4" t="s">
        <v>155</v>
      </c>
      <c r="D409" s="4">
        <v>2</v>
      </c>
      <c r="E409" s="4">
        <v>1</v>
      </c>
      <c r="F409" s="4" t="s">
        <v>130</v>
      </c>
      <c r="G409" s="4">
        <v>10</v>
      </c>
      <c r="H409" s="4">
        <v>5</v>
      </c>
      <c r="I409" s="4" t="s">
        <v>247</v>
      </c>
      <c r="J409" s="7">
        <v>3</v>
      </c>
      <c r="K409" s="4" t="s">
        <v>249</v>
      </c>
    </row>
    <row r="410" spans="1:11" ht="27.9" customHeight="1" x14ac:dyDescent="0.3">
      <c r="A410" s="3">
        <v>45535</v>
      </c>
      <c r="B410" s="4" t="s">
        <v>133</v>
      </c>
      <c r="C410" s="4" t="s">
        <v>141</v>
      </c>
      <c r="D410" s="4">
        <v>1</v>
      </c>
      <c r="E410" s="4">
        <v>1</v>
      </c>
      <c r="F410" s="4" t="s">
        <v>125</v>
      </c>
      <c r="G410" s="4">
        <v>11</v>
      </c>
      <c r="H410" s="4">
        <v>3</v>
      </c>
      <c r="I410" s="4" t="s">
        <v>247</v>
      </c>
      <c r="J410" s="7">
        <v>1</v>
      </c>
      <c r="K410" s="4" t="s">
        <v>125</v>
      </c>
    </row>
    <row r="411" spans="1:11" ht="27.9" customHeight="1" x14ac:dyDescent="0.3">
      <c r="A411" s="3">
        <v>45535</v>
      </c>
      <c r="B411" s="4" t="s">
        <v>152</v>
      </c>
      <c r="C411" s="4" t="s">
        <v>144</v>
      </c>
      <c r="D411" s="4">
        <v>3</v>
      </c>
      <c r="E411" s="4">
        <v>1</v>
      </c>
      <c r="F411" s="4" t="s">
        <v>130</v>
      </c>
      <c r="G411" s="4">
        <v>23</v>
      </c>
      <c r="H411" s="4">
        <v>8</v>
      </c>
      <c r="I411" s="4" t="s">
        <v>247</v>
      </c>
      <c r="J411" s="7">
        <v>3</v>
      </c>
      <c r="K411" s="4" t="s">
        <v>249</v>
      </c>
    </row>
    <row r="412" spans="1:11" ht="27.9" customHeight="1" x14ac:dyDescent="0.3">
      <c r="A412" s="3">
        <v>45536</v>
      </c>
      <c r="B412" s="4" t="s">
        <v>149</v>
      </c>
      <c r="C412" s="4" t="s">
        <v>151</v>
      </c>
      <c r="D412" s="4">
        <v>1</v>
      </c>
      <c r="E412" s="4">
        <v>1</v>
      </c>
      <c r="F412" s="4" t="s">
        <v>125</v>
      </c>
      <c r="G412" s="4">
        <v>9</v>
      </c>
      <c r="H412" s="4">
        <v>3</v>
      </c>
      <c r="I412" s="4" t="s">
        <v>247</v>
      </c>
      <c r="J412" s="7">
        <v>1</v>
      </c>
      <c r="K412" s="4" t="s">
        <v>125</v>
      </c>
    </row>
    <row r="413" spans="1:11" ht="27.9" customHeight="1" x14ac:dyDescent="0.3">
      <c r="A413" s="3">
        <v>45536</v>
      </c>
      <c r="B413" s="4" t="s">
        <v>156</v>
      </c>
      <c r="C413" s="4" t="s">
        <v>138</v>
      </c>
      <c r="D413" s="4">
        <v>1</v>
      </c>
      <c r="E413" s="4">
        <v>2</v>
      </c>
      <c r="F413" s="4" t="s">
        <v>124</v>
      </c>
      <c r="G413" s="4">
        <v>20</v>
      </c>
      <c r="H413" s="4">
        <v>6</v>
      </c>
      <c r="I413" s="4" t="s">
        <v>247</v>
      </c>
      <c r="J413" s="7">
        <v>0</v>
      </c>
      <c r="K413" s="4" t="s">
        <v>250</v>
      </c>
    </row>
    <row r="414" spans="1:11" ht="27.9" customHeight="1" x14ac:dyDescent="0.3">
      <c r="A414" s="3">
        <v>45536</v>
      </c>
      <c r="B414" s="4" t="s">
        <v>129</v>
      </c>
      <c r="C414" s="4" t="s">
        <v>122</v>
      </c>
      <c r="D414" s="4">
        <v>3</v>
      </c>
      <c r="E414" s="4">
        <v>0</v>
      </c>
      <c r="F414" s="4" t="s">
        <v>130</v>
      </c>
      <c r="G414" s="4">
        <v>11</v>
      </c>
      <c r="H414" s="4">
        <v>3</v>
      </c>
      <c r="I414" s="4" t="s">
        <v>247</v>
      </c>
      <c r="J414" s="7">
        <v>3</v>
      </c>
      <c r="K414" s="4" t="s">
        <v>249</v>
      </c>
    </row>
    <row r="415" spans="1:11" ht="27.9" customHeight="1" x14ac:dyDescent="0.3">
      <c r="A415" s="3">
        <v>45549</v>
      </c>
      <c r="B415" s="4" t="s">
        <v>122</v>
      </c>
      <c r="C415" s="4" t="s">
        <v>139</v>
      </c>
      <c r="D415" s="4">
        <v>3</v>
      </c>
      <c r="E415" s="4">
        <v>0</v>
      </c>
      <c r="F415" s="4" t="s">
        <v>130</v>
      </c>
      <c r="G415" s="4">
        <v>20</v>
      </c>
      <c r="H415" s="4">
        <v>10</v>
      </c>
      <c r="I415" s="4" t="s">
        <v>247</v>
      </c>
      <c r="J415" s="7">
        <v>3</v>
      </c>
      <c r="K415" s="4" t="s">
        <v>249</v>
      </c>
    </row>
    <row r="416" spans="1:11" ht="27.9" customHeight="1" x14ac:dyDescent="0.3">
      <c r="A416" s="3">
        <v>45549</v>
      </c>
      <c r="B416" s="4" t="s">
        <v>128</v>
      </c>
      <c r="C416" s="4" t="s">
        <v>136</v>
      </c>
      <c r="D416" s="4">
        <v>0</v>
      </c>
      <c r="E416" s="4">
        <v>0</v>
      </c>
      <c r="F416" s="4" t="s">
        <v>125</v>
      </c>
      <c r="G416" s="4">
        <v>6</v>
      </c>
      <c r="H416" s="4">
        <v>1</v>
      </c>
      <c r="I416" s="4" t="s">
        <v>247</v>
      </c>
      <c r="J416" s="7">
        <v>1</v>
      </c>
      <c r="K416" s="4" t="s">
        <v>125</v>
      </c>
    </row>
    <row r="417" spans="1:11" ht="27.9" customHeight="1" x14ac:dyDescent="0.3">
      <c r="A417" s="3">
        <v>45549</v>
      </c>
      <c r="B417" s="4" t="s">
        <v>155</v>
      </c>
      <c r="C417" s="4" t="s">
        <v>149</v>
      </c>
      <c r="D417" s="4">
        <v>2</v>
      </c>
      <c r="E417" s="4">
        <v>2</v>
      </c>
      <c r="F417" s="4" t="s">
        <v>125</v>
      </c>
      <c r="G417" s="4">
        <v>9</v>
      </c>
      <c r="H417" s="4">
        <v>4</v>
      </c>
      <c r="I417" s="4" t="s">
        <v>247</v>
      </c>
      <c r="J417" s="7">
        <v>1</v>
      </c>
      <c r="K417" s="4" t="s">
        <v>125</v>
      </c>
    </row>
    <row r="418" spans="1:11" ht="27.9" customHeight="1" x14ac:dyDescent="0.3">
      <c r="A418" s="3">
        <v>45549</v>
      </c>
      <c r="B418" s="4" t="s">
        <v>144</v>
      </c>
      <c r="C418" s="4" t="s">
        <v>123</v>
      </c>
      <c r="D418" s="4">
        <v>1</v>
      </c>
      <c r="E418" s="4">
        <v>1</v>
      </c>
      <c r="F418" s="4" t="s">
        <v>125</v>
      </c>
      <c r="G418" s="4">
        <v>11</v>
      </c>
      <c r="H418" s="4">
        <v>3</v>
      </c>
      <c r="I418" s="4" t="s">
        <v>247</v>
      </c>
      <c r="J418" s="7">
        <v>1</v>
      </c>
      <c r="K418" s="4" t="s">
        <v>125</v>
      </c>
    </row>
    <row r="419" spans="1:11" ht="27.9" customHeight="1" x14ac:dyDescent="0.3">
      <c r="A419" s="3">
        <v>45549</v>
      </c>
      <c r="B419" s="4" t="s">
        <v>141</v>
      </c>
      <c r="C419" s="4" t="s">
        <v>129</v>
      </c>
      <c r="D419" s="4">
        <v>1</v>
      </c>
      <c r="E419" s="4">
        <v>0</v>
      </c>
      <c r="F419" s="4" t="s">
        <v>130</v>
      </c>
      <c r="G419" s="4">
        <v>5</v>
      </c>
      <c r="H419" s="4">
        <v>3</v>
      </c>
      <c r="I419" s="4" t="s">
        <v>247</v>
      </c>
      <c r="J419" s="7">
        <v>3</v>
      </c>
      <c r="K419" s="4" t="s">
        <v>249</v>
      </c>
    </row>
    <row r="420" spans="1:11" ht="27.9" customHeight="1" x14ac:dyDescent="0.3">
      <c r="A420" s="3">
        <v>45549</v>
      </c>
      <c r="B420" s="4" t="s">
        <v>148</v>
      </c>
      <c r="C420" s="4" t="s">
        <v>152</v>
      </c>
      <c r="D420" s="4">
        <v>1</v>
      </c>
      <c r="E420" s="4">
        <v>2</v>
      </c>
      <c r="F420" s="4" t="s">
        <v>124</v>
      </c>
      <c r="G420" s="4">
        <v>8</v>
      </c>
      <c r="H420" s="4">
        <v>5</v>
      </c>
      <c r="I420" s="4" t="s">
        <v>247</v>
      </c>
      <c r="J420" s="7">
        <v>0</v>
      </c>
      <c r="K420" s="4" t="s">
        <v>250</v>
      </c>
    </row>
    <row r="421" spans="1:11" ht="27.9" customHeight="1" x14ac:dyDescent="0.3">
      <c r="A421" s="3">
        <v>45549</v>
      </c>
      <c r="B421" s="4" t="s">
        <v>135</v>
      </c>
      <c r="C421" s="4" t="s">
        <v>145</v>
      </c>
      <c r="D421" s="4">
        <v>2</v>
      </c>
      <c r="E421" s="4">
        <v>3</v>
      </c>
      <c r="F421" s="4" t="s">
        <v>124</v>
      </c>
      <c r="G421" s="4">
        <v>6</v>
      </c>
      <c r="H421" s="4">
        <v>2</v>
      </c>
      <c r="I421" s="4" t="s">
        <v>247</v>
      </c>
      <c r="J421" s="7">
        <v>0</v>
      </c>
      <c r="K421" s="4" t="s">
        <v>250</v>
      </c>
    </row>
    <row r="422" spans="1:11" ht="27.9" customHeight="1" x14ac:dyDescent="0.3">
      <c r="A422" s="3">
        <v>45549</v>
      </c>
      <c r="B422" s="4" t="s">
        <v>151</v>
      </c>
      <c r="C422" s="4" t="s">
        <v>142</v>
      </c>
      <c r="D422" s="4">
        <v>1</v>
      </c>
      <c r="E422" s="4">
        <v>0</v>
      </c>
      <c r="F422" s="4" t="s">
        <v>130</v>
      </c>
      <c r="G422" s="4">
        <v>10</v>
      </c>
      <c r="H422" s="4">
        <v>3</v>
      </c>
      <c r="I422" s="4" t="s">
        <v>247</v>
      </c>
      <c r="J422" s="7">
        <v>3</v>
      </c>
      <c r="K422" s="4" t="s">
        <v>249</v>
      </c>
    </row>
    <row r="423" spans="1:11" ht="27.9" customHeight="1" x14ac:dyDescent="0.3">
      <c r="A423" s="3">
        <v>45550</v>
      </c>
      <c r="B423" s="4" t="s">
        <v>132</v>
      </c>
      <c r="C423" s="4" t="s">
        <v>156</v>
      </c>
      <c r="D423" s="4">
        <v>1</v>
      </c>
      <c r="E423" s="4">
        <v>0</v>
      </c>
      <c r="F423" s="4" t="s">
        <v>130</v>
      </c>
      <c r="G423" s="4">
        <v>7</v>
      </c>
      <c r="H423" s="4">
        <v>4</v>
      </c>
      <c r="I423" s="4" t="s">
        <v>247</v>
      </c>
      <c r="J423" s="7">
        <v>3</v>
      </c>
      <c r="K423" s="4" t="s">
        <v>249</v>
      </c>
    </row>
    <row r="424" spans="1:11" ht="27.9" customHeight="1" x14ac:dyDescent="0.3">
      <c r="A424" s="3">
        <v>45550</v>
      </c>
      <c r="B424" s="4" t="s">
        <v>138</v>
      </c>
      <c r="C424" s="4" t="s">
        <v>133</v>
      </c>
      <c r="D424" s="4">
        <v>2</v>
      </c>
      <c r="E424" s="4">
        <v>1</v>
      </c>
      <c r="F424" s="4" t="s">
        <v>130</v>
      </c>
      <c r="G424" s="4">
        <v>14</v>
      </c>
      <c r="H424" s="4">
        <v>6</v>
      </c>
      <c r="I424" s="4" t="s">
        <v>247</v>
      </c>
      <c r="J424" s="7">
        <v>3</v>
      </c>
      <c r="K424" s="4" t="s">
        <v>249</v>
      </c>
    </row>
    <row r="425" spans="1:11" ht="27.9" customHeight="1" x14ac:dyDescent="0.3">
      <c r="A425" s="3">
        <v>45556</v>
      </c>
      <c r="B425" s="4" t="s">
        <v>151</v>
      </c>
      <c r="C425" s="4" t="s">
        <v>144</v>
      </c>
      <c r="D425" s="4">
        <v>3</v>
      </c>
      <c r="E425" s="4">
        <v>0</v>
      </c>
      <c r="F425" s="4" t="s">
        <v>130</v>
      </c>
      <c r="G425" s="4">
        <v>12</v>
      </c>
      <c r="H425" s="4">
        <v>5</v>
      </c>
      <c r="I425" s="4" t="s">
        <v>247</v>
      </c>
      <c r="J425" s="7">
        <v>3</v>
      </c>
      <c r="K425" s="4" t="s">
        <v>249</v>
      </c>
    </row>
    <row r="426" spans="1:11" ht="27.9" customHeight="1" x14ac:dyDescent="0.3">
      <c r="A426" s="3">
        <v>45556</v>
      </c>
      <c r="B426" s="4" t="s">
        <v>133</v>
      </c>
      <c r="C426" s="4" t="s">
        <v>145</v>
      </c>
      <c r="D426" s="4">
        <v>1</v>
      </c>
      <c r="E426" s="4">
        <v>3</v>
      </c>
      <c r="F426" s="4" t="s">
        <v>124</v>
      </c>
      <c r="G426" s="4">
        <v>10</v>
      </c>
      <c r="H426" s="4">
        <v>4</v>
      </c>
      <c r="I426" s="4" t="s">
        <v>247</v>
      </c>
      <c r="J426" s="7">
        <v>0</v>
      </c>
      <c r="K426" s="4" t="s">
        <v>250</v>
      </c>
    </row>
    <row r="427" spans="1:11" ht="27.9" customHeight="1" x14ac:dyDescent="0.3">
      <c r="A427" s="3">
        <v>45556</v>
      </c>
      <c r="B427" s="4" t="s">
        <v>138</v>
      </c>
      <c r="C427" s="4" t="s">
        <v>123</v>
      </c>
      <c r="D427" s="4">
        <v>1</v>
      </c>
      <c r="E427" s="4">
        <v>3</v>
      </c>
      <c r="F427" s="4" t="s">
        <v>124</v>
      </c>
      <c r="G427" s="4">
        <v>15</v>
      </c>
      <c r="H427" s="4">
        <v>4</v>
      </c>
      <c r="I427" s="4" t="s">
        <v>247</v>
      </c>
      <c r="J427" s="7">
        <v>0</v>
      </c>
      <c r="K427" s="4" t="s">
        <v>250</v>
      </c>
    </row>
    <row r="428" spans="1:11" ht="27.9" customHeight="1" x14ac:dyDescent="0.3">
      <c r="A428" s="3">
        <v>45556</v>
      </c>
      <c r="B428" s="4" t="s">
        <v>135</v>
      </c>
      <c r="C428" s="4" t="s">
        <v>155</v>
      </c>
      <c r="D428" s="4">
        <v>1</v>
      </c>
      <c r="E428" s="4">
        <v>1</v>
      </c>
      <c r="F428" s="4" t="s">
        <v>125</v>
      </c>
      <c r="G428" s="4">
        <v>16</v>
      </c>
      <c r="H428" s="4">
        <v>5</v>
      </c>
      <c r="I428" s="4" t="s">
        <v>247</v>
      </c>
      <c r="J428" s="7">
        <v>1</v>
      </c>
      <c r="K428" s="4" t="s">
        <v>125</v>
      </c>
    </row>
    <row r="429" spans="1:11" ht="27.9" customHeight="1" x14ac:dyDescent="0.3">
      <c r="A429" s="3">
        <v>45556</v>
      </c>
      <c r="B429" s="4" t="s">
        <v>142</v>
      </c>
      <c r="C429" s="4" t="s">
        <v>129</v>
      </c>
      <c r="D429" s="4">
        <v>0</v>
      </c>
      <c r="E429" s="4">
        <v>3</v>
      </c>
      <c r="F429" s="4" t="s">
        <v>124</v>
      </c>
      <c r="G429" s="4">
        <v>19</v>
      </c>
      <c r="H429" s="4">
        <v>6</v>
      </c>
      <c r="I429" s="4" t="s">
        <v>247</v>
      </c>
      <c r="J429" s="7">
        <v>0</v>
      </c>
      <c r="K429" s="4" t="s">
        <v>250</v>
      </c>
    </row>
    <row r="430" spans="1:11" ht="27.9" customHeight="1" x14ac:dyDescent="0.3">
      <c r="A430" s="3">
        <v>45556</v>
      </c>
      <c r="B430" s="4" t="s">
        <v>128</v>
      </c>
      <c r="C430" s="4" t="s">
        <v>139</v>
      </c>
      <c r="D430" s="4">
        <v>1</v>
      </c>
      <c r="E430" s="4">
        <v>1</v>
      </c>
      <c r="F430" s="4" t="s">
        <v>125</v>
      </c>
      <c r="G430" s="4">
        <v>13</v>
      </c>
      <c r="H430" s="4">
        <v>6</v>
      </c>
      <c r="I430" s="4" t="s">
        <v>247</v>
      </c>
      <c r="J430" s="7">
        <v>1</v>
      </c>
      <c r="K430" s="4" t="s">
        <v>125</v>
      </c>
    </row>
    <row r="431" spans="1:11" ht="27.9" customHeight="1" x14ac:dyDescent="0.3">
      <c r="A431" s="3">
        <v>45556</v>
      </c>
      <c r="B431" s="4" t="s">
        <v>148</v>
      </c>
      <c r="C431" s="4" t="s">
        <v>156</v>
      </c>
      <c r="D431" s="4">
        <v>1</v>
      </c>
      <c r="E431" s="4">
        <v>3</v>
      </c>
      <c r="F431" s="4" t="s">
        <v>124</v>
      </c>
      <c r="G431" s="4">
        <v>6</v>
      </c>
      <c r="H431" s="4">
        <v>6</v>
      </c>
      <c r="I431" s="4" t="s">
        <v>247</v>
      </c>
      <c r="J431" s="7">
        <v>0</v>
      </c>
      <c r="K431" s="4" t="s">
        <v>250</v>
      </c>
    </row>
    <row r="432" spans="1:11" ht="27.9" customHeight="1" x14ac:dyDescent="0.3">
      <c r="A432" s="3">
        <v>45556</v>
      </c>
      <c r="B432" s="4" t="s">
        <v>122</v>
      </c>
      <c r="C432" s="4" t="s">
        <v>149</v>
      </c>
      <c r="D432" s="4">
        <v>0</v>
      </c>
      <c r="E432" s="4">
        <v>0</v>
      </c>
      <c r="F432" s="4" t="s">
        <v>125</v>
      </c>
      <c r="G432" s="4">
        <v>15</v>
      </c>
      <c r="H432" s="4">
        <v>6</v>
      </c>
      <c r="I432" s="4" t="s">
        <v>247</v>
      </c>
      <c r="J432" s="7">
        <v>1</v>
      </c>
      <c r="K432" s="4" t="s">
        <v>125</v>
      </c>
    </row>
    <row r="433" spans="1:11" ht="27.9" customHeight="1" x14ac:dyDescent="0.3">
      <c r="A433" s="3">
        <v>45557</v>
      </c>
      <c r="B433" s="4" t="s">
        <v>141</v>
      </c>
      <c r="C433" s="4" t="s">
        <v>136</v>
      </c>
      <c r="D433" s="4">
        <v>2</v>
      </c>
      <c r="E433" s="4">
        <v>2</v>
      </c>
      <c r="F433" s="4" t="s">
        <v>125</v>
      </c>
      <c r="G433" s="4">
        <v>4</v>
      </c>
      <c r="H433" s="4">
        <v>3</v>
      </c>
      <c r="I433" s="4" t="s">
        <v>247</v>
      </c>
      <c r="J433" s="7">
        <v>1</v>
      </c>
      <c r="K433" s="4" t="s">
        <v>125</v>
      </c>
    </row>
    <row r="434" spans="1:11" ht="27.9" customHeight="1" x14ac:dyDescent="0.3">
      <c r="A434" s="3">
        <v>45557</v>
      </c>
      <c r="B434" s="4" t="s">
        <v>132</v>
      </c>
      <c r="C434" s="4" t="s">
        <v>152</v>
      </c>
      <c r="D434" s="4">
        <v>2</v>
      </c>
      <c r="E434" s="4">
        <v>2</v>
      </c>
      <c r="F434" s="4" t="s">
        <v>125</v>
      </c>
      <c r="G434" s="4">
        <v>5</v>
      </c>
      <c r="H434" s="4">
        <v>3</v>
      </c>
      <c r="I434" s="4" t="s">
        <v>247</v>
      </c>
      <c r="J434" s="7">
        <v>1</v>
      </c>
      <c r="K434" s="4" t="s">
        <v>125</v>
      </c>
    </row>
    <row r="435" spans="1:11" ht="27.9" customHeight="1" x14ac:dyDescent="0.3">
      <c r="A435" s="3">
        <v>45563</v>
      </c>
      <c r="B435" s="4" t="s">
        <v>152</v>
      </c>
      <c r="C435" s="4" t="s">
        <v>138</v>
      </c>
      <c r="D435" s="4">
        <v>1</v>
      </c>
      <c r="E435" s="4">
        <v>1</v>
      </c>
      <c r="F435" s="4" t="s">
        <v>125</v>
      </c>
      <c r="G435" s="4">
        <v>16</v>
      </c>
      <c r="H435" s="4">
        <v>6</v>
      </c>
      <c r="I435" s="4" t="s">
        <v>247</v>
      </c>
      <c r="J435" s="7">
        <v>1</v>
      </c>
      <c r="K435" s="4" t="s">
        <v>125</v>
      </c>
    </row>
    <row r="436" spans="1:11" ht="27.9" customHeight="1" x14ac:dyDescent="0.3">
      <c r="A436" s="3">
        <v>45563</v>
      </c>
      <c r="B436" s="4" t="s">
        <v>155</v>
      </c>
      <c r="C436" s="4" t="s">
        <v>132</v>
      </c>
      <c r="D436" s="4">
        <v>2</v>
      </c>
      <c r="E436" s="4">
        <v>4</v>
      </c>
      <c r="F436" s="4" t="s">
        <v>124</v>
      </c>
      <c r="G436" s="4">
        <v>5</v>
      </c>
      <c r="H436" s="4">
        <v>3</v>
      </c>
      <c r="I436" s="4" t="s">
        <v>247</v>
      </c>
      <c r="J436" s="7">
        <v>0</v>
      </c>
      <c r="K436" s="4" t="s">
        <v>250</v>
      </c>
    </row>
    <row r="437" spans="1:11" ht="27.9" customHeight="1" x14ac:dyDescent="0.3">
      <c r="A437" s="3">
        <v>45563</v>
      </c>
      <c r="B437" s="4" t="s">
        <v>144</v>
      </c>
      <c r="C437" s="4" t="s">
        <v>148</v>
      </c>
      <c r="D437" s="4">
        <v>1</v>
      </c>
      <c r="E437" s="4">
        <v>1</v>
      </c>
      <c r="F437" s="4" t="s">
        <v>125</v>
      </c>
      <c r="G437" s="4">
        <v>19</v>
      </c>
      <c r="H437" s="4">
        <v>3</v>
      </c>
      <c r="I437" s="4" t="s">
        <v>247</v>
      </c>
      <c r="J437" s="7">
        <v>1</v>
      </c>
      <c r="K437" s="4" t="s">
        <v>125</v>
      </c>
    </row>
    <row r="438" spans="1:11" ht="27.9" customHeight="1" x14ac:dyDescent="0.3">
      <c r="A438" s="3">
        <v>45563</v>
      </c>
      <c r="B438" s="4" t="s">
        <v>136</v>
      </c>
      <c r="C438" s="4" t="s">
        <v>151</v>
      </c>
      <c r="D438" s="4">
        <v>2</v>
      </c>
      <c r="E438" s="4">
        <v>4</v>
      </c>
      <c r="F438" s="4" t="s">
        <v>124</v>
      </c>
      <c r="G438" s="4">
        <v>15</v>
      </c>
      <c r="H438" s="4">
        <v>5</v>
      </c>
      <c r="I438" s="4" t="s">
        <v>247</v>
      </c>
      <c r="J438" s="7">
        <v>0</v>
      </c>
      <c r="K438" s="4" t="s">
        <v>250</v>
      </c>
    </row>
    <row r="439" spans="1:11" ht="27.9" customHeight="1" x14ac:dyDescent="0.3">
      <c r="A439" s="3">
        <v>45563</v>
      </c>
      <c r="B439" s="4" t="s">
        <v>149</v>
      </c>
      <c r="C439" s="4" t="s">
        <v>135</v>
      </c>
      <c r="D439" s="4">
        <v>1</v>
      </c>
      <c r="E439" s="4">
        <v>2</v>
      </c>
      <c r="F439" s="4" t="s">
        <v>124</v>
      </c>
      <c r="G439" s="4">
        <v>17</v>
      </c>
      <c r="H439" s="4">
        <v>5</v>
      </c>
      <c r="I439" s="4" t="s">
        <v>247</v>
      </c>
      <c r="J439" s="7">
        <v>0</v>
      </c>
      <c r="K439" s="4" t="s">
        <v>250</v>
      </c>
    </row>
    <row r="440" spans="1:11" ht="27.9" customHeight="1" x14ac:dyDescent="0.3">
      <c r="A440" s="3">
        <v>45563</v>
      </c>
      <c r="B440" s="4" t="s">
        <v>123</v>
      </c>
      <c r="C440" s="4" t="s">
        <v>141</v>
      </c>
      <c r="D440" s="4">
        <v>1</v>
      </c>
      <c r="E440" s="4">
        <v>0</v>
      </c>
      <c r="F440" s="4" t="s">
        <v>130</v>
      </c>
      <c r="G440" s="4">
        <v>14</v>
      </c>
      <c r="H440" s="4">
        <v>2</v>
      </c>
      <c r="I440" s="4" t="s">
        <v>247</v>
      </c>
      <c r="J440" s="7">
        <v>3</v>
      </c>
      <c r="K440" s="4" t="s">
        <v>249</v>
      </c>
    </row>
    <row r="441" spans="1:11" ht="27.9" customHeight="1" x14ac:dyDescent="0.3">
      <c r="A441" s="3">
        <v>45563</v>
      </c>
      <c r="B441" s="4" t="s">
        <v>129</v>
      </c>
      <c r="C441" s="4" t="s">
        <v>133</v>
      </c>
      <c r="D441" s="4">
        <v>2</v>
      </c>
      <c r="E441" s="4">
        <v>1</v>
      </c>
      <c r="F441" s="4" t="s">
        <v>130</v>
      </c>
      <c r="G441" s="4">
        <v>10</v>
      </c>
      <c r="H441" s="4">
        <v>6</v>
      </c>
      <c r="I441" s="4" t="s">
        <v>247</v>
      </c>
      <c r="J441" s="7">
        <v>3</v>
      </c>
      <c r="K441" s="4" t="s">
        <v>249</v>
      </c>
    </row>
    <row r="442" spans="1:11" ht="27.9" customHeight="1" x14ac:dyDescent="0.3">
      <c r="A442" s="3">
        <v>45564</v>
      </c>
      <c r="B442" s="4" t="s">
        <v>145</v>
      </c>
      <c r="C442" s="4" t="s">
        <v>128</v>
      </c>
      <c r="D442" s="4">
        <v>2</v>
      </c>
      <c r="E442" s="4">
        <v>2</v>
      </c>
      <c r="F442" s="4" t="s">
        <v>125</v>
      </c>
      <c r="G442" s="4">
        <v>7</v>
      </c>
      <c r="H442" s="4">
        <v>3</v>
      </c>
      <c r="I442" s="4" t="s">
        <v>247</v>
      </c>
      <c r="J442" s="7">
        <v>1</v>
      </c>
      <c r="K442" s="4" t="s">
        <v>125</v>
      </c>
    </row>
    <row r="443" spans="1:11" ht="27.9" customHeight="1" x14ac:dyDescent="0.3">
      <c r="A443" s="3">
        <v>45564</v>
      </c>
      <c r="B443" s="4" t="s">
        <v>156</v>
      </c>
      <c r="C443" s="4" t="s">
        <v>122</v>
      </c>
      <c r="D443" s="4">
        <v>3</v>
      </c>
      <c r="E443" s="4">
        <v>0</v>
      </c>
      <c r="F443" s="4" t="s">
        <v>130</v>
      </c>
      <c r="G443" s="4">
        <v>24</v>
      </c>
      <c r="H443" s="4">
        <v>10</v>
      </c>
      <c r="I443" s="4" t="s">
        <v>247</v>
      </c>
      <c r="J443" s="7">
        <v>3</v>
      </c>
      <c r="K443" s="4" t="s">
        <v>249</v>
      </c>
    </row>
    <row r="444" spans="1:11" ht="27.9" customHeight="1" x14ac:dyDescent="0.3">
      <c r="A444" s="3">
        <v>45565</v>
      </c>
      <c r="B444" s="4" t="s">
        <v>139</v>
      </c>
      <c r="C444" s="4" t="s">
        <v>142</v>
      </c>
      <c r="D444" s="4">
        <v>1</v>
      </c>
      <c r="E444" s="4">
        <v>3</v>
      </c>
      <c r="F444" s="4" t="s">
        <v>124</v>
      </c>
      <c r="G444" s="4">
        <v>9</v>
      </c>
      <c r="H444" s="4">
        <v>3</v>
      </c>
      <c r="I444" s="4" t="s">
        <v>247</v>
      </c>
      <c r="J444" s="7">
        <v>0</v>
      </c>
      <c r="K444" s="4" t="s">
        <v>250</v>
      </c>
    </row>
    <row r="445" spans="1:11" ht="27.9" customHeight="1" x14ac:dyDescent="0.3">
      <c r="A445" s="3">
        <v>45570</v>
      </c>
      <c r="B445" s="4" t="s">
        <v>129</v>
      </c>
      <c r="C445" s="4" t="s">
        <v>149</v>
      </c>
      <c r="D445" s="4">
        <v>1</v>
      </c>
      <c r="E445" s="4">
        <v>0</v>
      </c>
      <c r="F445" s="4" t="s">
        <v>130</v>
      </c>
      <c r="G445" s="4">
        <v>16</v>
      </c>
      <c r="H445" s="4">
        <v>4</v>
      </c>
      <c r="I445" s="4" t="s">
        <v>247</v>
      </c>
      <c r="J445" s="7">
        <v>3</v>
      </c>
      <c r="K445" s="4" t="s">
        <v>249</v>
      </c>
    </row>
    <row r="446" spans="1:11" ht="27.9" customHeight="1" x14ac:dyDescent="0.3">
      <c r="A446" s="3">
        <v>45570</v>
      </c>
      <c r="B446" s="4" t="s">
        <v>139</v>
      </c>
      <c r="C446" s="4" t="s">
        <v>132</v>
      </c>
      <c r="D446" s="4">
        <v>1</v>
      </c>
      <c r="E446" s="4">
        <v>3</v>
      </c>
      <c r="F446" s="4" t="s">
        <v>124</v>
      </c>
      <c r="G446" s="4">
        <v>8</v>
      </c>
      <c r="H446" s="4">
        <v>2</v>
      </c>
      <c r="I446" s="4" t="s">
        <v>247</v>
      </c>
      <c r="J446" s="7">
        <v>0</v>
      </c>
      <c r="K446" s="4" t="s">
        <v>250</v>
      </c>
    </row>
    <row r="447" spans="1:11" ht="27.9" customHeight="1" x14ac:dyDescent="0.3">
      <c r="A447" s="3">
        <v>45570</v>
      </c>
      <c r="B447" s="4" t="s">
        <v>133</v>
      </c>
      <c r="C447" s="4" t="s">
        <v>148</v>
      </c>
      <c r="D447" s="4">
        <v>3</v>
      </c>
      <c r="E447" s="4">
        <v>5</v>
      </c>
      <c r="F447" s="4" t="s">
        <v>124</v>
      </c>
      <c r="G447" s="4">
        <v>17</v>
      </c>
      <c r="H447" s="4">
        <v>6</v>
      </c>
      <c r="I447" s="4" t="s">
        <v>247</v>
      </c>
      <c r="J447" s="7">
        <v>0</v>
      </c>
      <c r="K447" s="4" t="s">
        <v>250</v>
      </c>
    </row>
    <row r="448" spans="1:11" ht="27.9" customHeight="1" x14ac:dyDescent="0.3">
      <c r="A448" s="3">
        <v>45570</v>
      </c>
      <c r="B448" s="4" t="s">
        <v>142</v>
      </c>
      <c r="C448" s="4" t="s">
        <v>155</v>
      </c>
      <c r="D448" s="4">
        <v>0</v>
      </c>
      <c r="E448" s="4">
        <v>1</v>
      </c>
      <c r="F448" s="4" t="s">
        <v>124</v>
      </c>
      <c r="G448" s="4">
        <v>17</v>
      </c>
      <c r="H448" s="4">
        <v>2</v>
      </c>
      <c r="I448" s="4" t="s">
        <v>247</v>
      </c>
      <c r="J448" s="7">
        <v>0</v>
      </c>
      <c r="K448" s="4" t="s">
        <v>250</v>
      </c>
    </row>
    <row r="449" spans="1:11" ht="27.9" customHeight="1" x14ac:dyDescent="0.3">
      <c r="A449" s="3">
        <v>45570</v>
      </c>
      <c r="B449" s="4" t="s">
        <v>123</v>
      </c>
      <c r="C449" s="4" t="s">
        <v>152</v>
      </c>
      <c r="D449" s="4">
        <v>2</v>
      </c>
      <c r="E449" s="4">
        <v>3</v>
      </c>
      <c r="F449" s="4" t="s">
        <v>124</v>
      </c>
      <c r="G449" s="4">
        <v>11</v>
      </c>
      <c r="H449" s="4">
        <v>4</v>
      </c>
      <c r="I449" s="4" t="s">
        <v>247</v>
      </c>
      <c r="J449" s="7">
        <v>0</v>
      </c>
      <c r="K449" s="4" t="s">
        <v>250</v>
      </c>
    </row>
    <row r="450" spans="1:11" ht="27.9" customHeight="1" x14ac:dyDescent="0.3">
      <c r="A450" s="3">
        <v>45570</v>
      </c>
      <c r="B450" s="4" t="s">
        <v>128</v>
      </c>
      <c r="C450" s="4" t="s">
        <v>144</v>
      </c>
      <c r="D450" s="4">
        <v>1</v>
      </c>
      <c r="E450" s="4">
        <v>4</v>
      </c>
      <c r="F450" s="4" t="s">
        <v>124</v>
      </c>
      <c r="G450" s="4">
        <v>9</v>
      </c>
      <c r="H450" s="4">
        <v>2</v>
      </c>
      <c r="I450" s="4" t="s">
        <v>247</v>
      </c>
      <c r="J450" s="7">
        <v>0</v>
      </c>
      <c r="K450" s="4" t="s">
        <v>250</v>
      </c>
    </row>
    <row r="451" spans="1:11" ht="27.9" customHeight="1" x14ac:dyDescent="0.3">
      <c r="A451" s="3">
        <v>45570</v>
      </c>
      <c r="B451" s="4" t="s">
        <v>138</v>
      </c>
      <c r="C451" s="4" t="s">
        <v>135</v>
      </c>
      <c r="D451" s="4">
        <v>0</v>
      </c>
      <c r="E451" s="4">
        <v>0</v>
      </c>
      <c r="F451" s="4" t="s">
        <v>125</v>
      </c>
      <c r="G451" s="4">
        <v>14</v>
      </c>
      <c r="H451" s="4">
        <v>3</v>
      </c>
      <c r="I451" s="4" t="s">
        <v>247</v>
      </c>
      <c r="J451" s="7">
        <v>1</v>
      </c>
      <c r="K451" s="4" t="s">
        <v>125</v>
      </c>
    </row>
    <row r="452" spans="1:11" ht="27.9" customHeight="1" x14ac:dyDescent="0.3">
      <c r="A452" s="3">
        <v>45571</v>
      </c>
      <c r="B452" s="4" t="s">
        <v>122</v>
      </c>
      <c r="C452" s="4" t="s">
        <v>145</v>
      </c>
      <c r="D452" s="4">
        <v>0</v>
      </c>
      <c r="E452" s="4">
        <v>0</v>
      </c>
      <c r="F452" s="4" t="s">
        <v>125</v>
      </c>
      <c r="G452" s="4">
        <v>10</v>
      </c>
      <c r="H452" s="4">
        <v>4</v>
      </c>
      <c r="I452" s="4" t="s">
        <v>247</v>
      </c>
      <c r="J452" s="7">
        <v>1</v>
      </c>
      <c r="K452" s="4" t="s">
        <v>125</v>
      </c>
    </row>
    <row r="453" spans="1:11" ht="27.9" customHeight="1" x14ac:dyDescent="0.3">
      <c r="A453" s="3">
        <v>45571</v>
      </c>
      <c r="B453" s="4" t="s">
        <v>141</v>
      </c>
      <c r="C453" s="4" t="s">
        <v>151</v>
      </c>
      <c r="D453" s="4">
        <v>1</v>
      </c>
      <c r="E453" s="4">
        <v>1</v>
      </c>
      <c r="F453" s="4" t="s">
        <v>125</v>
      </c>
      <c r="G453" s="4">
        <v>16</v>
      </c>
      <c r="H453" s="4">
        <v>9</v>
      </c>
      <c r="I453" s="4" t="s">
        <v>247</v>
      </c>
      <c r="J453" s="7">
        <v>1</v>
      </c>
      <c r="K453" s="4" t="s">
        <v>125</v>
      </c>
    </row>
    <row r="454" spans="1:11" ht="27.9" customHeight="1" x14ac:dyDescent="0.3">
      <c r="A454" s="3">
        <v>45571</v>
      </c>
      <c r="B454" s="4" t="s">
        <v>156</v>
      </c>
      <c r="C454" s="4" t="s">
        <v>136</v>
      </c>
      <c r="D454" s="4">
        <v>2</v>
      </c>
      <c r="E454" s="4">
        <v>3</v>
      </c>
      <c r="F454" s="4" t="s">
        <v>124</v>
      </c>
      <c r="G454" s="4">
        <v>13</v>
      </c>
      <c r="H454" s="4">
        <v>3</v>
      </c>
      <c r="I454" s="4" t="s">
        <v>247</v>
      </c>
      <c r="J454" s="7">
        <v>0</v>
      </c>
      <c r="K454" s="4" t="s">
        <v>250</v>
      </c>
    </row>
    <row r="455" spans="1:11" ht="27.9" customHeight="1" x14ac:dyDescent="0.3">
      <c r="A455" s="3">
        <v>45584</v>
      </c>
      <c r="B455" s="4" t="s">
        <v>144</v>
      </c>
      <c r="C455" s="4" t="s">
        <v>156</v>
      </c>
      <c r="D455" s="4">
        <v>1</v>
      </c>
      <c r="E455" s="4">
        <v>4</v>
      </c>
      <c r="F455" s="4" t="s">
        <v>124</v>
      </c>
      <c r="G455" s="4">
        <v>11</v>
      </c>
      <c r="H455" s="4">
        <v>4</v>
      </c>
      <c r="I455" s="4" t="s">
        <v>247</v>
      </c>
      <c r="J455" s="7">
        <v>0</v>
      </c>
      <c r="K455" s="4" t="s">
        <v>250</v>
      </c>
    </row>
    <row r="456" spans="1:11" ht="27.9" customHeight="1" x14ac:dyDescent="0.3">
      <c r="A456" s="3">
        <v>45584</v>
      </c>
      <c r="B456" s="4" t="s">
        <v>145</v>
      </c>
      <c r="C456" s="4" t="s">
        <v>123</v>
      </c>
      <c r="D456" s="4">
        <v>3</v>
      </c>
      <c r="E456" s="4">
        <v>1</v>
      </c>
      <c r="F456" s="4" t="s">
        <v>130</v>
      </c>
      <c r="G456" s="4">
        <v>14</v>
      </c>
      <c r="H456" s="4">
        <v>5</v>
      </c>
      <c r="I456" s="4" t="s">
        <v>247</v>
      </c>
      <c r="J456" s="7">
        <v>3</v>
      </c>
      <c r="K456" s="4" t="s">
        <v>249</v>
      </c>
    </row>
    <row r="457" spans="1:11" ht="27.9" customHeight="1" x14ac:dyDescent="0.3">
      <c r="A457" s="3">
        <v>45584</v>
      </c>
      <c r="B457" s="4" t="s">
        <v>135</v>
      </c>
      <c r="C457" s="4" t="s">
        <v>128</v>
      </c>
      <c r="D457" s="4">
        <v>2</v>
      </c>
      <c r="E457" s="4">
        <v>0</v>
      </c>
      <c r="F457" s="4" t="s">
        <v>130</v>
      </c>
      <c r="G457" s="4">
        <v>11</v>
      </c>
      <c r="H457" s="4">
        <v>8</v>
      </c>
      <c r="I457" s="4" t="s">
        <v>247</v>
      </c>
      <c r="J457" s="7">
        <v>3</v>
      </c>
      <c r="K457" s="4" t="s">
        <v>249</v>
      </c>
    </row>
    <row r="458" spans="1:11" ht="27.9" customHeight="1" x14ac:dyDescent="0.3">
      <c r="A458" s="3">
        <v>45584</v>
      </c>
      <c r="B458" s="4" t="s">
        <v>148</v>
      </c>
      <c r="C458" s="4" t="s">
        <v>122</v>
      </c>
      <c r="D458" s="4">
        <v>1</v>
      </c>
      <c r="E458" s="4">
        <v>2</v>
      </c>
      <c r="F458" s="4" t="s">
        <v>124</v>
      </c>
      <c r="G458" s="4">
        <v>8</v>
      </c>
      <c r="H458" s="4">
        <v>2</v>
      </c>
      <c r="I458" s="4" t="s">
        <v>247</v>
      </c>
      <c r="J458" s="7">
        <v>0</v>
      </c>
      <c r="K458" s="4" t="s">
        <v>250</v>
      </c>
    </row>
    <row r="459" spans="1:11" ht="27.9" customHeight="1" x14ac:dyDescent="0.3">
      <c r="A459" s="3">
        <v>45584</v>
      </c>
      <c r="B459" s="4" t="s">
        <v>136</v>
      </c>
      <c r="C459" s="4" t="s">
        <v>138</v>
      </c>
      <c r="D459" s="4">
        <v>1</v>
      </c>
      <c r="E459" s="4">
        <v>0</v>
      </c>
      <c r="F459" s="4" t="s">
        <v>130</v>
      </c>
      <c r="G459" s="4">
        <v>10</v>
      </c>
      <c r="H459" s="4">
        <v>5</v>
      </c>
      <c r="I459" s="4" t="s">
        <v>247</v>
      </c>
      <c r="J459" s="7">
        <v>3</v>
      </c>
      <c r="K459" s="4" t="s">
        <v>249</v>
      </c>
    </row>
    <row r="460" spans="1:11" ht="27.9" customHeight="1" x14ac:dyDescent="0.3">
      <c r="A460" s="3">
        <v>45584</v>
      </c>
      <c r="B460" s="4" t="s">
        <v>155</v>
      </c>
      <c r="C460" s="4" t="s">
        <v>139</v>
      </c>
      <c r="D460" s="4">
        <v>3</v>
      </c>
      <c r="E460" s="4">
        <v>2</v>
      </c>
      <c r="F460" s="4" t="s">
        <v>130</v>
      </c>
      <c r="G460" s="4">
        <v>18</v>
      </c>
      <c r="H460" s="4">
        <v>4</v>
      </c>
      <c r="I460" s="4" t="s">
        <v>247</v>
      </c>
      <c r="J460" s="7">
        <v>3</v>
      </c>
      <c r="K460" s="4" t="s">
        <v>249</v>
      </c>
    </row>
    <row r="461" spans="1:11" ht="27.9" customHeight="1" x14ac:dyDescent="0.3">
      <c r="A461" s="3">
        <v>45584</v>
      </c>
      <c r="B461" s="4" t="s">
        <v>132</v>
      </c>
      <c r="C461" s="4" t="s">
        <v>142</v>
      </c>
      <c r="D461" s="4">
        <v>0</v>
      </c>
      <c r="E461" s="4">
        <v>2</v>
      </c>
      <c r="F461" s="4" t="s">
        <v>124</v>
      </c>
      <c r="G461" s="4">
        <v>6</v>
      </c>
      <c r="H461" s="4">
        <v>1</v>
      </c>
      <c r="I461" s="4" t="s">
        <v>247</v>
      </c>
      <c r="J461" s="7">
        <v>0</v>
      </c>
      <c r="K461" s="4" t="s">
        <v>250</v>
      </c>
    </row>
    <row r="462" spans="1:11" ht="27.9" customHeight="1" x14ac:dyDescent="0.3">
      <c r="A462" s="3">
        <v>45585</v>
      </c>
      <c r="B462" s="4" t="s">
        <v>152</v>
      </c>
      <c r="C462" s="4" t="s">
        <v>133</v>
      </c>
      <c r="D462" s="4">
        <v>2</v>
      </c>
      <c r="E462" s="4">
        <v>1</v>
      </c>
      <c r="F462" s="4" t="s">
        <v>130</v>
      </c>
      <c r="G462" s="4">
        <v>22</v>
      </c>
      <c r="H462" s="4">
        <v>7</v>
      </c>
      <c r="I462" s="4" t="s">
        <v>247</v>
      </c>
      <c r="J462" s="7">
        <v>3</v>
      </c>
      <c r="K462" s="4" t="s">
        <v>249</v>
      </c>
    </row>
    <row r="463" spans="1:11" ht="27.9" customHeight="1" x14ac:dyDescent="0.3">
      <c r="A463" s="3">
        <v>45585</v>
      </c>
      <c r="B463" s="4" t="s">
        <v>151</v>
      </c>
      <c r="C463" s="4" t="s">
        <v>129</v>
      </c>
      <c r="D463" s="4">
        <v>1</v>
      </c>
      <c r="E463" s="4">
        <v>2</v>
      </c>
      <c r="F463" s="4" t="s">
        <v>124</v>
      </c>
      <c r="G463" s="4">
        <v>12</v>
      </c>
      <c r="H463" s="4">
        <v>2</v>
      </c>
      <c r="I463" s="4" t="s">
        <v>247</v>
      </c>
      <c r="J463" s="7">
        <v>0</v>
      </c>
      <c r="K463" s="4" t="s">
        <v>250</v>
      </c>
    </row>
    <row r="464" spans="1:11" ht="27.9" customHeight="1" x14ac:dyDescent="0.3">
      <c r="A464" s="3">
        <v>45586</v>
      </c>
      <c r="B464" s="4" t="s">
        <v>149</v>
      </c>
      <c r="C464" s="4" t="s">
        <v>141</v>
      </c>
      <c r="D464" s="4">
        <v>0</v>
      </c>
      <c r="E464" s="4">
        <v>1</v>
      </c>
      <c r="F464" s="4" t="s">
        <v>124</v>
      </c>
      <c r="G464" s="4">
        <v>20</v>
      </c>
      <c r="H464" s="4">
        <v>7</v>
      </c>
      <c r="I464" s="4" t="s">
        <v>247</v>
      </c>
      <c r="J464" s="7">
        <v>0</v>
      </c>
      <c r="K464" s="4" t="s">
        <v>250</v>
      </c>
    </row>
    <row r="465" spans="1:11" ht="27.9" customHeight="1" x14ac:dyDescent="0.3">
      <c r="A465" s="3">
        <v>45590</v>
      </c>
      <c r="B465" s="4" t="s">
        <v>141</v>
      </c>
      <c r="C465" s="4" t="s">
        <v>155</v>
      </c>
      <c r="D465" s="4">
        <v>3</v>
      </c>
      <c r="E465" s="4">
        <v>1</v>
      </c>
      <c r="F465" s="4" t="s">
        <v>130</v>
      </c>
      <c r="G465" s="4">
        <v>20</v>
      </c>
      <c r="H465" s="4">
        <v>5</v>
      </c>
      <c r="I465" s="4" t="s">
        <v>247</v>
      </c>
      <c r="J465" s="7">
        <v>3</v>
      </c>
      <c r="K465" s="4" t="s">
        <v>249</v>
      </c>
    </row>
    <row r="466" spans="1:11" ht="27.9" customHeight="1" x14ac:dyDescent="0.3">
      <c r="A466" s="3">
        <v>45591</v>
      </c>
      <c r="B466" s="4" t="s">
        <v>142</v>
      </c>
      <c r="C466" s="4" t="s">
        <v>145</v>
      </c>
      <c r="D466" s="4">
        <v>1</v>
      </c>
      <c r="E466" s="4">
        <v>1</v>
      </c>
      <c r="F466" s="4" t="s">
        <v>125</v>
      </c>
      <c r="G466" s="4">
        <v>11</v>
      </c>
      <c r="H466" s="4">
        <v>3</v>
      </c>
      <c r="I466" s="4" t="s">
        <v>247</v>
      </c>
      <c r="J466" s="7">
        <v>1</v>
      </c>
      <c r="K466" s="4" t="s">
        <v>125</v>
      </c>
    </row>
    <row r="467" spans="1:11" ht="27.9" customHeight="1" x14ac:dyDescent="0.3">
      <c r="A467" s="3">
        <v>45591</v>
      </c>
      <c r="B467" s="4" t="s">
        <v>128</v>
      </c>
      <c r="C467" s="4" t="s">
        <v>148</v>
      </c>
      <c r="D467" s="4">
        <v>3</v>
      </c>
      <c r="E467" s="4">
        <v>4</v>
      </c>
      <c r="F467" s="4" t="s">
        <v>124</v>
      </c>
      <c r="G467" s="4">
        <v>11</v>
      </c>
      <c r="H467" s="4">
        <v>5</v>
      </c>
      <c r="I467" s="4" t="s">
        <v>247</v>
      </c>
      <c r="J467" s="7">
        <v>0</v>
      </c>
      <c r="K467" s="4" t="s">
        <v>250</v>
      </c>
    </row>
    <row r="468" spans="1:11" ht="27.9" customHeight="1" x14ac:dyDescent="0.3">
      <c r="A468" s="3">
        <v>45591</v>
      </c>
      <c r="B468" s="4" t="s">
        <v>133</v>
      </c>
      <c r="C468" s="4" t="s">
        <v>136</v>
      </c>
      <c r="D468" s="4">
        <v>2</v>
      </c>
      <c r="E468" s="4">
        <v>2</v>
      </c>
      <c r="F468" s="4" t="s">
        <v>125</v>
      </c>
      <c r="G468" s="4">
        <v>14</v>
      </c>
      <c r="H468" s="4">
        <v>7</v>
      </c>
      <c r="I468" s="4" t="s">
        <v>247</v>
      </c>
      <c r="J468" s="7">
        <v>1</v>
      </c>
      <c r="K468" s="4" t="s">
        <v>125</v>
      </c>
    </row>
    <row r="469" spans="1:11" ht="27.9" customHeight="1" x14ac:dyDescent="0.3">
      <c r="A469" s="3">
        <v>45591</v>
      </c>
      <c r="B469" s="4" t="s">
        <v>139</v>
      </c>
      <c r="C469" s="4" t="s">
        <v>152</v>
      </c>
      <c r="D469" s="4">
        <v>0</v>
      </c>
      <c r="E469" s="4">
        <v>1</v>
      </c>
      <c r="F469" s="4" t="s">
        <v>124</v>
      </c>
      <c r="G469" s="4">
        <v>5</v>
      </c>
      <c r="H469" s="4">
        <v>2</v>
      </c>
      <c r="I469" s="4" t="s">
        <v>247</v>
      </c>
      <c r="J469" s="7">
        <v>0</v>
      </c>
      <c r="K469" s="4" t="s">
        <v>250</v>
      </c>
    </row>
    <row r="470" spans="1:11" ht="27.9" customHeight="1" x14ac:dyDescent="0.3">
      <c r="A470" s="3">
        <v>45591</v>
      </c>
      <c r="B470" s="4" t="s">
        <v>123</v>
      </c>
      <c r="C470" s="4" t="s">
        <v>135</v>
      </c>
      <c r="D470" s="4">
        <v>1</v>
      </c>
      <c r="E470" s="4">
        <v>1</v>
      </c>
      <c r="F470" s="4" t="s">
        <v>125</v>
      </c>
      <c r="G470" s="4">
        <v>14</v>
      </c>
      <c r="H470" s="4">
        <v>3</v>
      </c>
      <c r="I470" s="4" t="s">
        <v>247</v>
      </c>
      <c r="J470" s="7">
        <v>1</v>
      </c>
      <c r="K470" s="4" t="s">
        <v>125</v>
      </c>
    </row>
    <row r="471" spans="1:11" ht="27.9" customHeight="1" x14ac:dyDescent="0.3">
      <c r="A471" s="3">
        <v>45592</v>
      </c>
      <c r="B471" s="4" t="s">
        <v>138</v>
      </c>
      <c r="C471" s="4" t="s">
        <v>151</v>
      </c>
      <c r="D471" s="4">
        <v>1</v>
      </c>
      <c r="E471" s="4">
        <v>2</v>
      </c>
      <c r="F471" s="4" t="s">
        <v>124</v>
      </c>
      <c r="G471" s="4">
        <v>11</v>
      </c>
      <c r="H471" s="4">
        <v>3</v>
      </c>
      <c r="I471" s="4" t="s">
        <v>247</v>
      </c>
      <c r="J471" s="7">
        <v>0</v>
      </c>
      <c r="K471" s="4" t="s">
        <v>250</v>
      </c>
    </row>
    <row r="472" spans="1:11" ht="27.9" customHeight="1" x14ac:dyDescent="0.3">
      <c r="A472" s="3">
        <v>45592</v>
      </c>
      <c r="B472" s="4" t="s">
        <v>156</v>
      </c>
      <c r="C472" s="4" t="s">
        <v>149</v>
      </c>
      <c r="D472" s="4">
        <v>0</v>
      </c>
      <c r="E472" s="4">
        <v>1</v>
      </c>
      <c r="F472" s="4" t="s">
        <v>124</v>
      </c>
      <c r="G472" s="4">
        <v>11</v>
      </c>
      <c r="H472" s="4">
        <v>3</v>
      </c>
      <c r="I472" s="4" t="s">
        <v>247</v>
      </c>
      <c r="J472" s="7">
        <v>0</v>
      </c>
      <c r="K472" s="4" t="s">
        <v>250</v>
      </c>
    </row>
    <row r="473" spans="1:11" ht="27.9" customHeight="1" x14ac:dyDescent="0.3">
      <c r="A473" s="3">
        <v>45592</v>
      </c>
      <c r="B473" s="4" t="s">
        <v>122</v>
      </c>
      <c r="C473" s="4" t="s">
        <v>144</v>
      </c>
      <c r="D473" s="4">
        <v>1</v>
      </c>
      <c r="E473" s="4">
        <v>2</v>
      </c>
      <c r="F473" s="4" t="s">
        <v>124</v>
      </c>
      <c r="G473" s="4">
        <v>18</v>
      </c>
      <c r="H473" s="4">
        <v>5</v>
      </c>
      <c r="I473" s="4" t="s">
        <v>247</v>
      </c>
      <c r="J473" s="7">
        <v>0</v>
      </c>
      <c r="K473" s="4" t="s">
        <v>250</v>
      </c>
    </row>
    <row r="474" spans="1:11" ht="27.9" customHeight="1" x14ac:dyDescent="0.3">
      <c r="A474" s="3">
        <v>45592</v>
      </c>
      <c r="B474" s="4" t="s">
        <v>129</v>
      </c>
      <c r="C474" s="4" t="s">
        <v>132</v>
      </c>
      <c r="D474" s="4">
        <v>2</v>
      </c>
      <c r="E474" s="4">
        <v>2</v>
      </c>
      <c r="F474" s="4" t="s">
        <v>125</v>
      </c>
      <c r="G474" s="4">
        <v>9</v>
      </c>
      <c r="H474" s="4">
        <v>4</v>
      </c>
      <c r="I474" s="4" t="s">
        <v>247</v>
      </c>
      <c r="J474" s="7">
        <v>1</v>
      </c>
      <c r="K474" s="4" t="s">
        <v>125</v>
      </c>
    </row>
    <row r="475" spans="1:11" ht="27.9" customHeight="1" x14ac:dyDescent="0.3">
      <c r="A475" s="3">
        <v>45598</v>
      </c>
      <c r="B475" s="4" t="s">
        <v>132</v>
      </c>
      <c r="C475" s="4" t="s">
        <v>138</v>
      </c>
      <c r="D475" s="4">
        <v>0</v>
      </c>
      <c r="E475" s="4">
        <v>1</v>
      </c>
      <c r="F475" s="4" t="s">
        <v>124</v>
      </c>
      <c r="G475" s="4">
        <v>10</v>
      </c>
      <c r="H475" s="4">
        <v>1</v>
      </c>
      <c r="I475" s="4" t="s">
        <v>247</v>
      </c>
      <c r="J475" s="7">
        <v>0</v>
      </c>
      <c r="K475" s="4" t="s">
        <v>250</v>
      </c>
    </row>
    <row r="476" spans="1:11" ht="27.9" customHeight="1" x14ac:dyDescent="0.3">
      <c r="A476" s="3">
        <v>45598</v>
      </c>
      <c r="B476" s="4" t="s">
        <v>152</v>
      </c>
      <c r="C476" s="4" t="s">
        <v>142</v>
      </c>
      <c r="D476" s="4">
        <v>1</v>
      </c>
      <c r="E476" s="4">
        <v>2</v>
      </c>
      <c r="F476" s="4" t="s">
        <v>124</v>
      </c>
      <c r="G476" s="4">
        <v>18</v>
      </c>
      <c r="H476" s="4">
        <v>4</v>
      </c>
      <c r="I476" s="4" t="s">
        <v>247</v>
      </c>
      <c r="J476" s="7">
        <v>0</v>
      </c>
      <c r="K476" s="4" t="s">
        <v>250</v>
      </c>
    </row>
    <row r="477" spans="1:11" ht="27.9" customHeight="1" x14ac:dyDescent="0.3">
      <c r="A477" s="3">
        <v>45598</v>
      </c>
      <c r="B477" s="4" t="s">
        <v>155</v>
      </c>
      <c r="C477" s="4" t="s">
        <v>128</v>
      </c>
      <c r="D477" s="4">
        <v>1</v>
      </c>
      <c r="E477" s="4">
        <v>1</v>
      </c>
      <c r="F477" s="4" t="s">
        <v>125</v>
      </c>
      <c r="G477" s="4">
        <v>20</v>
      </c>
      <c r="H477" s="4">
        <v>6</v>
      </c>
      <c r="I477" s="4" t="s">
        <v>247</v>
      </c>
      <c r="J477" s="7">
        <v>1</v>
      </c>
      <c r="K477" s="4" t="s">
        <v>125</v>
      </c>
    </row>
    <row r="478" spans="1:11" ht="27.9" customHeight="1" x14ac:dyDescent="0.3">
      <c r="A478" s="3">
        <v>45598</v>
      </c>
      <c r="B478" s="4" t="s">
        <v>136</v>
      </c>
      <c r="C478" s="4" t="s">
        <v>129</v>
      </c>
      <c r="D478" s="4">
        <v>1</v>
      </c>
      <c r="E478" s="4">
        <v>2</v>
      </c>
      <c r="F478" s="4" t="s">
        <v>124</v>
      </c>
      <c r="G478" s="4">
        <v>13</v>
      </c>
      <c r="H478" s="4">
        <v>5</v>
      </c>
      <c r="I478" s="4" t="s">
        <v>247</v>
      </c>
      <c r="J478" s="7">
        <v>0</v>
      </c>
      <c r="K478" s="4" t="s">
        <v>250</v>
      </c>
    </row>
    <row r="479" spans="1:11" ht="27.9" customHeight="1" x14ac:dyDescent="0.3">
      <c r="A479" s="3">
        <v>45598</v>
      </c>
      <c r="B479" s="4" t="s">
        <v>144</v>
      </c>
      <c r="C479" s="4" t="s">
        <v>141</v>
      </c>
      <c r="D479" s="4">
        <v>0</v>
      </c>
      <c r="E479" s="4">
        <v>3</v>
      </c>
      <c r="F479" s="4" t="s">
        <v>124</v>
      </c>
      <c r="G479" s="4">
        <v>4</v>
      </c>
      <c r="H479" s="4">
        <v>2</v>
      </c>
      <c r="I479" s="4" t="s">
        <v>247</v>
      </c>
      <c r="J479" s="7">
        <v>0</v>
      </c>
      <c r="K479" s="4" t="s">
        <v>250</v>
      </c>
    </row>
    <row r="480" spans="1:11" ht="27.9" customHeight="1" x14ac:dyDescent="0.3">
      <c r="A480" s="3">
        <v>45598</v>
      </c>
      <c r="B480" s="4" t="s">
        <v>135</v>
      </c>
      <c r="C480" s="4" t="s">
        <v>139</v>
      </c>
      <c r="D480" s="4">
        <v>0</v>
      </c>
      <c r="E480" s="4">
        <v>1</v>
      </c>
      <c r="F480" s="4" t="s">
        <v>124</v>
      </c>
      <c r="G480" s="4">
        <v>16</v>
      </c>
      <c r="H480" s="4">
        <v>5</v>
      </c>
      <c r="I480" s="4" t="s">
        <v>247</v>
      </c>
      <c r="J480" s="7">
        <v>0</v>
      </c>
      <c r="K480" s="4" t="s">
        <v>250</v>
      </c>
    </row>
    <row r="481" spans="1:11" ht="27.9" customHeight="1" x14ac:dyDescent="0.3">
      <c r="A481" s="3">
        <v>45598</v>
      </c>
      <c r="B481" s="4" t="s">
        <v>149</v>
      </c>
      <c r="C481" s="4" t="s">
        <v>133</v>
      </c>
      <c r="D481" s="4">
        <v>2</v>
      </c>
      <c r="E481" s="4">
        <v>2</v>
      </c>
      <c r="F481" s="4" t="s">
        <v>125</v>
      </c>
      <c r="G481" s="4">
        <v>19</v>
      </c>
      <c r="H481" s="4">
        <v>7</v>
      </c>
      <c r="I481" s="4" t="s">
        <v>247</v>
      </c>
      <c r="J481" s="7">
        <v>1</v>
      </c>
      <c r="K481" s="4" t="s">
        <v>125</v>
      </c>
    </row>
    <row r="482" spans="1:11" ht="27.9" customHeight="1" x14ac:dyDescent="0.3">
      <c r="A482" s="3">
        <v>45599</v>
      </c>
      <c r="B482" s="4" t="s">
        <v>145</v>
      </c>
      <c r="C482" s="4" t="s">
        <v>156</v>
      </c>
      <c r="D482" s="4">
        <v>1</v>
      </c>
      <c r="E482" s="4">
        <v>4</v>
      </c>
      <c r="F482" s="4" t="s">
        <v>124</v>
      </c>
      <c r="G482" s="4">
        <v>12</v>
      </c>
      <c r="H482" s="4">
        <v>1</v>
      </c>
      <c r="I482" s="4" t="s">
        <v>247</v>
      </c>
      <c r="J482" s="7">
        <v>0</v>
      </c>
      <c r="K482" s="4" t="s">
        <v>250</v>
      </c>
    </row>
    <row r="483" spans="1:11" ht="27.9" customHeight="1" x14ac:dyDescent="0.3">
      <c r="A483" s="3">
        <v>45599</v>
      </c>
      <c r="B483" s="4" t="s">
        <v>151</v>
      </c>
      <c r="C483" s="4" t="s">
        <v>122</v>
      </c>
      <c r="D483" s="4">
        <v>1</v>
      </c>
      <c r="E483" s="4">
        <v>1</v>
      </c>
      <c r="F483" s="4" t="s">
        <v>125</v>
      </c>
      <c r="G483" s="4">
        <v>12</v>
      </c>
      <c r="H483" s="4">
        <v>3</v>
      </c>
      <c r="I483" s="4" t="s">
        <v>247</v>
      </c>
      <c r="J483" s="7">
        <v>1</v>
      </c>
      <c r="K483" s="4" t="s">
        <v>125</v>
      </c>
    </row>
    <row r="484" spans="1:11" ht="27.9" customHeight="1" x14ac:dyDescent="0.3">
      <c r="A484" s="3">
        <v>45600</v>
      </c>
      <c r="B484" s="4" t="s">
        <v>148</v>
      </c>
      <c r="C484" s="4" t="s">
        <v>123</v>
      </c>
      <c r="D484" s="4">
        <v>1</v>
      </c>
      <c r="E484" s="4">
        <v>2</v>
      </c>
      <c r="F484" s="4" t="s">
        <v>124</v>
      </c>
      <c r="G484" s="4">
        <v>5</v>
      </c>
      <c r="H484" s="4">
        <v>2</v>
      </c>
      <c r="I484" s="4" t="s">
        <v>247</v>
      </c>
      <c r="J484" s="7">
        <v>0</v>
      </c>
      <c r="K484" s="4" t="s">
        <v>250</v>
      </c>
    </row>
    <row r="485" spans="1:11" ht="27.9" customHeight="1" x14ac:dyDescent="0.3">
      <c r="A485" s="3">
        <v>45605</v>
      </c>
      <c r="B485" s="4" t="s">
        <v>142</v>
      </c>
      <c r="C485" s="4" t="s">
        <v>148</v>
      </c>
      <c r="D485" s="4">
        <v>2</v>
      </c>
      <c r="E485" s="4">
        <v>3</v>
      </c>
      <c r="F485" s="4" t="s">
        <v>124</v>
      </c>
      <c r="G485" s="4">
        <v>15</v>
      </c>
      <c r="H485" s="4">
        <v>3</v>
      </c>
      <c r="I485" s="4" t="s">
        <v>247</v>
      </c>
      <c r="J485" s="7">
        <v>0</v>
      </c>
      <c r="K485" s="4" t="s">
        <v>250</v>
      </c>
    </row>
    <row r="486" spans="1:11" ht="27.9" customHeight="1" x14ac:dyDescent="0.3">
      <c r="A486" s="3">
        <v>45605</v>
      </c>
      <c r="B486" s="4" t="s">
        <v>123</v>
      </c>
      <c r="C486" s="4" t="s">
        <v>149</v>
      </c>
      <c r="D486" s="4">
        <v>2</v>
      </c>
      <c r="E486" s="4">
        <v>0</v>
      </c>
      <c r="F486" s="4" t="s">
        <v>130</v>
      </c>
      <c r="G486" s="4">
        <v>17</v>
      </c>
      <c r="H486" s="4">
        <v>7</v>
      </c>
      <c r="I486" s="4" t="s">
        <v>247</v>
      </c>
      <c r="J486" s="7">
        <v>3</v>
      </c>
      <c r="K486" s="4" t="s">
        <v>249</v>
      </c>
    </row>
    <row r="487" spans="1:11" ht="27.9" customHeight="1" x14ac:dyDescent="0.3">
      <c r="A487" s="3">
        <v>45605</v>
      </c>
      <c r="B487" s="4" t="s">
        <v>135</v>
      </c>
      <c r="C487" s="4" t="s">
        <v>144</v>
      </c>
      <c r="D487" s="4">
        <v>0</v>
      </c>
      <c r="E487" s="4">
        <v>0</v>
      </c>
      <c r="F487" s="4" t="s">
        <v>125</v>
      </c>
      <c r="G487" s="4">
        <v>18</v>
      </c>
      <c r="H487" s="4">
        <v>4</v>
      </c>
      <c r="I487" s="4" t="s">
        <v>247</v>
      </c>
      <c r="J487" s="7">
        <v>1</v>
      </c>
      <c r="K487" s="4" t="s">
        <v>125</v>
      </c>
    </row>
    <row r="488" spans="1:11" ht="27.9" customHeight="1" x14ac:dyDescent="0.3">
      <c r="A488" s="3">
        <v>45605</v>
      </c>
      <c r="B488" s="4" t="s">
        <v>139</v>
      </c>
      <c r="C488" s="4" t="s">
        <v>133</v>
      </c>
      <c r="D488" s="4">
        <v>0</v>
      </c>
      <c r="E488" s="4">
        <v>2</v>
      </c>
      <c r="F488" s="4" t="s">
        <v>124</v>
      </c>
      <c r="G488" s="4">
        <v>9</v>
      </c>
      <c r="H488" s="4">
        <v>0</v>
      </c>
      <c r="I488" s="4" t="s">
        <v>247</v>
      </c>
      <c r="J488" s="7">
        <v>0</v>
      </c>
      <c r="K488" s="4" t="s">
        <v>250</v>
      </c>
    </row>
    <row r="489" spans="1:11" ht="27.9" customHeight="1" x14ac:dyDescent="0.3">
      <c r="A489" s="3">
        <v>45605</v>
      </c>
      <c r="B489" s="4" t="s">
        <v>152</v>
      </c>
      <c r="C489" s="4" t="s">
        <v>136</v>
      </c>
      <c r="D489" s="4">
        <v>1</v>
      </c>
      <c r="E489" s="4">
        <v>2</v>
      </c>
      <c r="F489" s="4" t="s">
        <v>124</v>
      </c>
      <c r="G489" s="4">
        <v>15</v>
      </c>
      <c r="H489" s="4">
        <v>6</v>
      </c>
      <c r="I489" s="4" t="s">
        <v>247</v>
      </c>
      <c r="J489" s="7">
        <v>0</v>
      </c>
      <c r="K489" s="4" t="s">
        <v>250</v>
      </c>
    </row>
    <row r="490" spans="1:11" ht="27.9" customHeight="1" x14ac:dyDescent="0.3">
      <c r="A490" s="3">
        <v>45605</v>
      </c>
      <c r="B490" s="4" t="s">
        <v>145</v>
      </c>
      <c r="C490" s="4" t="s">
        <v>129</v>
      </c>
      <c r="D490" s="4">
        <v>0</v>
      </c>
      <c r="E490" s="4">
        <v>2</v>
      </c>
      <c r="F490" s="4" t="s">
        <v>124</v>
      </c>
      <c r="G490" s="4">
        <v>12</v>
      </c>
      <c r="H490" s="4">
        <v>2</v>
      </c>
      <c r="I490" s="4" t="s">
        <v>247</v>
      </c>
      <c r="J490" s="7">
        <v>0</v>
      </c>
      <c r="K490" s="4" t="s">
        <v>250</v>
      </c>
    </row>
    <row r="491" spans="1:11" ht="27.9" customHeight="1" x14ac:dyDescent="0.3">
      <c r="A491" s="3">
        <v>45606</v>
      </c>
      <c r="B491" s="4" t="s">
        <v>155</v>
      </c>
      <c r="C491" s="4" t="s">
        <v>122</v>
      </c>
      <c r="D491" s="4">
        <v>0</v>
      </c>
      <c r="E491" s="4">
        <v>3</v>
      </c>
      <c r="F491" s="4" t="s">
        <v>124</v>
      </c>
      <c r="G491" s="4">
        <v>6</v>
      </c>
      <c r="H491" s="4">
        <v>5</v>
      </c>
      <c r="I491" s="4" t="s">
        <v>247</v>
      </c>
      <c r="J491" s="7">
        <v>0</v>
      </c>
      <c r="K491" s="4" t="s">
        <v>250</v>
      </c>
    </row>
    <row r="492" spans="1:11" ht="27.9" customHeight="1" x14ac:dyDescent="0.3">
      <c r="A492" s="3">
        <v>45606</v>
      </c>
      <c r="B492" s="4" t="s">
        <v>138</v>
      </c>
      <c r="C492" s="4" t="s">
        <v>141</v>
      </c>
      <c r="D492" s="4">
        <v>3</v>
      </c>
      <c r="E492" s="4">
        <v>1</v>
      </c>
      <c r="F492" s="4" t="s">
        <v>130</v>
      </c>
      <c r="G492" s="4">
        <v>17</v>
      </c>
      <c r="H492" s="4">
        <v>6</v>
      </c>
      <c r="I492" s="4" t="s">
        <v>247</v>
      </c>
      <c r="J492" s="7">
        <v>3</v>
      </c>
      <c r="K492" s="4" t="s">
        <v>249</v>
      </c>
    </row>
    <row r="493" spans="1:11" ht="27.9" customHeight="1" x14ac:dyDescent="0.3">
      <c r="A493" s="3">
        <v>45606</v>
      </c>
      <c r="B493" s="4" t="s">
        <v>128</v>
      </c>
      <c r="C493" s="4" t="s">
        <v>156</v>
      </c>
      <c r="D493" s="4">
        <v>2</v>
      </c>
      <c r="E493" s="4">
        <v>1</v>
      </c>
      <c r="F493" s="4" t="s">
        <v>130</v>
      </c>
      <c r="G493" s="4">
        <v>8</v>
      </c>
      <c r="H493" s="4">
        <v>3</v>
      </c>
      <c r="I493" s="4" t="s">
        <v>247</v>
      </c>
      <c r="J493" s="7">
        <v>3</v>
      </c>
      <c r="K493" s="4" t="s">
        <v>249</v>
      </c>
    </row>
    <row r="494" spans="1:11" ht="27.9" customHeight="1" x14ac:dyDescent="0.3">
      <c r="A494" s="3">
        <v>45606</v>
      </c>
      <c r="B494" s="4" t="s">
        <v>132</v>
      </c>
      <c r="C494" s="4" t="s">
        <v>151</v>
      </c>
      <c r="D494" s="4">
        <v>1</v>
      </c>
      <c r="E494" s="4">
        <v>1</v>
      </c>
      <c r="F494" s="4" t="s">
        <v>125</v>
      </c>
      <c r="G494" s="4">
        <v>13</v>
      </c>
      <c r="H494" s="4">
        <v>3</v>
      </c>
      <c r="I494" s="4" t="s">
        <v>247</v>
      </c>
      <c r="J494" s="7">
        <v>1</v>
      </c>
      <c r="K494" s="4" t="s">
        <v>125</v>
      </c>
    </row>
    <row r="495" spans="1:11" ht="27.9" customHeight="1" x14ac:dyDescent="0.3">
      <c r="A495" s="3">
        <v>45619</v>
      </c>
      <c r="B495" s="4" t="s">
        <v>151</v>
      </c>
      <c r="C495" s="4" t="s">
        <v>155</v>
      </c>
      <c r="D495" s="4">
        <v>2</v>
      </c>
      <c r="E495" s="4">
        <v>1</v>
      </c>
      <c r="F495" s="4" t="s">
        <v>130</v>
      </c>
      <c r="G495" s="4">
        <v>16</v>
      </c>
      <c r="H495" s="4">
        <v>7</v>
      </c>
      <c r="I495" s="4" t="s">
        <v>247</v>
      </c>
      <c r="J495" s="7">
        <v>3</v>
      </c>
      <c r="K495" s="4" t="s">
        <v>249</v>
      </c>
    </row>
    <row r="496" spans="1:11" ht="27.9" customHeight="1" x14ac:dyDescent="0.3">
      <c r="A496" s="3">
        <v>45619</v>
      </c>
      <c r="B496" s="4" t="s">
        <v>141</v>
      </c>
      <c r="C496" s="4" t="s">
        <v>132</v>
      </c>
      <c r="D496" s="4">
        <v>0</v>
      </c>
      <c r="E496" s="4">
        <v>3</v>
      </c>
      <c r="F496" s="4" t="s">
        <v>124</v>
      </c>
      <c r="G496" s="4">
        <v>7</v>
      </c>
      <c r="H496" s="4">
        <v>0</v>
      </c>
      <c r="I496" s="4" t="s">
        <v>247</v>
      </c>
      <c r="J496" s="7">
        <v>0</v>
      </c>
      <c r="K496" s="4" t="s">
        <v>250</v>
      </c>
    </row>
    <row r="497" spans="1:11" ht="27.9" customHeight="1" x14ac:dyDescent="0.3">
      <c r="A497" s="3">
        <v>45619</v>
      </c>
      <c r="B497" s="4" t="s">
        <v>149</v>
      </c>
      <c r="C497" s="4" t="s">
        <v>145</v>
      </c>
      <c r="D497" s="4">
        <v>2</v>
      </c>
      <c r="E497" s="4">
        <v>2</v>
      </c>
      <c r="F497" s="4" t="s">
        <v>125</v>
      </c>
      <c r="G497" s="4">
        <v>13</v>
      </c>
      <c r="H497" s="4">
        <v>6</v>
      </c>
      <c r="I497" s="4" t="s">
        <v>247</v>
      </c>
      <c r="J497" s="7">
        <v>1</v>
      </c>
      <c r="K497" s="4" t="s">
        <v>125</v>
      </c>
    </row>
    <row r="498" spans="1:11" ht="27.9" customHeight="1" x14ac:dyDescent="0.3">
      <c r="A498" s="3">
        <v>45619</v>
      </c>
      <c r="B498" s="4" t="s">
        <v>136</v>
      </c>
      <c r="C498" s="4" t="s">
        <v>142</v>
      </c>
      <c r="D498" s="4">
        <v>2</v>
      </c>
      <c r="E498" s="4">
        <v>1</v>
      </c>
      <c r="F498" s="4" t="s">
        <v>130</v>
      </c>
      <c r="G498" s="4">
        <v>6</v>
      </c>
      <c r="H498" s="4">
        <v>4</v>
      </c>
      <c r="I498" s="4" t="s">
        <v>247</v>
      </c>
      <c r="J498" s="7">
        <v>3</v>
      </c>
      <c r="K498" s="4" t="s">
        <v>249</v>
      </c>
    </row>
    <row r="499" spans="1:11" ht="27.9" customHeight="1" x14ac:dyDescent="0.3">
      <c r="A499" s="3">
        <v>45619</v>
      </c>
      <c r="B499" s="4" t="s">
        <v>148</v>
      </c>
      <c r="C499" s="4" t="s">
        <v>135</v>
      </c>
      <c r="D499" s="4">
        <v>0</v>
      </c>
      <c r="E499" s="4">
        <v>0</v>
      </c>
      <c r="F499" s="4" t="s">
        <v>125</v>
      </c>
      <c r="G499" s="4">
        <v>9</v>
      </c>
      <c r="H499" s="4">
        <v>2</v>
      </c>
      <c r="I499" s="4" t="s">
        <v>247</v>
      </c>
      <c r="J499" s="7">
        <v>1</v>
      </c>
      <c r="K499" s="4" t="s">
        <v>125</v>
      </c>
    </row>
    <row r="500" spans="1:11" ht="27.9" customHeight="1" x14ac:dyDescent="0.3">
      <c r="A500" s="3">
        <v>45619</v>
      </c>
      <c r="B500" s="4" t="s">
        <v>133</v>
      </c>
      <c r="C500" s="4" t="s">
        <v>123</v>
      </c>
      <c r="D500" s="4">
        <v>4</v>
      </c>
      <c r="E500" s="4">
        <v>1</v>
      </c>
      <c r="F500" s="4" t="s">
        <v>130</v>
      </c>
      <c r="G500" s="4">
        <v>10</v>
      </c>
      <c r="H500" s="4">
        <v>5</v>
      </c>
      <c r="I500" s="4" t="s">
        <v>247</v>
      </c>
      <c r="J500" s="7">
        <v>3</v>
      </c>
      <c r="K500" s="4" t="s">
        <v>249</v>
      </c>
    </row>
    <row r="501" spans="1:11" ht="27.9" customHeight="1" x14ac:dyDescent="0.3">
      <c r="A501" s="3">
        <v>45619</v>
      </c>
      <c r="B501" s="4" t="s">
        <v>156</v>
      </c>
      <c r="C501" s="4" t="s">
        <v>152</v>
      </c>
      <c r="D501" s="4">
        <v>4</v>
      </c>
      <c r="E501" s="4">
        <v>0</v>
      </c>
      <c r="F501" s="4" t="s">
        <v>130</v>
      </c>
      <c r="G501" s="4">
        <v>9</v>
      </c>
      <c r="H501" s="4">
        <v>7</v>
      </c>
      <c r="I501" s="4" t="s">
        <v>247</v>
      </c>
      <c r="J501" s="7">
        <v>3</v>
      </c>
      <c r="K501" s="4" t="s">
        <v>249</v>
      </c>
    </row>
    <row r="502" spans="1:11" ht="27.9" customHeight="1" x14ac:dyDescent="0.3">
      <c r="A502" s="3">
        <v>45620</v>
      </c>
      <c r="B502" s="4" t="s">
        <v>129</v>
      </c>
      <c r="C502" s="4" t="s">
        <v>139</v>
      </c>
      <c r="D502" s="4">
        <v>3</v>
      </c>
      <c r="E502" s="4">
        <v>2</v>
      </c>
      <c r="F502" s="4" t="s">
        <v>130</v>
      </c>
      <c r="G502" s="4">
        <v>27</v>
      </c>
      <c r="H502" s="4">
        <v>11</v>
      </c>
      <c r="I502" s="4" t="s">
        <v>247</v>
      </c>
      <c r="J502" s="7">
        <v>3</v>
      </c>
      <c r="K502" s="4" t="s">
        <v>249</v>
      </c>
    </row>
    <row r="503" spans="1:11" ht="27.9" customHeight="1" x14ac:dyDescent="0.3">
      <c r="A503" s="3">
        <v>45620</v>
      </c>
      <c r="B503" s="4" t="s">
        <v>122</v>
      </c>
      <c r="C503" s="4" t="s">
        <v>128</v>
      </c>
      <c r="D503" s="4">
        <v>1</v>
      </c>
      <c r="E503" s="4">
        <v>1</v>
      </c>
      <c r="F503" s="4" t="s">
        <v>125</v>
      </c>
      <c r="G503" s="4">
        <v>11</v>
      </c>
      <c r="H503" s="4">
        <v>4</v>
      </c>
      <c r="I503" s="4" t="s">
        <v>247</v>
      </c>
      <c r="J503" s="7">
        <v>1</v>
      </c>
      <c r="K503" s="4" t="s">
        <v>125</v>
      </c>
    </row>
    <row r="504" spans="1:11" ht="27.9" customHeight="1" x14ac:dyDescent="0.3">
      <c r="A504" s="3">
        <v>45621</v>
      </c>
      <c r="B504" s="4" t="s">
        <v>144</v>
      </c>
      <c r="C504" s="4" t="s">
        <v>138</v>
      </c>
      <c r="D504" s="4">
        <v>2</v>
      </c>
      <c r="E504" s="4">
        <v>0</v>
      </c>
      <c r="F504" s="4" t="s">
        <v>130</v>
      </c>
      <c r="G504" s="4">
        <v>15</v>
      </c>
      <c r="H504" s="4">
        <v>6</v>
      </c>
      <c r="I504" s="4" t="s">
        <v>247</v>
      </c>
      <c r="J504" s="7">
        <v>3</v>
      </c>
      <c r="K504" s="4" t="s">
        <v>249</v>
      </c>
    </row>
    <row r="505" spans="1:11" ht="27.9" customHeight="1" x14ac:dyDescent="0.3">
      <c r="A505" s="3">
        <v>45625</v>
      </c>
      <c r="B505" s="4" t="s">
        <v>139</v>
      </c>
      <c r="C505" s="4" t="s">
        <v>136</v>
      </c>
      <c r="D505" s="4">
        <v>1</v>
      </c>
      <c r="E505" s="4">
        <v>1</v>
      </c>
      <c r="F505" s="4" t="s">
        <v>125</v>
      </c>
      <c r="G505" s="4">
        <v>10</v>
      </c>
      <c r="H505" s="4">
        <v>2</v>
      </c>
      <c r="I505" s="4" t="s">
        <v>247</v>
      </c>
      <c r="J505" s="7">
        <v>1</v>
      </c>
      <c r="K505" s="4" t="s">
        <v>125</v>
      </c>
    </row>
    <row r="506" spans="1:11" ht="27.9" customHeight="1" x14ac:dyDescent="0.3">
      <c r="A506" s="3">
        <v>45626</v>
      </c>
      <c r="B506" s="4" t="s">
        <v>155</v>
      </c>
      <c r="C506" s="4" t="s">
        <v>148</v>
      </c>
      <c r="D506" s="4">
        <v>1</v>
      </c>
      <c r="E506" s="4">
        <v>4</v>
      </c>
      <c r="F506" s="4" t="s">
        <v>124</v>
      </c>
      <c r="G506" s="4">
        <v>7</v>
      </c>
      <c r="H506" s="4">
        <v>3</v>
      </c>
      <c r="I506" s="4" t="s">
        <v>247</v>
      </c>
      <c r="J506" s="7">
        <v>0</v>
      </c>
      <c r="K506" s="4" t="s">
        <v>250</v>
      </c>
    </row>
    <row r="507" spans="1:11" ht="27.9" customHeight="1" x14ac:dyDescent="0.3">
      <c r="A507" s="3">
        <v>45626</v>
      </c>
      <c r="B507" s="4" t="s">
        <v>138</v>
      </c>
      <c r="C507" s="4" t="s">
        <v>149</v>
      </c>
      <c r="D507" s="4">
        <v>1</v>
      </c>
      <c r="E507" s="4">
        <v>1</v>
      </c>
      <c r="F507" s="4" t="s">
        <v>125</v>
      </c>
      <c r="G507" s="4">
        <v>1</v>
      </c>
      <c r="H507" s="4">
        <v>0</v>
      </c>
      <c r="I507" s="4" t="s">
        <v>247</v>
      </c>
      <c r="J507" s="7">
        <v>1</v>
      </c>
      <c r="K507" s="4" t="s">
        <v>125</v>
      </c>
    </row>
    <row r="508" spans="1:11" ht="27.9" customHeight="1" x14ac:dyDescent="0.3">
      <c r="A508" s="3">
        <v>45626</v>
      </c>
      <c r="B508" s="4" t="s">
        <v>128</v>
      </c>
      <c r="C508" s="4" t="s">
        <v>141</v>
      </c>
      <c r="D508" s="4">
        <v>0</v>
      </c>
      <c r="E508" s="4">
        <v>1</v>
      </c>
      <c r="F508" s="4" t="s">
        <v>124</v>
      </c>
      <c r="G508" s="4">
        <v>7</v>
      </c>
      <c r="H508" s="4">
        <v>3</v>
      </c>
      <c r="I508" s="4" t="s">
        <v>247</v>
      </c>
      <c r="J508" s="7">
        <v>0</v>
      </c>
      <c r="K508" s="4" t="s">
        <v>250</v>
      </c>
    </row>
    <row r="509" spans="1:11" ht="27.9" customHeight="1" x14ac:dyDescent="0.3">
      <c r="A509" s="3">
        <v>45626</v>
      </c>
      <c r="B509" s="4" t="s">
        <v>142</v>
      </c>
      <c r="C509" s="4" t="s">
        <v>133</v>
      </c>
      <c r="D509" s="4">
        <v>4</v>
      </c>
      <c r="E509" s="4">
        <v>2</v>
      </c>
      <c r="F509" s="4" t="s">
        <v>130</v>
      </c>
      <c r="G509" s="4">
        <v>12</v>
      </c>
      <c r="H509" s="4">
        <v>8</v>
      </c>
      <c r="I509" s="4" t="s">
        <v>247</v>
      </c>
      <c r="J509" s="7">
        <v>3</v>
      </c>
      <c r="K509" s="4" t="s">
        <v>249</v>
      </c>
    </row>
    <row r="510" spans="1:11" ht="27.9" customHeight="1" x14ac:dyDescent="0.3">
      <c r="A510" s="3">
        <v>45626</v>
      </c>
      <c r="B510" s="4" t="s">
        <v>132</v>
      </c>
      <c r="C510" s="4" t="s">
        <v>144</v>
      </c>
      <c r="D510" s="4">
        <v>5</v>
      </c>
      <c r="E510" s="4">
        <v>2</v>
      </c>
      <c r="F510" s="4" t="s">
        <v>130</v>
      </c>
      <c r="G510" s="4">
        <v>16</v>
      </c>
      <c r="H510" s="4">
        <v>7</v>
      </c>
      <c r="I510" s="4" t="s">
        <v>247</v>
      </c>
      <c r="J510" s="7">
        <v>3</v>
      </c>
      <c r="K510" s="4" t="s">
        <v>249</v>
      </c>
    </row>
    <row r="511" spans="1:11" ht="27.9" customHeight="1" x14ac:dyDescent="0.3">
      <c r="A511" s="3">
        <v>45627</v>
      </c>
      <c r="B511" s="4" t="s">
        <v>145</v>
      </c>
      <c r="C511" s="4" t="s">
        <v>151</v>
      </c>
      <c r="D511" s="4">
        <v>0</v>
      </c>
      <c r="E511" s="4">
        <v>3</v>
      </c>
      <c r="F511" s="4" t="s">
        <v>124</v>
      </c>
      <c r="G511" s="4">
        <v>10</v>
      </c>
      <c r="H511" s="4">
        <v>4</v>
      </c>
      <c r="I511" s="4" t="s">
        <v>247</v>
      </c>
      <c r="J511" s="7">
        <v>0</v>
      </c>
      <c r="K511" s="4" t="s">
        <v>250</v>
      </c>
    </row>
    <row r="512" spans="1:11" ht="27.9" customHeight="1" x14ac:dyDescent="0.3">
      <c r="A512" s="3">
        <v>45627</v>
      </c>
      <c r="B512" s="4" t="s">
        <v>135</v>
      </c>
      <c r="C512" s="4" t="s">
        <v>122</v>
      </c>
      <c r="D512" s="4">
        <v>0</v>
      </c>
      <c r="E512" s="4">
        <v>4</v>
      </c>
      <c r="F512" s="4" t="s">
        <v>124</v>
      </c>
      <c r="G512" s="4">
        <v>8</v>
      </c>
      <c r="H512" s="4">
        <v>2</v>
      </c>
      <c r="I512" s="4" t="s">
        <v>247</v>
      </c>
      <c r="J512" s="7">
        <v>0</v>
      </c>
      <c r="K512" s="4" t="s">
        <v>250</v>
      </c>
    </row>
    <row r="513" spans="1:11" ht="27.9" customHeight="1" x14ac:dyDescent="0.3">
      <c r="A513" s="3">
        <v>45627</v>
      </c>
      <c r="B513" s="4" t="s">
        <v>123</v>
      </c>
      <c r="C513" s="4" t="s">
        <v>156</v>
      </c>
      <c r="D513" s="4">
        <v>1</v>
      </c>
      <c r="E513" s="4">
        <v>1</v>
      </c>
      <c r="F513" s="4" t="s">
        <v>125</v>
      </c>
      <c r="G513" s="4">
        <v>14</v>
      </c>
      <c r="H513" s="4">
        <v>6</v>
      </c>
      <c r="I513" s="4" t="s">
        <v>247</v>
      </c>
      <c r="J513" s="7">
        <v>1</v>
      </c>
      <c r="K513" s="4" t="s">
        <v>125</v>
      </c>
    </row>
    <row r="514" spans="1:11" ht="27.9" customHeight="1" x14ac:dyDescent="0.3">
      <c r="A514" s="3">
        <v>45627</v>
      </c>
      <c r="B514" s="4" t="s">
        <v>152</v>
      </c>
      <c r="C514" s="4" t="s">
        <v>129</v>
      </c>
      <c r="D514" s="4">
        <v>0</v>
      </c>
      <c r="E514" s="4">
        <v>2</v>
      </c>
      <c r="F514" s="4" t="s">
        <v>124</v>
      </c>
      <c r="G514" s="4">
        <v>8</v>
      </c>
      <c r="H514" s="4">
        <v>2</v>
      </c>
      <c r="I514" s="4" t="s">
        <v>247</v>
      </c>
      <c r="J514" s="7">
        <v>0</v>
      </c>
      <c r="K514" s="4" t="s">
        <v>250</v>
      </c>
    </row>
    <row r="515" spans="1:11" ht="27.9" customHeight="1" x14ac:dyDescent="0.3">
      <c r="A515" s="3">
        <v>45629</v>
      </c>
      <c r="B515" s="4" t="s">
        <v>149</v>
      </c>
      <c r="C515" s="4" t="s">
        <v>128</v>
      </c>
      <c r="D515" s="4">
        <v>1</v>
      </c>
      <c r="E515" s="4">
        <v>0</v>
      </c>
      <c r="F515" s="4" t="s">
        <v>130</v>
      </c>
      <c r="G515" s="4">
        <v>13</v>
      </c>
      <c r="H515" s="4">
        <v>3</v>
      </c>
      <c r="I515" s="4" t="s">
        <v>247</v>
      </c>
      <c r="J515" s="7">
        <v>3</v>
      </c>
      <c r="K515" s="4" t="s">
        <v>249</v>
      </c>
    </row>
    <row r="516" spans="1:11" ht="27.9" customHeight="1" x14ac:dyDescent="0.3">
      <c r="A516" s="3">
        <v>45629</v>
      </c>
      <c r="B516" s="4" t="s">
        <v>144</v>
      </c>
      <c r="C516" s="4" t="s">
        <v>155</v>
      </c>
      <c r="D516" s="4">
        <v>1</v>
      </c>
      <c r="E516" s="4">
        <v>3</v>
      </c>
      <c r="F516" s="4" t="s">
        <v>124</v>
      </c>
      <c r="G516" s="4">
        <v>31</v>
      </c>
      <c r="H516" s="4">
        <v>10</v>
      </c>
      <c r="I516" s="4" t="s">
        <v>247</v>
      </c>
      <c r="J516" s="7">
        <v>0</v>
      </c>
      <c r="K516" s="4" t="s">
        <v>250</v>
      </c>
    </row>
    <row r="517" spans="1:11" ht="27.9" customHeight="1" x14ac:dyDescent="0.3">
      <c r="A517" s="3">
        <v>45630</v>
      </c>
      <c r="B517" s="4" t="s">
        <v>133</v>
      </c>
      <c r="C517" s="4" t="s">
        <v>135</v>
      </c>
      <c r="D517" s="4">
        <v>0</v>
      </c>
      <c r="E517" s="4">
        <v>4</v>
      </c>
      <c r="F517" s="4" t="s">
        <v>124</v>
      </c>
      <c r="G517" s="4">
        <v>6</v>
      </c>
      <c r="H517" s="4">
        <v>2</v>
      </c>
      <c r="I517" s="4" t="s">
        <v>247</v>
      </c>
      <c r="J517" s="7">
        <v>0</v>
      </c>
      <c r="K517" s="4" t="s">
        <v>250</v>
      </c>
    </row>
    <row r="518" spans="1:11" ht="27.9" customHeight="1" x14ac:dyDescent="0.3">
      <c r="A518" s="3">
        <v>45630</v>
      </c>
      <c r="B518" s="4" t="s">
        <v>141</v>
      </c>
      <c r="C518" s="4" t="s">
        <v>152</v>
      </c>
      <c r="D518" s="4">
        <v>0</v>
      </c>
      <c r="E518" s="4">
        <v>3</v>
      </c>
      <c r="F518" s="4" t="s">
        <v>124</v>
      </c>
      <c r="G518" s="4">
        <v>12</v>
      </c>
      <c r="H518" s="4">
        <v>3</v>
      </c>
      <c r="I518" s="4" t="s">
        <v>247</v>
      </c>
      <c r="J518" s="7">
        <v>0</v>
      </c>
      <c r="K518" s="4" t="s">
        <v>250</v>
      </c>
    </row>
    <row r="519" spans="1:11" ht="27.9" customHeight="1" x14ac:dyDescent="0.3">
      <c r="A519" s="3">
        <v>45630</v>
      </c>
      <c r="B519" s="4" t="s">
        <v>129</v>
      </c>
      <c r="C519" s="4" t="s">
        <v>138</v>
      </c>
      <c r="D519" s="4">
        <v>3</v>
      </c>
      <c r="E519" s="4">
        <v>3</v>
      </c>
      <c r="F519" s="4" t="s">
        <v>125</v>
      </c>
      <c r="G519" s="4">
        <v>16</v>
      </c>
      <c r="H519" s="4">
        <v>5</v>
      </c>
      <c r="I519" s="4" t="s">
        <v>247</v>
      </c>
      <c r="J519" s="7">
        <v>1</v>
      </c>
      <c r="K519" s="4" t="s">
        <v>125</v>
      </c>
    </row>
    <row r="520" spans="1:11" ht="27.9" customHeight="1" x14ac:dyDescent="0.3">
      <c r="A520" s="3">
        <v>45630</v>
      </c>
      <c r="B520" s="4" t="s">
        <v>151</v>
      </c>
      <c r="C520" s="4" t="s">
        <v>139</v>
      </c>
      <c r="D520" s="4">
        <v>5</v>
      </c>
      <c r="E520" s="4">
        <v>1</v>
      </c>
      <c r="F520" s="4" t="s">
        <v>130</v>
      </c>
      <c r="G520" s="4">
        <v>26</v>
      </c>
      <c r="H520" s="4">
        <v>13</v>
      </c>
      <c r="I520" s="4" t="s">
        <v>247</v>
      </c>
      <c r="J520" s="7">
        <v>3</v>
      </c>
      <c r="K520" s="4" t="s">
        <v>249</v>
      </c>
    </row>
    <row r="521" spans="1:11" ht="27.9" customHeight="1" x14ac:dyDescent="0.3">
      <c r="A521" s="3">
        <v>45630</v>
      </c>
      <c r="B521" s="4" t="s">
        <v>122</v>
      </c>
      <c r="C521" s="4" t="s">
        <v>132</v>
      </c>
      <c r="D521" s="4">
        <v>0</v>
      </c>
      <c r="E521" s="4">
        <v>2</v>
      </c>
      <c r="F521" s="4" t="s">
        <v>124</v>
      </c>
      <c r="G521" s="4">
        <v>5</v>
      </c>
      <c r="H521" s="4">
        <v>2</v>
      </c>
      <c r="I521" s="4" t="s">
        <v>247</v>
      </c>
      <c r="J521" s="7">
        <v>0</v>
      </c>
      <c r="K521" s="4" t="s">
        <v>250</v>
      </c>
    </row>
    <row r="522" spans="1:11" ht="27.9" customHeight="1" x14ac:dyDescent="0.3">
      <c r="A522" s="3">
        <v>45630</v>
      </c>
      <c r="B522" s="4" t="s">
        <v>148</v>
      </c>
      <c r="C522" s="4" t="s">
        <v>145</v>
      </c>
      <c r="D522" s="4">
        <v>1</v>
      </c>
      <c r="E522" s="4">
        <v>3</v>
      </c>
      <c r="F522" s="4" t="s">
        <v>124</v>
      </c>
      <c r="G522" s="4">
        <v>9</v>
      </c>
      <c r="H522" s="4">
        <v>1</v>
      </c>
      <c r="I522" s="4" t="s">
        <v>247</v>
      </c>
      <c r="J522" s="7">
        <v>0</v>
      </c>
      <c r="K522" s="4" t="s">
        <v>250</v>
      </c>
    </row>
    <row r="523" spans="1:11" ht="27.9" customHeight="1" x14ac:dyDescent="0.3">
      <c r="A523" s="3">
        <v>45631</v>
      </c>
      <c r="B523" s="4" t="s">
        <v>136</v>
      </c>
      <c r="C523" s="4" t="s">
        <v>123</v>
      </c>
      <c r="D523" s="4">
        <v>1</v>
      </c>
      <c r="E523" s="4">
        <v>3</v>
      </c>
      <c r="F523" s="4" t="s">
        <v>124</v>
      </c>
      <c r="G523" s="4">
        <v>13</v>
      </c>
      <c r="H523" s="4">
        <v>3</v>
      </c>
      <c r="I523" s="4" t="s">
        <v>247</v>
      </c>
      <c r="J523" s="7">
        <v>0</v>
      </c>
      <c r="K523" s="4" t="s">
        <v>250</v>
      </c>
    </row>
    <row r="524" spans="1:11" ht="27.9" customHeight="1" x14ac:dyDescent="0.3">
      <c r="A524" s="3">
        <v>45631</v>
      </c>
      <c r="B524" s="4" t="s">
        <v>156</v>
      </c>
      <c r="C524" s="4" t="s">
        <v>142</v>
      </c>
      <c r="D524" s="4">
        <v>0</v>
      </c>
      <c r="E524" s="4">
        <v>1</v>
      </c>
      <c r="F524" s="4" t="s">
        <v>124</v>
      </c>
      <c r="G524" s="4">
        <v>12</v>
      </c>
      <c r="H524" s="4">
        <v>4</v>
      </c>
      <c r="I524" s="4" t="s">
        <v>247</v>
      </c>
      <c r="J524" s="7">
        <v>0</v>
      </c>
      <c r="K524" s="4" t="s">
        <v>250</v>
      </c>
    </row>
    <row r="525" spans="1:11" ht="27.9" customHeight="1" x14ac:dyDescent="0.3">
      <c r="A525" s="3">
        <v>45633</v>
      </c>
      <c r="B525" s="4" t="s">
        <v>139</v>
      </c>
      <c r="C525" s="4" t="s">
        <v>145</v>
      </c>
      <c r="D525" s="4">
        <v>0</v>
      </c>
      <c r="E525" s="4">
        <v>1</v>
      </c>
      <c r="F525" s="4" t="s">
        <v>124</v>
      </c>
      <c r="G525" s="4">
        <v>4</v>
      </c>
      <c r="H525" s="4">
        <v>0</v>
      </c>
      <c r="I525" s="4" t="s">
        <v>247</v>
      </c>
      <c r="J525" s="7">
        <v>0</v>
      </c>
      <c r="K525" s="4" t="s">
        <v>250</v>
      </c>
    </row>
    <row r="526" spans="1:11" ht="27.9" customHeight="1" x14ac:dyDescent="0.3">
      <c r="A526" s="3">
        <v>45633</v>
      </c>
      <c r="B526" s="4" t="s">
        <v>138</v>
      </c>
      <c r="C526" s="4" t="s">
        <v>148</v>
      </c>
      <c r="D526" s="4">
        <v>2</v>
      </c>
      <c r="E526" s="4">
        <v>4</v>
      </c>
      <c r="F526" s="4" t="s">
        <v>124</v>
      </c>
      <c r="G526" s="4">
        <v>16</v>
      </c>
      <c r="H526" s="4">
        <v>3</v>
      </c>
      <c r="I526" s="4" t="s">
        <v>247</v>
      </c>
      <c r="J526" s="7">
        <v>0</v>
      </c>
      <c r="K526" s="4" t="s">
        <v>250</v>
      </c>
    </row>
    <row r="527" spans="1:11" ht="27.9" customHeight="1" x14ac:dyDescent="0.3">
      <c r="A527" s="3">
        <v>45633</v>
      </c>
      <c r="B527" s="4" t="s">
        <v>152</v>
      </c>
      <c r="C527" s="4" t="s">
        <v>149</v>
      </c>
      <c r="D527" s="4">
        <v>2</v>
      </c>
      <c r="E527" s="4">
        <v>2</v>
      </c>
      <c r="F527" s="4" t="s">
        <v>125</v>
      </c>
      <c r="G527" s="4">
        <v>12</v>
      </c>
      <c r="H527" s="4">
        <v>4</v>
      </c>
      <c r="I527" s="4" t="s">
        <v>247</v>
      </c>
      <c r="J527" s="7">
        <v>1</v>
      </c>
      <c r="K527" s="4" t="s">
        <v>125</v>
      </c>
    </row>
    <row r="528" spans="1:11" ht="27.9" customHeight="1" x14ac:dyDescent="0.3">
      <c r="A528" s="3">
        <v>45633</v>
      </c>
      <c r="B528" s="4" t="s">
        <v>141</v>
      </c>
      <c r="C528" s="4" t="s">
        <v>122</v>
      </c>
      <c r="D528" s="4">
        <v>3</v>
      </c>
      <c r="E528" s="4">
        <v>2</v>
      </c>
      <c r="F528" s="4" t="s">
        <v>130</v>
      </c>
      <c r="G528" s="4">
        <v>11</v>
      </c>
      <c r="H528" s="4">
        <v>3</v>
      </c>
      <c r="I528" s="4" t="s">
        <v>247</v>
      </c>
      <c r="J528" s="7">
        <v>3</v>
      </c>
      <c r="K528" s="4" t="s">
        <v>249</v>
      </c>
    </row>
    <row r="529" spans="1:11" ht="27.9" customHeight="1" x14ac:dyDescent="0.3">
      <c r="A529" s="3">
        <v>45634</v>
      </c>
      <c r="B529" s="4" t="s">
        <v>132</v>
      </c>
      <c r="C529" s="4" t="s">
        <v>123</v>
      </c>
      <c r="D529" s="4">
        <v>1</v>
      </c>
      <c r="E529" s="4">
        <v>1</v>
      </c>
      <c r="F529" s="4" t="s">
        <v>125</v>
      </c>
      <c r="G529" s="4">
        <v>12</v>
      </c>
      <c r="H529" s="4">
        <v>4</v>
      </c>
      <c r="I529" s="4" t="s">
        <v>247</v>
      </c>
      <c r="J529" s="7">
        <v>1</v>
      </c>
      <c r="K529" s="4" t="s">
        <v>125</v>
      </c>
    </row>
    <row r="530" spans="1:11" ht="27.9" customHeight="1" x14ac:dyDescent="0.3">
      <c r="A530" s="3">
        <v>45634</v>
      </c>
      <c r="B530" s="4" t="s">
        <v>142</v>
      </c>
      <c r="C530" s="4" t="s">
        <v>128</v>
      </c>
      <c r="D530" s="4">
        <v>2</v>
      </c>
      <c r="E530" s="4">
        <v>1</v>
      </c>
      <c r="F530" s="4" t="s">
        <v>130</v>
      </c>
      <c r="G530" s="4">
        <v>22</v>
      </c>
      <c r="H530" s="4">
        <v>6</v>
      </c>
      <c r="I530" s="4" t="s">
        <v>247</v>
      </c>
      <c r="J530" s="7">
        <v>3</v>
      </c>
      <c r="K530" s="4" t="s">
        <v>249</v>
      </c>
    </row>
    <row r="531" spans="1:11" ht="27.9" customHeight="1" x14ac:dyDescent="0.3">
      <c r="A531" s="3">
        <v>45634</v>
      </c>
      <c r="B531" s="4" t="s">
        <v>136</v>
      </c>
      <c r="C531" s="4" t="s">
        <v>155</v>
      </c>
      <c r="D531" s="4">
        <v>2</v>
      </c>
      <c r="E531" s="4">
        <v>2</v>
      </c>
      <c r="F531" s="4" t="s">
        <v>125</v>
      </c>
      <c r="G531" s="4">
        <v>16</v>
      </c>
      <c r="H531" s="4">
        <v>7</v>
      </c>
      <c r="I531" s="4" t="s">
        <v>247</v>
      </c>
      <c r="J531" s="7">
        <v>1</v>
      </c>
      <c r="K531" s="4" t="s">
        <v>125</v>
      </c>
    </row>
    <row r="532" spans="1:11" ht="27.9" customHeight="1" x14ac:dyDescent="0.3">
      <c r="A532" s="3">
        <v>45634</v>
      </c>
      <c r="B532" s="4" t="s">
        <v>151</v>
      </c>
      <c r="C532" s="4" t="s">
        <v>156</v>
      </c>
      <c r="D532" s="4">
        <v>4</v>
      </c>
      <c r="E532" s="4">
        <v>3</v>
      </c>
      <c r="F532" s="4" t="s">
        <v>130</v>
      </c>
      <c r="G532" s="4">
        <v>17</v>
      </c>
      <c r="H532" s="4">
        <v>8</v>
      </c>
      <c r="I532" s="4" t="s">
        <v>247</v>
      </c>
      <c r="J532" s="7">
        <v>3</v>
      </c>
      <c r="K532" s="4" t="s">
        <v>249</v>
      </c>
    </row>
    <row r="533" spans="1:11" ht="27.9" customHeight="1" x14ac:dyDescent="0.3">
      <c r="A533" s="3">
        <v>45635</v>
      </c>
      <c r="B533" s="4" t="s">
        <v>133</v>
      </c>
      <c r="C533" s="4" t="s">
        <v>144</v>
      </c>
      <c r="D533" s="4">
        <v>1</v>
      </c>
      <c r="E533" s="4">
        <v>2</v>
      </c>
      <c r="F533" s="4" t="s">
        <v>124</v>
      </c>
      <c r="G533" s="4">
        <v>19</v>
      </c>
      <c r="H533" s="4">
        <v>5</v>
      </c>
      <c r="I533" s="4" t="s">
        <v>247</v>
      </c>
      <c r="J533" s="7">
        <v>0</v>
      </c>
      <c r="K533" s="4" t="s">
        <v>250</v>
      </c>
    </row>
    <row r="534" spans="1:11" ht="27.9" customHeight="1" x14ac:dyDescent="0.3">
      <c r="A534" s="3">
        <v>45640</v>
      </c>
      <c r="B534" s="4" t="s">
        <v>135</v>
      </c>
      <c r="C534" s="4" t="s">
        <v>132</v>
      </c>
      <c r="D534" s="4">
        <v>0</v>
      </c>
      <c r="E534" s="4">
        <v>0</v>
      </c>
      <c r="F534" s="4" t="s">
        <v>125</v>
      </c>
      <c r="G534" s="4">
        <v>2</v>
      </c>
      <c r="H534" s="4">
        <v>0</v>
      </c>
      <c r="I534" s="4" t="s">
        <v>247</v>
      </c>
      <c r="J534" s="7">
        <v>1</v>
      </c>
      <c r="K534" s="4" t="s">
        <v>125</v>
      </c>
    </row>
    <row r="535" spans="1:11" ht="27.9" customHeight="1" x14ac:dyDescent="0.3">
      <c r="A535" s="3">
        <v>45640</v>
      </c>
      <c r="B535" s="4" t="s">
        <v>123</v>
      </c>
      <c r="C535" s="4" t="s">
        <v>129</v>
      </c>
      <c r="D535" s="4">
        <v>2</v>
      </c>
      <c r="E535" s="4">
        <v>2</v>
      </c>
      <c r="F535" s="4" t="s">
        <v>125</v>
      </c>
      <c r="G535" s="4">
        <v>12</v>
      </c>
      <c r="H535" s="4">
        <v>3</v>
      </c>
      <c r="I535" s="4" t="s">
        <v>247</v>
      </c>
      <c r="J535" s="7">
        <v>1</v>
      </c>
      <c r="K535" s="4" t="s">
        <v>125</v>
      </c>
    </row>
    <row r="536" spans="1:11" ht="27.9" customHeight="1" x14ac:dyDescent="0.3">
      <c r="A536" s="3">
        <v>45640</v>
      </c>
      <c r="B536" s="4" t="s">
        <v>155</v>
      </c>
      <c r="C536" s="4" t="s">
        <v>138</v>
      </c>
      <c r="D536" s="4">
        <v>0</v>
      </c>
      <c r="E536" s="4">
        <v>4</v>
      </c>
      <c r="F536" s="4" t="s">
        <v>124</v>
      </c>
      <c r="G536" s="4">
        <v>4</v>
      </c>
      <c r="H536" s="4">
        <v>1</v>
      </c>
      <c r="I536" s="4" t="s">
        <v>247</v>
      </c>
      <c r="J536" s="7">
        <v>0</v>
      </c>
      <c r="K536" s="4" t="s">
        <v>250</v>
      </c>
    </row>
    <row r="537" spans="1:11" ht="27.9" customHeight="1" x14ac:dyDescent="0.3">
      <c r="A537" s="3">
        <v>45640</v>
      </c>
      <c r="B537" s="4" t="s">
        <v>128</v>
      </c>
      <c r="C537" s="4" t="s">
        <v>133</v>
      </c>
      <c r="D537" s="4">
        <v>2</v>
      </c>
      <c r="E537" s="4">
        <v>1</v>
      </c>
      <c r="F537" s="4" t="s">
        <v>130</v>
      </c>
      <c r="G537" s="4">
        <v>10</v>
      </c>
      <c r="H537" s="4">
        <v>5</v>
      </c>
      <c r="I537" s="4" t="s">
        <v>247</v>
      </c>
      <c r="J537" s="7">
        <v>3</v>
      </c>
      <c r="K537" s="4" t="s">
        <v>249</v>
      </c>
    </row>
    <row r="538" spans="1:11" ht="27.9" customHeight="1" x14ac:dyDescent="0.3">
      <c r="A538" s="3">
        <v>45640</v>
      </c>
      <c r="B538" s="4" t="s">
        <v>145</v>
      </c>
      <c r="C538" s="4" t="s">
        <v>141</v>
      </c>
      <c r="D538" s="4">
        <v>1</v>
      </c>
      <c r="E538" s="4">
        <v>2</v>
      </c>
      <c r="F538" s="4" t="s">
        <v>124</v>
      </c>
      <c r="G538" s="4">
        <v>8</v>
      </c>
      <c r="H538" s="4">
        <v>2</v>
      </c>
      <c r="I538" s="4" t="s">
        <v>247</v>
      </c>
      <c r="J538" s="7">
        <v>0</v>
      </c>
      <c r="K538" s="4" t="s">
        <v>250</v>
      </c>
    </row>
    <row r="539" spans="1:11" ht="27.9" customHeight="1" x14ac:dyDescent="0.3">
      <c r="A539" s="3">
        <v>45641</v>
      </c>
      <c r="B539" s="4" t="s">
        <v>149</v>
      </c>
      <c r="C539" s="4" t="s">
        <v>136</v>
      </c>
      <c r="D539" s="4">
        <v>3</v>
      </c>
      <c r="E539" s="4">
        <v>1</v>
      </c>
      <c r="F539" s="4" t="s">
        <v>130</v>
      </c>
      <c r="G539" s="4">
        <v>13</v>
      </c>
      <c r="H539" s="4">
        <v>5</v>
      </c>
      <c r="I539" s="4" t="s">
        <v>247</v>
      </c>
      <c r="J539" s="7">
        <v>3</v>
      </c>
      <c r="K539" s="4" t="s">
        <v>249</v>
      </c>
    </row>
    <row r="540" spans="1:11" ht="27.9" customHeight="1" x14ac:dyDescent="0.3">
      <c r="A540" s="3">
        <v>45641</v>
      </c>
      <c r="B540" s="4" t="s">
        <v>122</v>
      </c>
      <c r="C540" s="4" t="s">
        <v>152</v>
      </c>
      <c r="D540" s="4">
        <v>2</v>
      </c>
      <c r="E540" s="4">
        <v>1</v>
      </c>
      <c r="F540" s="4" t="s">
        <v>130</v>
      </c>
      <c r="G540" s="4">
        <v>10</v>
      </c>
      <c r="H540" s="4">
        <v>3</v>
      </c>
      <c r="I540" s="4" t="s">
        <v>247</v>
      </c>
      <c r="J540" s="7">
        <v>3</v>
      </c>
      <c r="K540" s="4" t="s">
        <v>249</v>
      </c>
    </row>
    <row r="541" spans="1:11" ht="27.9" customHeight="1" x14ac:dyDescent="0.3">
      <c r="A541" s="3">
        <v>45641</v>
      </c>
      <c r="B541" s="4" t="s">
        <v>148</v>
      </c>
      <c r="C541" s="4" t="s">
        <v>151</v>
      </c>
      <c r="D541" s="4">
        <v>1</v>
      </c>
      <c r="E541" s="4">
        <v>2</v>
      </c>
      <c r="F541" s="4" t="s">
        <v>124</v>
      </c>
      <c r="G541" s="4">
        <v>9</v>
      </c>
      <c r="H541" s="4">
        <v>4</v>
      </c>
      <c r="I541" s="4" t="s">
        <v>247</v>
      </c>
      <c r="J541" s="7">
        <v>0</v>
      </c>
      <c r="K541" s="4" t="s">
        <v>250</v>
      </c>
    </row>
    <row r="542" spans="1:11" ht="27.9" customHeight="1" x14ac:dyDescent="0.3">
      <c r="A542" s="3">
        <v>45641</v>
      </c>
      <c r="B542" s="4" t="s">
        <v>156</v>
      </c>
      <c r="C542" s="4" t="s">
        <v>139</v>
      </c>
      <c r="D542" s="4">
        <v>5</v>
      </c>
      <c r="E542" s="4">
        <v>0</v>
      </c>
      <c r="F542" s="4" t="s">
        <v>130</v>
      </c>
      <c r="G542" s="4">
        <v>18</v>
      </c>
      <c r="H542" s="4">
        <v>9</v>
      </c>
      <c r="I542" s="4" t="s">
        <v>247</v>
      </c>
      <c r="J542" s="7">
        <v>3</v>
      </c>
      <c r="K542" s="4" t="s">
        <v>249</v>
      </c>
    </row>
    <row r="543" spans="1:11" ht="27.9" customHeight="1" x14ac:dyDescent="0.3">
      <c r="A543" s="3">
        <v>45642</v>
      </c>
      <c r="B543" s="4" t="s">
        <v>144</v>
      </c>
      <c r="C543" s="4" t="s">
        <v>142</v>
      </c>
      <c r="D543" s="4">
        <v>1</v>
      </c>
      <c r="E543" s="4">
        <v>1</v>
      </c>
      <c r="F543" s="4" t="s">
        <v>125</v>
      </c>
      <c r="G543" s="4">
        <v>16</v>
      </c>
      <c r="H543" s="4">
        <v>3</v>
      </c>
      <c r="I543" s="4" t="s">
        <v>247</v>
      </c>
      <c r="J543" s="7">
        <v>1</v>
      </c>
      <c r="K543" s="4" t="s">
        <v>125</v>
      </c>
    </row>
    <row r="544" spans="1:11" ht="27.9" customHeight="1" x14ac:dyDescent="0.3">
      <c r="A544" s="3">
        <v>45647</v>
      </c>
      <c r="B544" s="4" t="s">
        <v>152</v>
      </c>
      <c r="C544" s="4" t="s">
        <v>145</v>
      </c>
      <c r="D544" s="4">
        <v>1</v>
      </c>
      <c r="E544" s="4">
        <v>2</v>
      </c>
      <c r="F544" s="4" t="s">
        <v>124</v>
      </c>
      <c r="G544" s="4">
        <v>12</v>
      </c>
      <c r="H544" s="4">
        <v>6</v>
      </c>
      <c r="I544" s="4" t="s">
        <v>247</v>
      </c>
      <c r="J544" s="7">
        <v>0</v>
      </c>
      <c r="K544" s="4" t="s">
        <v>250</v>
      </c>
    </row>
    <row r="545" spans="1:11" ht="27.9" customHeight="1" x14ac:dyDescent="0.3">
      <c r="A545" s="3">
        <v>45647</v>
      </c>
      <c r="B545" s="4" t="s">
        <v>141</v>
      </c>
      <c r="C545" s="4" t="s">
        <v>148</v>
      </c>
      <c r="D545" s="4">
        <v>2</v>
      </c>
      <c r="E545" s="4">
        <v>0</v>
      </c>
      <c r="F545" s="4" t="s">
        <v>130</v>
      </c>
      <c r="G545" s="4">
        <v>10</v>
      </c>
      <c r="H545" s="4">
        <v>6</v>
      </c>
      <c r="I545" s="4" t="s">
        <v>247</v>
      </c>
      <c r="J545" s="7">
        <v>3</v>
      </c>
      <c r="K545" s="4" t="s">
        <v>249</v>
      </c>
    </row>
    <row r="546" spans="1:11" ht="27.9" customHeight="1" x14ac:dyDescent="0.3">
      <c r="A546" s="3">
        <v>45647</v>
      </c>
      <c r="B546" s="4" t="s">
        <v>138</v>
      </c>
      <c r="C546" s="4" t="s">
        <v>128</v>
      </c>
      <c r="D546" s="4">
        <v>4</v>
      </c>
      <c r="E546" s="4">
        <v>0</v>
      </c>
      <c r="F546" s="4" t="s">
        <v>130</v>
      </c>
      <c r="G546" s="4">
        <v>15</v>
      </c>
      <c r="H546" s="4">
        <v>7</v>
      </c>
      <c r="I546" s="4" t="s">
        <v>247</v>
      </c>
      <c r="J546" s="7">
        <v>3</v>
      </c>
      <c r="K546" s="4" t="s">
        <v>249</v>
      </c>
    </row>
    <row r="547" spans="1:11" ht="27.9" customHeight="1" x14ac:dyDescent="0.3">
      <c r="A547" s="3">
        <v>45647</v>
      </c>
      <c r="B547" s="4" t="s">
        <v>136</v>
      </c>
      <c r="C547" s="4" t="s">
        <v>144</v>
      </c>
      <c r="D547" s="4">
        <v>1</v>
      </c>
      <c r="E547" s="4">
        <v>1</v>
      </c>
      <c r="F547" s="4" t="s">
        <v>125</v>
      </c>
      <c r="G547" s="4">
        <v>12</v>
      </c>
      <c r="H547" s="4">
        <v>6</v>
      </c>
      <c r="I547" s="4" t="s">
        <v>247</v>
      </c>
      <c r="J547" s="7">
        <v>1</v>
      </c>
      <c r="K547" s="4" t="s">
        <v>125</v>
      </c>
    </row>
    <row r="548" spans="1:11" ht="27.9" customHeight="1" x14ac:dyDescent="0.3">
      <c r="A548" s="3">
        <v>45647</v>
      </c>
      <c r="B548" s="4" t="s">
        <v>132</v>
      </c>
      <c r="C548" s="4" t="s">
        <v>149</v>
      </c>
      <c r="D548" s="4">
        <v>5</v>
      </c>
      <c r="E548" s="4">
        <v>1</v>
      </c>
      <c r="F548" s="4" t="s">
        <v>130</v>
      </c>
      <c r="G548" s="4">
        <v>14</v>
      </c>
      <c r="H548" s="4">
        <v>6</v>
      </c>
      <c r="I548" s="4" t="s">
        <v>247</v>
      </c>
      <c r="J548" s="7">
        <v>3</v>
      </c>
      <c r="K548" s="4" t="s">
        <v>249</v>
      </c>
    </row>
    <row r="549" spans="1:11" ht="27.9" customHeight="1" x14ac:dyDescent="0.3">
      <c r="A549" s="3">
        <v>45648</v>
      </c>
      <c r="B549" s="4" t="s">
        <v>151</v>
      </c>
      <c r="C549" s="4" t="s">
        <v>135</v>
      </c>
      <c r="D549" s="4">
        <v>0</v>
      </c>
      <c r="E549" s="4">
        <v>0</v>
      </c>
      <c r="F549" s="4" t="s">
        <v>125</v>
      </c>
      <c r="G549" s="4">
        <v>12</v>
      </c>
      <c r="H549" s="4">
        <v>5</v>
      </c>
      <c r="I549" s="4" t="s">
        <v>247</v>
      </c>
      <c r="J549" s="7">
        <v>1</v>
      </c>
      <c r="K549" s="4" t="s">
        <v>125</v>
      </c>
    </row>
    <row r="550" spans="1:11" ht="27.9" customHeight="1" x14ac:dyDescent="0.3">
      <c r="A550" s="3">
        <v>45648</v>
      </c>
      <c r="B550" s="4" t="s">
        <v>139</v>
      </c>
      <c r="C550" s="4" t="s">
        <v>123</v>
      </c>
      <c r="D550" s="4">
        <v>0</v>
      </c>
      <c r="E550" s="4">
        <v>0</v>
      </c>
      <c r="F550" s="4" t="s">
        <v>125</v>
      </c>
      <c r="G550" s="4">
        <v>5</v>
      </c>
      <c r="H550" s="4">
        <v>1</v>
      </c>
      <c r="I550" s="4" t="s">
        <v>247</v>
      </c>
      <c r="J550" s="7">
        <v>1</v>
      </c>
      <c r="K550" s="4" t="s">
        <v>125</v>
      </c>
    </row>
    <row r="551" spans="1:11" ht="27.9" customHeight="1" x14ac:dyDescent="0.3">
      <c r="A551" s="3">
        <v>45648</v>
      </c>
      <c r="B551" s="4" t="s">
        <v>133</v>
      </c>
      <c r="C551" s="4" t="s">
        <v>155</v>
      </c>
      <c r="D551" s="4">
        <v>3</v>
      </c>
      <c r="E551" s="4">
        <v>0</v>
      </c>
      <c r="F551" s="4" t="s">
        <v>130</v>
      </c>
      <c r="G551" s="4">
        <v>8</v>
      </c>
      <c r="H551" s="4">
        <v>4</v>
      </c>
      <c r="I551" s="4" t="s">
        <v>247</v>
      </c>
      <c r="J551" s="7">
        <v>3</v>
      </c>
      <c r="K551" s="4" t="s">
        <v>249</v>
      </c>
    </row>
    <row r="552" spans="1:11" ht="27.9" customHeight="1" x14ac:dyDescent="0.3">
      <c r="A552" s="3">
        <v>45648</v>
      </c>
      <c r="B552" s="4" t="s">
        <v>142</v>
      </c>
      <c r="C552" s="4" t="s">
        <v>122</v>
      </c>
      <c r="D552" s="4">
        <v>3</v>
      </c>
      <c r="E552" s="4">
        <v>0</v>
      </c>
      <c r="F552" s="4" t="s">
        <v>130</v>
      </c>
      <c r="G552" s="4">
        <v>10</v>
      </c>
      <c r="H552" s="4">
        <v>5</v>
      </c>
      <c r="I552" s="4" t="s">
        <v>247</v>
      </c>
      <c r="J552" s="7">
        <v>3</v>
      </c>
      <c r="K552" s="4" t="s">
        <v>249</v>
      </c>
    </row>
    <row r="553" spans="1:11" ht="27.9" customHeight="1" x14ac:dyDescent="0.3">
      <c r="A553" s="3">
        <v>45648</v>
      </c>
      <c r="B553" s="4" t="s">
        <v>129</v>
      </c>
      <c r="C553" s="4" t="s">
        <v>156</v>
      </c>
      <c r="D553" s="4">
        <v>6</v>
      </c>
      <c r="E553" s="4">
        <v>3</v>
      </c>
      <c r="F553" s="4" t="s">
        <v>130</v>
      </c>
      <c r="G553" s="4">
        <v>24</v>
      </c>
      <c r="H553" s="4">
        <v>12</v>
      </c>
      <c r="I553" s="4" t="s">
        <v>247</v>
      </c>
      <c r="J553" s="7">
        <v>3</v>
      </c>
      <c r="K553" s="4" t="s">
        <v>249</v>
      </c>
    </row>
    <row r="554" spans="1:11" ht="27.9" customHeight="1" x14ac:dyDescent="0.3">
      <c r="A554" s="3">
        <v>45652</v>
      </c>
      <c r="B554" s="4" t="s">
        <v>135</v>
      </c>
      <c r="C554" s="4" t="s">
        <v>152</v>
      </c>
      <c r="D554" s="4">
        <v>1</v>
      </c>
      <c r="E554" s="4">
        <v>1</v>
      </c>
      <c r="F554" s="4" t="s">
        <v>125</v>
      </c>
      <c r="G554" s="4">
        <v>8</v>
      </c>
      <c r="H554" s="4">
        <v>3</v>
      </c>
      <c r="I554" s="4" t="s">
        <v>247</v>
      </c>
      <c r="J554" s="7">
        <v>1</v>
      </c>
      <c r="K554" s="4" t="s">
        <v>125</v>
      </c>
    </row>
    <row r="555" spans="1:11" ht="27.9" customHeight="1" x14ac:dyDescent="0.3">
      <c r="A555" s="3">
        <v>45652</v>
      </c>
      <c r="B555" s="4" t="s">
        <v>149</v>
      </c>
      <c r="C555" s="4" t="s">
        <v>142</v>
      </c>
      <c r="D555" s="4">
        <v>0</v>
      </c>
      <c r="E555" s="4">
        <v>0</v>
      </c>
      <c r="F555" s="4" t="s">
        <v>125</v>
      </c>
      <c r="G555" s="4">
        <v>10</v>
      </c>
      <c r="H555" s="4">
        <v>4</v>
      </c>
      <c r="I555" s="4" t="s">
        <v>247</v>
      </c>
      <c r="J555" s="7">
        <v>1</v>
      </c>
      <c r="K555" s="4" t="s">
        <v>125</v>
      </c>
    </row>
    <row r="556" spans="1:11" ht="27.9" customHeight="1" x14ac:dyDescent="0.3">
      <c r="A556" s="3">
        <v>45652</v>
      </c>
      <c r="B556" s="4" t="s">
        <v>123</v>
      </c>
      <c r="C556" s="4" t="s">
        <v>151</v>
      </c>
      <c r="D556" s="4">
        <v>2</v>
      </c>
      <c r="E556" s="4">
        <v>1</v>
      </c>
      <c r="F556" s="4" t="s">
        <v>130</v>
      </c>
      <c r="G556" s="4">
        <v>14</v>
      </c>
      <c r="H556" s="4">
        <v>7</v>
      </c>
      <c r="I556" s="4" t="s">
        <v>247</v>
      </c>
      <c r="J556" s="7">
        <v>3</v>
      </c>
      <c r="K556" s="4" t="s">
        <v>249</v>
      </c>
    </row>
    <row r="557" spans="1:11" ht="27.9" customHeight="1" x14ac:dyDescent="0.3">
      <c r="A557" s="3">
        <v>45652</v>
      </c>
      <c r="B557" s="4" t="s">
        <v>145</v>
      </c>
      <c r="C557" s="4" t="s">
        <v>138</v>
      </c>
      <c r="D557" s="4">
        <v>0</v>
      </c>
      <c r="E557" s="4">
        <v>3</v>
      </c>
      <c r="F557" s="4" t="s">
        <v>124</v>
      </c>
      <c r="G557" s="4">
        <v>4</v>
      </c>
      <c r="H557" s="4">
        <v>1</v>
      </c>
      <c r="I557" s="4" t="s">
        <v>247</v>
      </c>
      <c r="J557" s="7">
        <v>0</v>
      </c>
      <c r="K557" s="4" t="s">
        <v>250</v>
      </c>
    </row>
    <row r="558" spans="1:11" ht="27.9" customHeight="1" x14ac:dyDescent="0.3">
      <c r="A558" s="3">
        <v>45652</v>
      </c>
      <c r="B558" s="4" t="s">
        <v>156</v>
      </c>
      <c r="C558" s="4" t="s">
        <v>141</v>
      </c>
      <c r="D558" s="4">
        <v>0</v>
      </c>
      <c r="E558" s="4">
        <v>1</v>
      </c>
      <c r="F558" s="4" t="s">
        <v>124</v>
      </c>
      <c r="G558" s="4">
        <v>13</v>
      </c>
      <c r="H558" s="4">
        <v>4</v>
      </c>
      <c r="I558" s="4" t="s">
        <v>247</v>
      </c>
      <c r="J558" s="7">
        <v>0</v>
      </c>
      <c r="K558" s="4" t="s">
        <v>250</v>
      </c>
    </row>
    <row r="559" spans="1:11" ht="27.9" customHeight="1" x14ac:dyDescent="0.3">
      <c r="A559" s="3">
        <v>45652</v>
      </c>
      <c r="B559" s="4" t="s">
        <v>144</v>
      </c>
      <c r="C559" s="4" t="s">
        <v>139</v>
      </c>
      <c r="D559" s="4">
        <v>1</v>
      </c>
      <c r="E559" s="4">
        <v>0</v>
      </c>
      <c r="F559" s="4" t="s">
        <v>130</v>
      </c>
      <c r="G559" s="4">
        <v>16</v>
      </c>
      <c r="H559" s="4">
        <v>2</v>
      </c>
      <c r="I559" s="4" t="s">
        <v>247</v>
      </c>
      <c r="J559" s="7">
        <v>3</v>
      </c>
      <c r="K559" s="4" t="s">
        <v>249</v>
      </c>
    </row>
    <row r="560" spans="1:11" ht="27.9" customHeight="1" x14ac:dyDescent="0.3">
      <c r="A560" s="3">
        <v>45652</v>
      </c>
      <c r="B560" s="4" t="s">
        <v>122</v>
      </c>
      <c r="C560" s="4" t="s">
        <v>133</v>
      </c>
      <c r="D560" s="4">
        <v>0</v>
      </c>
      <c r="E560" s="4">
        <v>2</v>
      </c>
      <c r="F560" s="4" t="s">
        <v>124</v>
      </c>
      <c r="G560" s="4">
        <v>11</v>
      </c>
      <c r="H560" s="4">
        <v>4</v>
      </c>
      <c r="I560" s="4" t="s">
        <v>247</v>
      </c>
      <c r="J560" s="7">
        <v>0</v>
      </c>
      <c r="K560" s="4" t="s">
        <v>250</v>
      </c>
    </row>
    <row r="561" spans="1:11" ht="27.9" customHeight="1" x14ac:dyDescent="0.3">
      <c r="A561" s="3">
        <v>45652</v>
      </c>
      <c r="B561" s="4" t="s">
        <v>155</v>
      </c>
      <c r="C561" s="4" t="s">
        <v>129</v>
      </c>
      <c r="D561" s="4">
        <v>1</v>
      </c>
      <c r="E561" s="4">
        <v>3</v>
      </c>
      <c r="F561" s="4" t="s">
        <v>124</v>
      </c>
      <c r="G561" s="4">
        <v>4</v>
      </c>
      <c r="H561" s="4">
        <v>1</v>
      </c>
      <c r="I561" s="4" t="s">
        <v>247</v>
      </c>
      <c r="J561" s="7">
        <v>0</v>
      </c>
      <c r="K561" s="4" t="s">
        <v>250</v>
      </c>
    </row>
    <row r="562" spans="1:11" ht="27.9" customHeight="1" x14ac:dyDescent="0.3">
      <c r="A562" s="3">
        <v>45653</v>
      </c>
      <c r="B562" s="4" t="s">
        <v>148</v>
      </c>
      <c r="C562" s="4" t="s">
        <v>136</v>
      </c>
      <c r="D562" s="4">
        <v>0</v>
      </c>
      <c r="E562" s="4">
        <v>0</v>
      </c>
      <c r="F562" s="4" t="s">
        <v>125</v>
      </c>
      <c r="G562" s="4">
        <v>8</v>
      </c>
      <c r="H562" s="4">
        <v>3</v>
      </c>
      <c r="I562" s="4" t="s">
        <v>247</v>
      </c>
      <c r="J562" s="7">
        <v>1</v>
      </c>
      <c r="K562" s="4" t="s">
        <v>125</v>
      </c>
    </row>
    <row r="563" spans="1:11" ht="27.9" customHeight="1" x14ac:dyDescent="0.3">
      <c r="A563" s="3">
        <v>45653</v>
      </c>
      <c r="B563" s="4" t="s">
        <v>128</v>
      </c>
      <c r="C563" s="4" t="s">
        <v>132</v>
      </c>
      <c r="D563" s="4">
        <v>0</v>
      </c>
      <c r="E563" s="4">
        <v>1</v>
      </c>
      <c r="F563" s="4" t="s">
        <v>124</v>
      </c>
      <c r="G563" s="4">
        <v>3</v>
      </c>
      <c r="H563" s="4">
        <v>0</v>
      </c>
      <c r="I563" s="4" t="s">
        <v>247</v>
      </c>
      <c r="J563" s="7">
        <v>0</v>
      </c>
      <c r="K563" s="4" t="s">
        <v>250</v>
      </c>
    </row>
    <row r="564" spans="1:11" ht="27.9" customHeight="1" x14ac:dyDescent="0.3">
      <c r="A564" s="3">
        <v>45655</v>
      </c>
      <c r="B564" s="4" t="s">
        <v>152</v>
      </c>
      <c r="C564" s="4" t="s">
        <v>155</v>
      </c>
      <c r="D564" s="4">
        <v>2</v>
      </c>
      <c r="E564" s="4">
        <v>0</v>
      </c>
      <c r="F564" s="4" t="s">
        <v>130</v>
      </c>
      <c r="G564" s="4">
        <v>14</v>
      </c>
      <c r="H564" s="4">
        <v>5</v>
      </c>
      <c r="I564" s="4" t="s">
        <v>247</v>
      </c>
      <c r="J564" s="7">
        <v>3</v>
      </c>
      <c r="K564" s="4" t="s">
        <v>249</v>
      </c>
    </row>
    <row r="565" spans="1:11" ht="27.9" customHeight="1" x14ac:dyDescent="0.3">
      <c r="A565" s="3">
        <v>45655</v>
      </c>
      <c r="B565" s="4" t="s">
        <v>139</v>
      </c>
      <c r="C565" s="4" t="s">
        <v>149</v>
      </c>
      <c r="D565" s="4">
        <v>1</v>
      </c>
      <c r="E565" s="4">
        <v>2</v>
      </c>
      <c r="F565" s="4" t="s">
        <v>124</v>
      </c>
      <c r="G565" s="4">
        <v>7</v>
      </c>
      <c r="H565" s="4">
        <v>3</v>
      </c>
      <c r="I565" s="4" t="s">
        <v>247</v>
      </c>
      <c r="J565" s="7">
        <v>0</v>
      </c>
      <c r="K565" s="4" t="s">
        <v>250</v>
      </c>
    </row>
    <row r="566" spans="1:11" ht="27.9" customHeight="1" x14ac:dyDescent="0.3">
      <c r="A566" s="3">
        <v>45655</v>
      </c>
      <c r="B566" s="4" t="s">
        <v>141</v>
      </c>
      <c r="C566" s="4" t="s">
        <v>135</v>
      </c>
      <c r="D566" s="4">
        <v>2</v>
      </c>
      <c r="E566" s="4">
        <v>0</v>
      </c>
      <c r="F566" s="4" t="s">
        <v>130</v>
      </c>
      <c r="G566" s="4">
        <v>11</v>
      </c>
      <c r="H566" s="4">
        <v>7</v>
      </c>
      <c r="I566" s="4" t="s">
        <v>247</v>
      </c>
      <c r="J566" s="7">
        <v>3</v>
      </c>
      <c r="K566" s="4" t="s">
        <v>249</v>
      </c>
    </row>
    <row r="567" spans="1:11" ht="27.9" customHeight="1" x14ac:dyDescent="0.3">
      <c r="A567" s="3">
        <v>45655</v>
      </c>
      <c r="B567" s="4" t="s">
        <v>142</v>
      </c>
      <c r="C567" s="4" t="s">
        <v>123</v>
      </c>
      <c r="D567" s="4">
        <v>2</v>
      </c>
      <c r="E567" s="4">
        <v>2</v>
      </c>
      <c r="F567" s="4" t="s">
        <v>125</v>
      </c>
      <c r="G567" s="4">
        <v>16</v>
      </c>
      <c r="H567" s="4">
        <v>9</v>
      </c>
      <c r="I567" s="4" t="s">
        <v>247</v>
      </c>
      <c r="J567" s="7">
        <v>1</v>
      </c>
      <c r="K567" s="4" t="s">
        <v>125</v>
      </c>
    </row>
    <row r="568" spans="1:11" ht="27.9" customHeight="1" x14ac:dyDescent="0.3">
      <c r="A568" s="3">
        <v>45655</v>
      </c>
      <c r="B568" s="4" t="s">
        <v>133</v>
      </c>
      <c r="C568" s="4" t="s">
        <v>156</v>
      </c>
      <c r="D568" s="4">
        <v>2</v>
      </c>
      <c r="E568" s="4">
        <v>2</v>
      </c>
      <c r="F568" s="4" t="s">
        <v>125</v>
      </c>
      <c r="G568" s="4">
        <v>11</v>
      </c>
      <c r="H568" s="4">
        <v>3</v>
      </c>
      <c r="I568" s="4" t="s">
        <v>247</v>
      </c>
      <c r="J568" s="7">
        <v>1</v>
      </c>
      <c r="K568" s="4" t="s">
        <v>125</v>
      </c>
    </row>
    <row r="569" spans="1:11" ht="27.9" customHeight="1" x14ac:dyDescent="0.3">
      <c r="A569" s="3">
        <v>45655</v>
      </c>
      <c r="B569" s="4" t="s">
        <v>129</v>
      </c>
      <c r="C569" s="4" t="s">
        <v>144</v>
      </c>
      <c r="D569" s="4">
        <v>5</v>
      </c>
      <c r="E569" s="4">
        <v>0</v>
      </c>
      <c r="F569" s="4" t="s">
        <v>130</v>
      </c>
      <c r="G569" s="4">
        <v>22</v>
      </c>
      <c r="H569" s="4">
        <v>13</v>
      </c>
      <c r="I569" s="4" t="s">
        <v>247</v>
      </c>
      <c r="J569" s="7">
        <v>3</v>
      </c>
      <c r="K569" s="4" t="s">
        <v>249</v>
      </c>
    </row>
    <row r="570" spans="1:11" ht="27.9" customHeight="1" x14ac:dyDescent="0.3">
      <c r="A570" s="3">
        <v>45656</v>
      </c>
      <c r="B570" s="4" t="s">
        <v>136</v>
      </c>
      <c r="C570" s="4" t="s">
        <v>145</v>
      </c>
      <c r="D570" s="4">
        <v>2</v>
      </c>
      <c r="E570" s="4">
        <v>2</v>
      </c>
      <c r="F570" s="4" t="s">
        <v>125</v>
      </c>
      <c r="G570" s="4">
        <v>13</v>
      </c>
      <c r="H570" s="4">
        <v>4</v>
      </c>
      <c r="I570" s="4" t="s">
        <v>247</v>
      </c>
      <c r="J570" s="7">
        <v>1</v>
      </c>
      <c r="K570" s="4" t="s">
        <v>125</v>
      </c>
    </row>
    <row r="571" spans="1:11" ht="27.9" customHeight="1" x14ac:dyDescent="0.3">
      <c r="A571" s="3">
        <v>45656</v>
      </c>
      <c r="B571" s="4" t="s">
        <v>151</v>
      </c>
      <c r="C571" s="4" t="s">
        <v>128</v>
      </c>
      <c r="D571" s="4">
        <v>0</v>
      </c>
      <c r="E571" s="4">
        <v>2</v>
      </c>
      <c r="F571" s="4" t="s">
        <v>124</v>
      </c>
      <c r="G571" s="4">
        <v>20</v>
      </c>
      <c r="H571" s="4">
        <v>5</v>
      </c>
      <c r="I571" s="4" t="s">
        <v>247</v>
      </c>
      <c r="J571" s="7">
        <v>0</v>
      </c>
      <c r="K571" s="4" t="s">
        <v>250</v>
      </c>
    </row>
    <row r="572" spans="1:11" ht="27.9" customHeight="1" x14ac:dyDescent="0.3">
      <c r="A572" s="3">
        <v>45656</v>
      </c>
      <c r="B572" s="4" t="s">
        <v>138</v>
      </c>
      <c r="C572" s="4" t="s">
        <v>122</v>
      </c>
      <c r="D572" s="4">
        <v>2</v>
      </c>
      <c r="E572" s="4">
        <v>0</v>
      </c>
      <c r="F572" s="4" t="s">
        <v>130</v>
      </c>
      <c r="G572" s="4">
        <v>12</v>
      </c>
      <c r="H572" s="4">
        <v>4</v>
      </c>
      <c r="I572" s="4" t="s">
        <v>247</v>
      </c>
      <c r="J572" s="7">
        <v>3</v>
      </c>
      <c r="K572" s="4" t="s">
        <v>249</v>
      </c>
    </row>
    <row r="573" spans="1:11" ht="27.9" customHeight="1" x14ac:dyDescent="0.3">
      <c r="A573" s="3">
        <v>45658</v>
      </c>
      <c r="B573" s="4" t="s">
        <v>132</v>
      </c>
      <c r="C573" s="4" t="s">
        <v>148</v>
      </c>
      <c r="D573" s="4">
        <v>3</v>
      </c>
      <c r="E573" s="4">
        <v>1</v>
      </c>
      <c r="F573" s="4" t="s">
        <v>130</v>
      </c>
      <c r="G573" s="4">
        <v>14</v>
      </c>
      <c r="H573" s="4">
        <v>5</v>
      </c>
      <c r="I573" s="4" t="s">
        <v>247</v>
      </c>
      <c r="J573" s="7">
        <v>3</v>
      </c>
      <c r="K573" s="4" t="s">
        <v>249</v>
      </c>
    </row>
    <row r="574" spans="1:11" ht="27.9" customHeight="1" x14ac:dyDescent="0.3">
      <c r="A574" s="3">
        <v>45661</v>
      </c>
      <c r="B574" s="4" t="s">
        <v>138</v>
      </c>
      <c r="C574" s="4" t="s">
        <v>156</v>
      </c>
      <c r="D574" s="4">
        <v>2</v>
      </c>
      <c r="E574" s="4">
        <v>1</v>
      </c>
      <c r="F574" s="4" t="s">
        <v>130</v>
      </c>
      <c r="G574" s="4">
        <v>14</v>
      </c>
      <c r="H574" s="4">
        <v>4</v>
      </c>
      <c r="I574" s="4" t="s">
        <v>247</v>
      </c>
      <c r="J574" s="7">
        <v>3</v>
      </c>
      <c r="K574" s="4" t="s">
        <v>249</v>
      </c>
    </row>
    <row r="575" spans="1:11" ht="27.9" customHeight="1" x14ac:dyDescent="0.3">
      <c r="A575" s="3">
        <v>45661</v>
      </c>
      <c r="B575" s="4" t="s">
        <v>155</v>
      </c>
      <c r="C575" s="4" t="s">
        <v>145</v>
      </c>
      <c r="D575" s="4">
        <v>1</v>
      </c>
      <c r="E575" s="4">
        <v>2</v>
      </c>
      <c r="F575" s="4" t="s">
        <v>124</v>
      </c>
      <c r="G575" s="4">
        <v>4</v>
      </c>
      <c r="H575" s="4">
        <v>2</v>
      </c>
      <c r="I575" s="4" t="s">
        <v>247</v>
      </c>
      <c r="J575" s="7">
        <v>0</v>
      </c>
      <c r="K575" s="4" t="s">
        <v>250</v>
      </c>
    </row>
    <row r="576" spans="1:11" ht="27.9" customHeight="1" x14ac:dyDescent="0.3">
      <c r="A576" s="3">
        <v>45661</v>
      </c>
      <c r="B576" s="4" t="s">
        <v>135</v>
      </c>
      <c r="C576" s="4" t="s">
        <v>142</v>
      </c>
      <c r="D576" s="4">
        <v>0</v>
      </c>
      <c r="E576" s="4">
        <v>1</v>
      </c>
      <c r="F576" s="4" t="s">
        <v>124</v>
      </c>
      <c r="G576" s="4">
        <v>9</v>
      </c>
      <c r="H576" s="4">
        <v>0</v>
      </c>
      <c r="I576" s="4" t="s">
        <v>247</v>
      </c>
      <c r="J576" s="7">
        <v>0</v>
      </c>
      <c r="K576" s="4" t="s">
        <v>250</v>
      </c>
    </row>
    <row r="577" spans="1:11" ht="27.9" customHeight="1" x14ac:dyDescent="0.3">
      <c r="A577" s="3">
        <v>45661</v>
      </c>
      <c r="B577" s="4" t="s">
        <v>151</v>
      </c>
      <c r="C577" s="4" t="s">
        <v>149</v>
      </c>
      <c r="D577" s="4">
        <v>1</v>
      </c>
      <c r="E577" s="4">
        <v>1</v>
      </c>
      <c r="F577" s="4" t="s">
        <v>125</v>
      </c>
      <c r="G577" s="4">
        <v>15</v>
      </c>
      <c r="H577" s="4">
        <v>1</v>
      </c>
      <c r="I577" s="4" t="s">
        <v>247</v>
      </c>
      <c r="J577" s="7">
        <v>1</v>
      </c>
      <c r="K577" s="4" t="s">
        <v>125</v>
      </c>
    </row>
    <row r="578" spans="1:11" ht="27.9" customHeight="1" x14ac:dyDescent="0.3">
      <c r="A578" s="3">
        <v>45661</v>
      </c>
      <c r="B578" s="4" t="s">
        <v>144</v>
      </c>
      <c r="C578" s="4" t="s">
        <v>152</v>
      </c>
      <c r="D578" s="4">
        <v>1</v>
      </c>
      <c r="E578" s="4">
        <v>4</v>
      </c>
      <c r="F578" s="4" t="s">
        <v>124</v>
      </c>
      <c r="G578" s="4">
        <v>17</v>
      </c>
      <c r="H578" s="4">
        <v>4</v>
      </c>
      <c r="I578" s="4" t="s">
        <v>247</v>
      </c>
      <c r="J578" s="7">
        <v>0</v>
      </c>
      <c r="K578" s="4" t="s">
        <v>250</v>
      </c>
    </row>
    <row r="579" spans="1:11" ht="27.9" customHeight="1" x14ac:dyDescent="0.3">
      <c r="A579" s="3">
        <v>45661</v>
      </c>
      <c r="B579" s="4" t="s">
        <v>148</v>
      </c>
      <c r="C579" s="4" t="s">
        <v>139</v>
      </c>
      <c r="D579" s="4">
        <v>5</v>
      </c>
      <c r="E579" s="4">
        <v>0</v>
      </c>
      <c r="F579" s="4" t="s">
        <v>130</v>
      </c>
      <c r="G579" s="4">
        <v>20</v>
      </c>
      <c r="H579" s="4">
        <v>11</v>
      </c>
      <c r="I579" s="4" t="s">
        <v>247</v>
      </c>
      <c r="J579" s="7">
        <v>3</v>
      </c>
      <c r="K579" s="4" t="s">
        <v>249</v>
      </c>
    </row>
    <row r="580" spans="1:11" ht="27.9" customHeight="1" x14ac:dyDescent="0.3">
      <c r="A580" s="3">
        <v>45661</v>
      </c>
      <c r="B580" s="4" t="s">
        <v>132</v>
      </c>
      <c r="C580" s="4" t="s">
        <v>136</v>
      </c>
      <c r="D580" s="4">
        <v>1</v>
      </c>
      <c r="E580" s="4">
        <v>1</v>
      </c>
      <c r="F580" s="4" t="s">
        <v>125</v>
      </c>
      <c r="G580" s="4">
        <v>9</v>
      </c>
      <c r="H580" s="4">
        <v>3</v>
      </c>
      <c r="I580" s="4" t="s">
        <v>247</v>
      </c>
      <c r="J580" s="7">
        <v>1</v>
      </c>
      <c r="K580" s="4" t="s">
        <v>125</v>
      </c>
    </row>
    <row r="581" spans="1:11" ht="27.9" customHeight="1" x14ac:dyDescent="0.3">
      <c r="A581" s="3">
        <v>45662</v>
      </c>
      <c r="B581" s="4" t="s">
        <v>128</v>
      </c>
      <c r="C581" s="4" t="s">
        <v>123</v>
      </c>
      <c r="D581" s="4">
        <v>2</v>
      </c>
      <c r="E581" s="4">
        <v>2</v>
      </c>
      <c r="F581" s="4" t="s">
        <v>125</v>
      </c>
      <c r="G581" s="4">
        <v>7</v>
      </c>
      <c r="H581" s="4">
        <v>3</v>
      </c>
      <c r="I581" s="4" t="s">
        <v>247</v>
      </c>
      <c r="J581" s="7">
        <v>1</v>
      </c>
      <c r="K581" s="4" t="s">
        <v>125</v>
      </c>
    </row>
    <row r="582" spans="1:11" ht="27.9" customHeight="1" x14ac:dyDescent="0.3">
      <c r="A582" s="3">
        <v>45662</v>
      </c>
      <c r="B582" s="4" t="s">
        <v>122</v>
      </c>
      <c r="C582" s="4" t="s">
        <v>129</v>
      </c>
      <c r="D582" s="4">
        <v>2</v>
      </c>
      <c r="E582" s="4">
        <v>2</v>
      </c>
      <c r="F582" s="4" t="s">
        <v>125</v>
      </c>
      <c r="G582" s="4">
        <v>13</v>
      </c>
      <c r="H582" s="4">
        <v>4</v>
      </c>
      <c r="I582" s="4" t="s">
        <v>247</v>
      </c>
      <c r="J582" s="7">
        <v>1</v>
      </c>
      <c r="K582" s="4" t="s">
        <v>125</v>
      </c>
    </row>
    <row r="583" spans="1:11" ht="27.9" customHeight="1" x14ac:dyDescent="0.3">
      <c r="A583" s="3">
        <v>45663</v>
      </c>
      <c r="B583" s="4" t="s">
        <v>141</v>
      </c>
      <c r="C583" s="4" t="s">
        <v>133</v>
      </c>
      <c r="D583" s="4">
        <v>3</v>
      </c>
      <c r="E583" s="4">
        <v>0</v>
      </c>
      <c r="F583" s="4" t="s">
        <v>130</v>
      </c>
      <c r="G583" s="4">
        <v>11</v>
      </c>
      <c r="H583" s="4">
        <v>3</v>
      </c>
      <c r="I583" s="4" t="s">
        <v>247</v>
      </c>
      <c r="J583" s="7">
        <v>3</v>
      </c>
      <c r="K583" s="4" t="s">
        <v>249</v>
      </c>
    </row>
    <row r="584" spans="1:11" ht="27.9" customHeight="1" x14ac:dyDescent="0.3">
      <c r="A584" s="3">
        <v>45671</v>
      </c>
      <c r="B584" s="4" t="s">
        <v>152</v>
      </c>
      <c r="C584" s="4" t="s">
        <v>148</v>
      </c>
      <c r="D584" s="4">
        <v>2</v>
      </c>
      <c r="E584" s="4">
        <v>2</v>
      </c>
      <c r="F584" s="4" t="s">
        <v>125</v>
      </c>
      <c r="G584" s="4">
        <v>21</v>
      </c>
      <c r="H584" s="4">
        <v>8</v>
      </c>
      <c r="I584" s="4" t="s">
        <v>247</v>
      </c>
      <c r="J584" s="7">
        <v>1</v>
      </c>
      <c r="K584" s="4" t="s">
        <v>125</v>
      </c>
    </row>
    <row r="585" spans="1:11" ht="27.9" customHeight="1" x14ac:dyDescent="0.3">
      <c r="A585" s="3">
        <v>45671</v>
      </c>
      <c r="B585" s="4" t="s">
        <v>142</v>
      </c>
      <c r="C585" s="4" t="s">
        <v>151</v>
      </c>
      <c r="D585" s="4">
        <v>2</v>
      </c>
      <c r="E585" s="4">
        <v>2</v>
      </c>
      <c r="F585" s="4" t="s">
        <v>125</v>
      </c>
      <c r="G585" s="4">
        <v>7</v>
      </c>
      <c r="H585" s="4">
        <v>3</v>
      </c>
      <c r="I585" s="4" t="s">
        <v>247</v>
      </c>
      <c r="J585" s="7">
        <v>1</v>
      </c>
      <c r="K585" s="4" t="s">
        <v>125</v>
      </c>
    </row>
    <row r="586" spans="1:11" ht="27.9" customHeight="1" x14ac:dyDescent="0.3">
      <c r="A586" s="3">
        <v>45671</v>
      </c>
      <c r="B586" s="4" t="s">
        <v>123</v>
      </c>
      <c r="C586" s="4" t="s">
        <v>144</v>
      </c>
      <c r="D586" s="4">
        <v>2</v>
      </c>
      <c r="E586" s="4">
        <v>3</v>
      </c>
      <c r="F586" s="4" t="s">
        <v>124</v>
      </c>
      <c r="G586" s="4">
        <v>21</v>
      </c>
      <c r="H586" s="4">
        <v>5</v>
      </c>
      <c r="I586" s="4" t="s">
        <v>247</v>
      </c>
      <c r="J586" s="7">
        <v>0</v>
      </c>
      <c r="K586" s="4" t="s">
        <v>250</v>
      </c>
    </row>
    <row r="587" spans="1:11" ht="27.9" customHeight="1" x14ac:dyDescent="0.3">
      <c r="A587" s="3">
        <v>45671</v>
      </c>
      <c r="B587" s="4" t="s">
        <v>129</v>
      </c>
      <c r="C587" s="4" t="s">
        <v>141</v>
      </c>
      <c r="D587" s="4">
        <v>1</v>
      </c>
      <c r="E587" s="4">
        <v>1</v>
      </c>
      <c r="F587" s="4" t="s">
        <v>125</v>
      </c>
      <c r="G587" s="4">
        <v>23</v>
      </c>
      <c r="H587" s="4">
        <v>7</v>
      </c>
      <c r="I587" s="4" t="s">
        <v>247</v>
      </c>
      <c r="J587" s="7">
        <v>1</v>
      </c>
      <c r="K587" s="4" t="s">
        <v>125</v>
      </c>
    </row>
    <row r="588" spans="1:11" ht="27.9" customHeight="1" x14ac:dyDescent="0.3">
      <c r="A588" s="3">
        <v>45672</v>
      </c>
      <c r="B588" s="4" t="s">
        <v>145</v>
      </c>
      <c r="C588" s="4" t="s">
        <v>135</v>
      </c>
      <c r="D588" s="4">
        <v>1</v>
      </c>
      <c r="E588" s="4">
        <v>0</v>
      </c>
      <c r="F588" s="4" t="s">
        <v>130</v>
      </c>
      <c r="G588" s="4">
        <v>11</v>
      </c>
      <c r="H588" s="4">
        <v>3</v>
      </c>
      <c r="I588" s="4" t="s">
        <v>247</v>
      </c>
      <c r="J588" s="7">
        <v>3</v>
      </c>
      <c r="K588" s="4" t="s">
        <v>249</v>
      </c>
    </row>
    <row r="589" spans="1:11" ht="27.9" customHeight="1" x14ac:dyDescent="0.3">
      <c r="A589" s="3">
        <v>45672</v>
      </c>
      <c r="B589" s="4" t="s">
        <v>149</v>
      </c>
      <c r="C589" s="4" t="s">
        <v>155</v>
      </c>
      <c r="D589" s="4">
        <v>2</v>
      </c>
      <c r="E589" s="4">
        <v>0</v>
      </c>
      <c r="F589" s="4" t="s">
        <v>130</v>
      </c>
      <c r="G589" s="4">
        <v>9</v>
      </c>
      <c r="H589" s="4">
        <v>4</v>
      </c>
      <c r="I589" s="4" t="s">
        <v>247</v>
      </c>
      <c r="J589" s="7">
        <v>3</v>
      </c>
      <c r="K589" s="4" t="s">
        <v>249</v>
      </c>
    </row>
    <row r="590" spans="1:11" ht="27.9" customHeight="1" x14ac:dyDescent="0.3">
      <c r="A590" s="3">
        <v>45672</v>
      </c>
      <c r="B590" s="4" t="s">
        <v>133</v>
      </c>
      <c r="C590" s="4" t="s">
        <v>138</v>
      </c>
      <c r="D590" s="4">
        <v>0</v>
      </c>
      <c r="E590" s="4">
        <v>3</v>
      </c>
      <c r="F590" s="4" t="s">
        <v>124</v>
      </c>
      <c r="G590" s="4">
        <v>13</v>
      </c>
      <c r="H590" s="4">
        <v>7</v>
      </c>
      <c r="I590" s="4" t="s">
        <v>247</v>
      </c>
      <c r="J590" s="7">
        <v>0</v>
      </c>
      <c r="K590" s="4" t="s">
        <v>250</v>
      </c>
    </row>
    <row r="591" spans="1:11" ht="27.9" customHeight="1" x14ac:dyDescent="0.3">
      <c r="A591" s="3">
        <v>45672</v>
      </c>
      <c r="B591" s="4" t="s">
        <v>156</v>
      </c>
      <c r="C591" s="4" t="s">
        <v>132</v>
      </c>
      <c r="D591" s="4">
        <v>1</v>
      </c>
      <c r="E591" s="4">
        <v>2</v>
      </c>
      <c r="F591" s="4" t="s">
        <v>124</v>
      </c>
      <c r="G591" s="4">
        <v>10</v>
      </c>
      <c r="H591" s="4">
        <v>2</v>
      </c>
      <c r="I591" s="4" t="s">
        <v>247</v>
      </c>
      <c r="J591" s="7">
        <v>0</v>
      </c>
      <c r="K591" s="4" t="s">
        <v>250</v>
      </c>
    </row>
    <row r="592" spans="1:11" ht="27.9" customHeight="1" x14ac:dyDescent="0.3">
      <c r="A592" s="3">
        <v>45673</v>
      </c>
      <c r="B592" s="4" t="s">
        <v>136</v>
      </c>
      <c r="C592" s="4" t="s">
        <v>128</v>
      </c>
      <c r="D592" s="4">
        <v>2</v>
      </c>
      <c r="E592" s="4">
        <v>0</v>
      </c>
      <c r="F592" s="4" t="s">
        <v>130</v>
      </c>
      <c r="G592" s="4">
        <v>11</v>
      </c>
      <c r="H592" s="4">
        <v>5</v>
      </c>
      <c r="I592" s="4" t="s">
        <v>247</v>
      </c>
      <c r="J592" s="7">
        <v>3</v>
      </c>
      <c r="K592" s="4" t="s">
        <v>249</v>
      </c>
    </row>
    <row r="593" spans="1:11" ht="27.9" customHeight="1" x14ac:dyDescent="0.3">
      <c r="A593" s="3">
        <v>45673</v>
      </c>
      <c r="B593" s="4" t="s">
        <v>139</v>
      </c>
      <c r="C593" s="4" t="s">
        <v>122</v>
      </c>
      <c r="D593" s="4">
        <v>1</v>
      </c>
      <c r="E593" s="4">
        <v>3</v>
      </c>
      <c r="F593" s="4" t="s">
        <v>124</v>
      </c>
      <c r="G593" s="4">
        <v>13</v>
      </c>
      <c r="H593" s="4">
        <v>5</v>
      </c>
      <c r="I593" s="4" t="s">
        <v>247</v>
      </c>
      <c r="J593" s="7">
        <v>0</v>
      </c>
      <c r="K593" s="4" t="s">
        <v>250</v>
      </c>
    </row>
    <row r="594" spans="1:11" ht="27.9" customHeight="1" x14ac:dyDescent="0.3">
      <c r="A594" s="3">
        <v>45675</v>
      </c>
      <c r="B594" s="4" t="s">
        <v>142</v>
      </c>
      <c r="C594" s="4" t="s">
        <v>138</v>
      </c>
      <c r="D594" s="4">
        <v>4</v>
      </c>
      <c r="E594" s="4">
        <v>1</v>
      </c>
      <c r="F594" s="4" t="s">
        <v>130</v>
      </c>
      <c r="G594" s="4">
        <v>19</v>
      </c>
      <c r="H594" s="4">
        <v>10</v>
      </c>
      <c r="I594" s="4" t="s">
        <v>247</v>
      </c>
      <c r="J594" s="7">
        <v>3</v>
      </c>
      <c r="K594" s="4" t="s">
        <v>249</v>
      </c>
    </row>
    <row r="595" spans="1:11" ht="27.9" customHeight="1" x14ac:dyDescent="0.3">
      <c r="A595" s="3">
        <v>45675</v>
      </c>
      <c r="B595" s="4" t="s">
        <v>129</v>
      </c>
      <c r="C595" s="4" t="s">
        <v>148</v>
      </c>
      <c r="D595" s="4">
        <v>2</v>
      </c>
      <c r="E595" s="4">
        <v>0</v>
      </c>
      <c r="F595" s="4" t="s">
        <v>130</v>
      </c>
      <c r="G595" s="4">
        <v>37</v>
      </c>
      <c r="H595" s="4">
        <v>8</v>
      </c>
      <c r="I595" s="4" t="s">
        <v>247</v>
      </c>
      <c r="J595" s="7">
        <v>3</v>
      </c>
      <c r="K595" s="4" t="s">
        <v>249</v>
      </c>
    </row>
    <row r="596" spans="1:11" ht="27.9" customHeight="1" x14ac:dyDescent="0.3">
      <c r="A596" s="3">
        <v>45675</v>
      </c>
      <c r="B596" s="4" t="s">
        <v>123</v>
      </c>
      <c r="C596" s="4" t="s">
        <v>155</v>
      </c>
      <c r="D596" s="4">
        <v>2</v>
      </c>
      <c r="E596" s="4">
        <v>0</v>
      </c>
      <c r="F596" s="4" t="s">
        <v>130</v>
      </c>
      <c r="G596" s="4">
        <v>17</v>
      </c>
      <c r="H596" s="4">
        <v>2</v>
      </c>
      <c r="I596" s="4" t="s">
        <v>247</v>
      </c>
      <c r="J596" s="7">
        <v>3</v>
      </c>
      <c r="K596" s="4" t="s">
        <v>249</v>
      </c>
    </row>
    <row r="597" spans="1:11" ht="27.9" customHeight="1" x14ac:dyDescent="0.3">
      <c r="A597" s="3">
        <v>45675</v>
      </c>
      <c r="B597" s="4" t="s">
        <v>149</v>
      </c>
      <c r="C597" s="4" t="s">
        <v>144</v>
      </c>
      <c r="D597" s="4">
        <v>2</v>
      </c>
      <c r="E597" s="4">
        <v>0</v>
      </c>
      <c r="F597" s="4" t="s">
        <v>130</v>
      </c>
      <c r="G597" s="4">
        <v>12</v>
      </c>
      <c r="H597" s="4">
        <v>7</v>
      </c>
      <c r="I597" s="4" t="s">
        <v>247</v>
      </c>
      <c r="J597" s="7">
        <v>3</v>
      </c>
      <c r="K597" s="4" t="s">
        <v>249</v>
      </c>
    </row>
    <row r="598" spans="1:11" ht="27.9" customHeight="1" x14ac:dyDescent="0.3">
      <c r="A598" s="3">
        <v>45675</v>
      </c>
      <c r="B598" s="4" t="s">
        <v>145</v>
      </c>
      <c r="C598" s="4" t="s">
        <v>132</v>
      </c>
      <c r="D598" s="4">
        <v>2</v>
      </c>
      <c r="E598" s="4">
        <v>2</v>
      </c>
      <c r="F598" s="4" t="s">
        <v>125</v>
      </c>
      <c r="G598" s="4">
        <v>8</v>
      </c>
      <c r="H598" s="4">
        <v>4</v>
      </c>
      <c r="I598" s="4" t="s">
        <v>247</v>
      </c>
      <c r="J598" s="7">
        <v>1</v>
      </c>
      <c r="K598" s="4" t="s">
        <v>125</v>
      </c>
    </row>
    <row r="599" spans="1:11" ht="27.9" customHeight="1" x14ac:dyDescent="0.3">
      <c r="A599" s="3">
        <v>45676</v>
      </c>
      <c r="B599" s="4" t="s">
        <v>156</v>
      </c>
      <c r="C599" s="4" t="s">
        <v>135</v>
      </c>
      <c r="D599" s="4">
        <v>2</v>
      </c>
      <c r="E599" s="4">
        <v>3</v>
      </c>
      <c r="F599" s="4" t="s">
        <v>124</v>
      </c>
      <c r="G599" s="4">
        <v>11</v>
      </c>
      <c r="H599" s="4">
        <v>6</v>
      </c>
      <c r="I599" s="4" t="s">
        <v>247</v>
      </c>
      <c r="J599" s="7">
        <v>0</v>
      </c>
      <c r="K599" s="4" t="s">
        <v>250</v>
      </c>
    </row>
    <row r="600" spans="1:11" ht="27.9" customHeight="1" x14ac:dyDescent="0.3">
      <c r="A600" s="3">
        <v>45676</v>
      </c>
      <c r="B600" s="4" t="s">
        <v>136</v>
      </c>
      <c r="C600" s="4" t="s">
        <v>122</v>
      </c>
      <c r="D600" s="4">
        <v>3</v>
      </c>
      <c r="E600" s="4">
        <v>1</v>
      </c>
      <c r="F600" s="4" t="s">
        <v>130</v>
      </c>
      <c r="G600" s="4">
        <v>6</v>
      </c>
      <c r="H600" s="4">
        <v>3</v>
      </c>
      <c r="I600" s="4" t="s">
        <v>247</v>
      </c>
      <c r="J600" s="7">
        <v>3</v>
      </c>
      <c r="K600" s="4" t="s">
        <v>249</v>
      </c>
    </row>
    <row r="601" spans="1:11" ht="27.9" customHeight="1" x14ac:dyDescent="0.3">
      <c r="A601" s="3">
        <v>45676</v>
      </c>
      <c r="B601" s="4" t="s">
        <v>139</v>
      </c>
      <c r="C601" s="4" t="s">
        <v>141</v>
      </c>
      <c r="D601" s="4">
        <v>2</v>
      </c>
      <c r="E601" s="4">
        <v>3</v>
      </c>
      <c r="F601" s="4" t="s">
        <v>124</v>
      </c>
      <c r="G601" s="4">
        <v>10</v>
      </c>
      <c r="H601" s="4">
        <v>4</v>
      </c>
      <c r="I601" s="4" t="s">
        <v>247</v>
      </c>
      <c r="J601" s="7">
        <v>0</v>
      </c>
      <c r="K601" s="4" t="s">
        <v>250</v>
      </c>
    </row>
    <row r="602" spans="1:11" ht="27.9" customHeight="1" x14ac:dyDescent="0.3">
      <c r="A602" s="3">
        <v>45676</v>
      </c>
      <c r="B602" s="4" t="s">
        <v>152</v>
      </c>
      <c r="C602" s="4" t="s">
        <v>128</v>
      </c>
      <c r="D602" s="4">
        <v>6</v>
      </c>
      <c r="E602" s="4">
        <v>0</v>
      </c>
      <c r="F602" s="4" t="s">
        <v>130</v>
      </c>
      <c r="G602" s="4">
        <v>17</v>
      </c>
      <c r="H602" s="4">
        <v>9</v>
      </c>
      <c r="I602" s="4" t="s">
        <v>247</v>
      </c>
      <c r="J602" s="7">
        <v>3</v>
      </c>
      <c r="K602" s="4" t="s">
        <v>249</v>
      </c>
    </row>
    <row r="603" spans="1:11" ht="27.9" customHeight="1" x14ac:dyDescent="0.3">
      <c r="A603" s="3">
        <v>45677</v>
      </c>
      <c r="B603" s="4" t="s">
        <v>133</v>
      </c>
      <c r="C603" s="4" t="s">
        <v>151</v>
      </c>
      <c r="D603" s="4">
        <v>1</v>
      </c>
      <c r="E603" s="4">
        <v>3</v>
      </c>
      <c r="F603" s="4" t="s">
        <v>124</v>
      </c>
      <c r="G603" s="4">
        <v>9</v>
      </c>
      <c r="H603" s="4">
        <v>4</v>
      </c>
      <c r="I603" s="4" t="s">
        <v>247</v>
      </c>
      <c r="J603" s="7">
        <v>0</v>
      </c>
      <c r="K603" s="4" t="s">
        <v>250</v>
      </c>
    </row>
    <row r="604" spans="1:11" ht="27.9" customHeight="1" x14ac:dyDescent="0.3">
      <c r="A604" s="3">
        <v>45682</v>
      </c>
      <c r="B604" s="4" t="s">
        <v>141</v>
      </c>
      <c r="C604" s="4" t="s">
        <v>142</v>
      </c>
      <c r="D604" s="4">
        <v>0</v>
      </c>
      <c r="E604" s="4">
        <v>5</v>
      </c>
      <c r="F604" s="4" t="s">
        <v>124</v>
      </c>
      <c r="G604" s="4">
        <v>18</v>
      </c>
      <c r="H604" s="4">
        <v>4</v>
      </c>
      <c r="I604" s="4" t="s">
        <v>247</v>
      </c>
      <c r="J604" s="7">
        <v>0</v>
      </c>
      <c r="K604" s="4" t="s">
        <v>250</v>
      </c>
    </row>
    <row r="605" spans="1:11" ht="27.9" customHeight="1" x14ac:dyDescent="0.3">
      <c r="A605" s="3">
        <v>45682</v>
      </c>
      <c r="B605" s="4" t="s">
        <v>135</v>
      </c>
      <c r="C605" s="4" t="s">
        <v>136</v>
      </c>
      <c r="D605" s="4">
        <v>1</v>
      </c>
      <c r="E605" s="4">
        <v>0</v>
      </c>
      <c r="F605" s="4" t="s">
        <v>130</v>
      </c>
      <c r="G605" s="4">
        <v>3</v>
      </c>
      <c r="H605" s="4">
        <v>1</v>
      </c>
      <c r="I605" s="4" t="s">
        <v>247</v>
      </c>
      <c r="J605" s="7">
        <v>3</v>
      </c>
      <c r="K605" s="4" t="s">
        <v>249</v>
      </c>
    </row>
    <row r="606" spans="1:11" ht="27.9" customHeight="1" x14ac:dyDescent="0.3">
      <c r="A606" s="3">
        <v>45682</v>
      </c>
      <c r="B606" s="4" t="s">
        <v>128</v>
      </c>
      <c r="C606" s="4" t="s">
        <v>129</v>
      </c>
      <c r="D606" s="4">
        <v>1</v>
      </c>
      <c r="E606" s="4">
        <v>4</v>
      </c>
      <c r="F606" s="4" t="s">
        <v>124</v>
      </c>
      <c r="G606" s="4">
        <v>3</v>
      </c>
      <c r="H606" s="4">
        <v>3</v>
      </c>
      <c r="I606" s="4" t="s">
        <v>247</v>
      </c>
      <c r="J606" s="7">
        <v>0</v>
      </c>
      <c r="K606" s="4" t="s">
        <v>250</v>
      </c>
    </row>
    <row r="607" spans="1:11" ht="27.9" customHeight="1" x14ac:dyDescent="0.3">
      <c r="A607" s="3">
        <v>45682</v>
      </c>
      <c r="B607" s="4" t="s">
        <v>138</v>
      </c>
      <c r="C607" s="4" t="s">
        <v>139</v>
      </c>
      <c r="D607" s="4">
        <v>3</v>
      </c>
      <c r="E607" s="4">
        <v>1</v>
      </c>
      <c r="F607" s="4" t="s">
        <v>130</v>
      </c>
      <c r="G607" s="4">
        <v>17</v>
      </c>
      <c r="H607" s="4">
        <v>9</v>
      </c>
      <c r="I607" s="4" t="s">
        <v>247</v>
      </c>
      <c r="J607" s="7">
        <v>3</v>
      </c>
      <c r="K607" s="4" t="s">
        <v>249</v>
      </c>
    </row>
    <row r="608" spans="1:11" ht="27.9" customHeight="1" x14ac:dyDescent="0.3">
      <c r="A608" s="3">
        <v>45682</v>
      </c>
      <c r="B608" s="4" t="s">
        <v>132</v>
      </c>
      <c r="C608" s="4" t="s">
        <v>133</v>
      </c>
      <c r="D608" s="4">
        <v>1</v>
      </c>
      <c r="E608" s="4">
        <v>0</v>
      </c>
      <c r="F608" s="4" t="s">
        <v>130</v>
      </c>
      <c r="G608" s="4">
        <v>9</v>
      </c>
      <c r="H608" s="4">
        <v>3</v>
      </c>
      <c r="I608" s="4" t="s">
        <v>247</v>
      </c>
      <c r="J608" s="7">
        <v>3</v>
      </c>
      <c r="K608" s="4" t="s">
        <v>249</v>
      </c>
    </row>
    <row r="609" spans="1:11" ht="27.9" customHeight="1" x14ac:dyDescent="0.3">
      <c r="A609" s="3">
        <v>45682</v>
      </c>
      <c r="B609" s="4" t="s">
        <v>151</v>
      </c>
      <c r="C609" s="4" t="s">
        <v>152</v>
      </c>
      <c r="D609" s="4">
        <v>1</v>
      </c>
      <c r="E609" s="4">
        <v>3</v>
      </c>
      <c r="F609" s="4" t="s">
        <v>124</v>
      </c>
      <c r="G609" s="4">
        <v>10</v>
      </c>
      <c r="H609" s="4">
        <v>4</v>
      </c>
      <c r="I609" s="4" t="s">
        <v>247</v>
      </c>
      <c r="J609" s="7">
        <v>0</v>
      </c>
      <c r="K609" s="4" t="s">
        <v>250</v>
      </c>
    </row>
    <row r="610" spans="1:11" ht="27.9" customHeight="1" x14ac:dyDescent="0.3">
      <c r="A610" s="3">
        <v>45683</v>
      </c>
      <c r="B610" s="4" t="s">
        <v>148</v>
      </c>
      <c r="C610" s="4" t="s">
        <v>149</v>
      </c>
      <c r="D610" s="4">
        <v>2</v>
      </c>
      <c r="E610" s="4">
        <v>1</v>
      </c>
      <c r="F610" s="4" t="s">
        <v>130</v>
      </c>
      <c r="G610" s="4">
        <v>13</v>
      </c>
      <c r="H610" s="4">
        <v>6</v>
      </c>
      <c r="I610" s="4" t="s">
        <v>247</v>
      </c>
      <c r="J610" s="7">
        <v>3</v>
      </c>
      <c r="K610" s="4" t="s">
        <v>249</v>
      </c>
    </row>
    <row r="611" spans="1:11" ht="27.9" customHeight="1" x14ac:dyDescent="0.3">
      <c r="A611" s="3">
        <v>45683</v>
      </c>
      <c r="B611" s="4" t="s">
        <v>155</v>
      </c>
      <c r="C611" s="4" t="s">
        <v>156</v>
      </c>
      <c r="D611" s="4">
        <v>2</v>
      </c>
      <c r="E611" s="4">
        <v>1</v>
      </c>
      <c r="F611" s="4" t="s">
        <v>130</v>
      </c>
      <c r="G611" s="4">
        <v>12</v>
      </c>
      <c r="H611" s="4">
        <v>3</v>
      </c>
      <c r="I611" s="4" t="s">
        <v>247</v>
      </c>
      <c r="J611" s="7">
        <v>3</v>
      </c>
      <c r="K611" s="4" t="s">
        <v>249</v>
      </c>
    </row>
    <row r="612" spans="1:11" ht="27.9" customHeight="1" x14ac:dyDescent="0.3">
      <c r="A612" s="3">
        <v>45683</v>
      </c>
      <c r="B612" s="4" t="s">
        <v>144</v>
      </c>
      <c r="C612" s="4" t="s">
        <v>145</v>
      </c>
      <c r="D612" s="4">
        <v>1</v>
      </c>
      <c r="E612" s="4">
        <v>1</v>
      </c>
      <c r="F612" s="4" t="s">
        <v>125</v>
      </c>
      <c r="G612" s="4">
        <v>14</v>
      </c>
      <c r="H612" s="4">
        <v>4</v>
      </c>
      <c r="I612" s="4" t="s">
        <v>247</v>
      </c>
      <c r="J612" s="7">
        <v>1</v>
      </c>
      <c r="K612" s="4" t="s">
        <v>125</v>
      </c>
    </row>
    <row r="613" spans="1:11" ht="27.9" customHeight="1" x14ac:dyDescent="0.3">
      <c r="A613" s="3">
        <v>45683</v>
      </c>
      <c r="B613" s="4" t="s">
        <v>122</v>
      </c>
      <c r="C613" s="4" t="s">
        <v>123</v>
      </c>
      <c r="D613" s="4">
        <v>1</v>
      </c>
      <c r="E613" s="4">
        <v>0</v>
      </c>
      <c r="F613" s="4" t="s">
        <v>130</v>
      </c>
      <c r="G613" s="4">
        <v>4</v>
      </c>
      <c r="H613" s="4">
        <v>1</v>
      </c>
      <c r="I613" s="4" t="s">
        <v>247</v>
      </c>
      <c r="J613" s="7">
        <v>3</v>
      </c>
      <c r="K613" s="4" t="s">
        <v>249</v>
      </c>
    </row>
    <row r="614" spans="1:11" ht="27.9" customHeight="1" x14ac:dyDescent="0.3">
      <c r="A614" s="3">
        <v>45689</v>
      </c>
      <c r="B614" s="4" t="s">
        <v>136</v>
      </c>
      <c r="C614" s="4" t="s">
        <v>141</v>
      </c>
      <c r="D614" s="4">
        <v>0</v>
      </c>
      <c r="E614" s="4">
        <v>7</v>
      </c>
      <c r="F614" s="4" t="s">
        <v>124</v>
      </c>
      <c r="G614" s="4">
        <v>10</v>
      </c>
      <c r="H614" s="4">
        <v>5</v>
      </c>
      <c r="I614" s="4" t="s">
        <v>247</v>
      </c>
      <c r="J614" s="7">
        <v>0</v>
      </c>
      <c r="K614" s="4" t="s">
        <v>250</v>
      </c>
    </row>
    <row r="615" spans="1:11" ht="27.9" customHeight="1" x14ac:dyDescent="0.3">
      <c r="A615" s="3">
        <v>45689</v>
      </c>
      <c r="B615" s="4" t="s">
        <v>129</v>
      </c>
      <c r="C615" s="4" t="s">
        <v>142</v>
      </c>
      <c r="D615" s="4">
        <v>2</v>
      </c>
      <c r="E615" s="4">
        <v>0</v>
      </c>
      <c r="F615" s="4" t="s">
        <v>130</v>
      </c>
      <c r="G615" s="4">
        <v>19</v>
      </c>
      <c r="H615" s="4">
        <v>7</v>
      </c>
      <c r="I615" s="4" t="s">
        <v>247</v>
      </c>
      <c r="J615" s="7">
        <v>3</v>
      </c>
      <c r="K615" s="4" t="s">
        <v>249</v>
      </c>
    </row>
    <row r="616" spans="1:11" ht="27.9" customHeight="1" x14ac:dyDescent="0.3">
      <c r="A616" s="3">
        <v>45689</v>
      </c>
      <c r="B616" s="4" t="s">
        <v>155</v>
      </c>
      <c r="C616" s="4" t="s">
        <v>135</v>
      </c>
      <c r="D616" s="4">
        <v>0</v>
      </c>
      <c r="E616" s="4">
        <v>4</v>
      </c>
      <c r="F616" s="4" t="s">
        <v>124</v>
      </c>
      <c r="G616" s="4">
        <v>9</v>
      </c>
      <c r="H616" s="4">
        <v>1</v>
      </c>
      <c r="I616" s="4" t="s">
        <v>247</v>
      </c>
      <c r="J616" s="7">
        <v>0</v>
      </c>
      <c r="K616" s="4" t="s">
        <v>250</v>
      </c>
    </row>
    <row r="617" spans="1:11" ht="27.9" customHeight="1" x14ac:dyDescent="0.3">
      <c r="A617" s="3">
        <v>45689</v>
      </c>
      <c r="B617" s="4" t="s">
        <v>139</v>
      </c>
      <c r="C617" s="4" t="s">
        <v>128</v>
      </c>
      <c r="D617" s="4">
        <v>2</v>
      </c>
      <c r="E617" s="4">
        <v>1</v>
      </c>
      <c r="F617" s="4" t="s">
        <v>130</v>
      </c>
      <c r="G617" s="4">
        <v>9</v>
      </c>
      <c r="H617" s="4">
        <v>4</v>
      </c>
      <c r="I617" s="4" t="s">
        <v>247</v>
      </c>
      <c r="J617" s="7">
        <v>3</v>
      </c>
      <c r="K617" s="4" t="s">
        <v>249</v>
      </c>
    </row>
    <row r="618" spans="1:11" ht="27.9" customHeight="1" x14ac:dyDescent="0.3">
      <c r="A618" s="3">
        <v>45689</v>
      </c>
      <c r="B618" s="4" t="s">
        <v>123</v>
      </c>
      <c r="C618" s="4" t="s">
        <v>138</v>
      </c>
      <c r="D618" s="4">
        <v>2</v>
      </c>
      <c r="E618" s="4">
        <v>1</v>
      </c>
      <c r="F618" s="4" t="s">
        <v>130</v>
      </c>
      <c r="G618" s="4">
        <v>15</v>
      </c>
      <c r="H618" s="4">
        <v>4</v>
      </c>
      <c r="I618" s="4" t="s">
        <v>247</v>
      </c>
      <c r="J618" s="7">
        <v>3</v>
      </c>
      <c r="K618" s="4" t="s">
        <v>249</v>
      </c>
    </row>
    <row r="619" spans="1:11" ht="27.9" customHeight="1" x14ac:dyDescent="0.3">
      <c r="A619" s="3">
        <v>45689</v>
      </c>
      <c r="B619" s="4" t="s">
        <v>145</v>
      </c>
      <c r="C619" s="4" t="s">
        <v>133</v>
      </c>
      <c r="D619" s="4">
        <v>0</v>
      </c>
      <c r="E619" s="4">
        <v>2</v>
      </c>
      <c r="F619" s="4" t="s">
        <v>124</v>
      </c>
      <c r="G619" s="4">
        <v>10</v>
      </c>
      <c r="H619" s="4">
        <v>3</v>
      </c>
      <c r="I619" s="4" t="s">
        <v>247</v>
      </c>
      <c r="J619" s="7">
        <v>0</v>
      </c>
      <c r="K619" s="4" t="s">
        <v>250</v>
      </c>
    </row>
    <row r="620" spans="1:11" ht="27.9" customHeight="1" x14ac:dyDescent="0.3">
      <c r="A620" s="3">
        <v>45690</v>
      </c>
      <c r="B620" s="4" t="s">
        <v>156</v>
      </c>
      <c r="C620" s="4" t="s">
        <v>148</v>
      </c>
      <c r="D620" s="4">
        <v>2</v>
      </c>
      <c r="E620" s="4">
        <v>0</v>
      </c>
      <c r="F620" s="4" t="s">
        <v>130</v>
      </c>
      <c r="G620" s="4">
        <v>13</v>
      </c>
      <c r="H620" s="4">
        <v>2</v>
      </c>
      <c r="I620" s="4" t="s">
        <v>247</v>
      </c>
      <c r="J620" s="7">
        <v>3</v>
      </c>
      <c r="K620" s="4" t="s">
        <v>249</v>
      </c>
    </row>
    <row r="621" spans="1:11" ht="27.9" customHeight="1" x14ac:dyDescent="0.3">
      <c r="A621" s="3">
        <v>45690</v>
      </c>
      <c r="B621" s="4" t="s">
        <v>149</v>
      </c>
      <c r="C621" s="4" t="s">
        <v>122</v>
      </c>
      <c r="D621" s="4">
        <v>2</v>
      </c>
      <c r="E621" s="4">
        <v>0</v>
      </c>
      <c r="F621" s="4" t="s">
        <v>130</v>
      </c>
      <c r="G621" s="4">
        <v>11</v>
      </c>
      <c r="H621" s="4">
        <v>3</v>
      </c>
      <c r="I621" s="4" t="s">
        <v>247</v>
      </c>
      <c r="J621" s="7">
        <v>3</v>
      </c>
      <c r="K621" s="4" t="s">
        <v>249</v>
      </c>
    </row>
    <row r="622" spans="1:11" ht="27.9" customHeight="1" x14ac:dyDescent="0.3">
      <c r="A622" s="3">
        <v>45690</v>
      </c>
      <c r="B622" s="4" t="s">
        <v>152</v>
      </c>
      <c r="C622" s="4" t="s">
        <v>132</v>
      </c>
      <c r="D622" s="4">
        <v>1</v>
      </c>
      <c r="E622" s="4">
        <v>5</v>
      </c>
      <c r="F622" s="4" t="s">
        <v>124</v>
      </c>
      <c r="G622" s="4">
        <v>7</v>
      </c>
      <c r="H622" s="4">
        <v>4</v>
      </c>
      <c r="I622" s="4" t="s">
        <v>247</v>
      </c>
      <c r="J622" s="7">
        <v>0</v>
      </c>
      <c r="K622" s="4" t="s">
        <v>250</v>
      </c>
    </row>
    <row r="623" spans="1:11" ht="27.9" customHeight="1" x14ac:dyDescent="0.3">
      <c r="A623" s="3">
        <v>45691</v>
      </c>
      <c r="B623" s="4" t="s">
        <v>144</v>
      </c>
      <c r="C623" s="4" t="s">
        <v>151</v>
      </c>
      <c r="D623" s="4">
        <v>1</v>
      </c>
      <c r="E623" s="4">
        <v>2</v>
      </c>
      <c r="F623" s="4" t="s">
        <v>124</v>
      </c>
      <c r="G623" s="4">
        <v>14</v>
      </c>
      <c r="H623" s="4">
        <v>5</v>
      </c>
      <c r="I623" s="4" t="s">
        <v>247</v>
      </c>
      <c r="J623" s="7">
        <v>0</v>
      </c>
      <c r="K623" s="4" t="s">
        <v>250</v>
      </c>
    </row>
    <row r="624" spans="1:11" ht="27.9" customHeight="1" x14ac:dyDescent="0.3">
      <c r="A624" s="3">
        <v>45700</v>
      </c>
      <c r="B624" s="4" t="s">
        <v>129</v>
      </c>
      <c r="C624" s="4" t="s">
        <v>135</v>
      </c>
      <c r="D624" s="4">
        <v>2</v>
      </c>
      <c r="E624" s="4">
        <v>2</v>
      </c>
      <c r="F624" s="4" t="s">
        <v>125</v>
      </c>
      <c r="G624" s="4">
        <v>6</v>
      </c>
      <c r="H624" s="4">
        <v>4</v>
      </c>
      <c r="I624" s="4" t="s">
        <v>247</v>
      </c>
      <c r="J624" s="7">
        <v>1</v>
      </c>
      <c r="K624" s="4" t="s">
        <v>125</v>
      </c>
    </row>
    <row r="625" spans="1:11" ht="27.9" customHeight="1" x14ac:dyDescent="0.3">
      <c r="A625" s="3">
        <v>45702</v>
      </c>
      <c r="B625" s="4" t="s">
        <v>151</v>
      </c>
      <c r="C625" s="4" t="s">
        <v>136</v>
      </c>
      <c r="D625" s="4">
        <v>0</v>
      </c>
      <c r="E625" s="4">
        <v>3</v>
      </c>
      <c r="F625" s="4" t="s">
        <v>124</v>
      </c>
      <c r="G625" s="4">
        <v>8</v>
      </c>
      <c r="H625" s="4">
        <v>0</v>
      </c>
      <c r="I625" s="4" t="s">
        <v>247</v>
      </c>
      <c r="J625" s="7">
        <v>0</v>
      </c>
      <c r="K625" s="4" t="s">
        <v>250</v>
      </c>
    </row>
    <row r="626" spans="1:11" ht="27.9" customHeight="1" x14ac:dyDescent="0.3">
      <c r="A626" s="3">
        <v>45703</v>
      </c>
      <c r="B626" s="4" t="s">
        <v>132</v>
      </c>
      <c r="C626" s="4" t="s">
        <v>155</v>
      </c>
      <c r="D626" s="4">
        <v>2</v>
      </c>
      <c r="E626" s="4">
        <v>0</v>
      </c>
      <c r="F626" s="4" t="s">
        <v>130</v>
      </c>
      <c r="G626" s="4">
        <v>11</v>
      </c>
      <c r="H626" s="4">
        <v>5</v>
      </c>
      <c r="I626" s="4" t="s">
        <v>247</v>
      </c>
      <c r="J626" s="7">
        <v>3</v>
      </c>
      <c r="K626" s="4" t="s">
        <v>249</v>
      </c>
    </row>
    <row r="627" spans="1:11" ht="27.9" customHeight="1" x14ac:dyDescent="0.3">
      <c r="A627" s="3">
        <v>45703</v>
      </c>
      <c r="B627" s="4" t="s">
        <v>128</v>
      </c>
      <c r="C627" s="4" t="s">
        <v>145</v>
      </c>
      <c r="D627" s="4">
        <v>1</v>
      </c>
      <c r="E627" s="4">
        <v>1</v>
      </c>
      <c r="F627" s="4" t="s">
        <v>125</v>
      </c>
      <c r="G627" s="4">
        <v>4</v>
      </c>
      <c r="H627" s="4">
        <v>3</v>
      </c>
      <c r="I627" s="4" t="s">
        <v>247</v>
      </c>
      <c r="J627" s="7">
        <v>1</v>
      </c>
      <c r="K627" s="4" t="s">
        <v>125</v>
      </c>
    </row>
    <row r="628" spans="1:11" ht="27.9" customHeight="1" x14ac:dyDescent="0.3">
      <c r="A628" s="3">
        <v>45703</v>
      </c>
      <c r="B628" s="4" t="s">
        <v>141</v>
      </c>
      <c r="C628" s="4" t="s">
        <v>123</v>
      </c>
      <c r="D628" s="4">
        <v>1</v>
      </c>
      <c r="E628" s="4">
        <v>2</v>
      </c>
      <c r="F628" s="4" t="s">
        <v>124</v>
      </c>
      <c r="G628" s="4">
        <v>8</v>
      </c>
      <c r="H628" s="4">
        <v>2</v>
      </c>
      <c r="I628" s="4" t="s">
        <v>247</v>
      </c>
      <c r="J628" s="7">
        <v>0</v>
      </c>
      <c r="K628" s="4" t="s">
        <v>250</v>
      </c>
    </row>
    <row r="629" spans="1:11" ht="27.9" customHeight="1" x14ac:dyDescent="0.3">
      <c r="A629" s="3">
        <v>45703</v>
      </c>
      <c r="B629" s="4" t="s">
        <v>138</v>
      </c>
      <c r="C629" s="4" t="s">
        <v>152</v>
      </c>
      <c r="D629" s="4">
        <v>0</v>
      </c>
      <c r="E629" s="4">
        <v>4</v>
      </c>
      <c r="F629" s="4" t="s">
        <v>124</v>
      </c>
      <c r="G629" s="4">
        <v>3</v>
      </c>
      <c r="H629" s="4">
        <v>1</v>
      </c>
      <c r="I629" s="4" t="s">
        <v>247</v>
      </c>
      <c r="J629" s="7">
        <v>0</v>
      </c>
      <c r="K629" s="4" t="s">
        <v>250</v>
      </c>
    </row>
    <row r="630" spans="1:11" ht="27.9" customHeight="1" x14ac:dyDescent="0.3">
      <c r="A630" s="3">
        <v>45703</v>
      </c>
      <c r="B630" s="4" t="s">
        <v>142</v>
      </c>
      <c r="C630" s="4" t="s">
        <v>139</v>
      </c>
      <c r="D630" s="4">
        <v>3</v>
      </c>
      <c r="E630" s="4">
        <v>1</v>
      </c>
      <c r="F630" s="4" t="s">
        <v>130</v>
      </c>
      <c r="G630" s="4">
        <v>14</v>
      </c>
      <c r="H630" s="4">
        <v>7</v>
      </c>
      <c r="I630" s="4" t="s">
        <v>247</v>
      </c>
      <c r="J630" s="7">
        <v>3</v>
      </c>
      <c r="K630" s="4" t="s">
        <v>249</v>
      </c>
    </row>
    <row r="631" spans="1:11" ht="27.9" customHeight="1" x14ac:dyDescent="0.3">
      <c r="A631" s="3">
        <v>45703</v>
      </c>
      <c r="B631" s="4" t="s">
        <v>148</v>
      </c>
      <c r="C631" s="4" t="s">
        <v>144</v>
      </c>
      <c r="D631" s="4">
        <v>1</v>
      </c>
      <c r="E631" s="4">
        <v>0</v>
      </c>
      <c r="F631" s="4" t="s">
        <v>130</v>
      </c>
      <c r="G631" s="4">
        <v>14</v>
      </c>
      <c r="H631" s="4">
        <v>5</v>
      </c>
      <c r="I631" s="4" t="s">
        <v>247</v>
      </c>
      <c r="J631" s="7">
        <v>3</v>
      </c>
      <c r="K631" s="4" t="s">
        <v>249</v>
      </c>
    </row>
    <row r="632" spans="1:11" ht="27.9" customHeight="1" x14ac:dyDescent="0.3">
      <c r="A632" s="3">
        <v>45703</v>
      </c>
      <c r="B632" s="4" t="s">
        <v>135</v>
      </c>
      <c r="C632" s="4" t="s">
        <v>149</v>
      </c>
      <c r="D632" s="4">
        <v>2</v>
      </c>
      <c r="E632" s="4">
        <v>1</v>
      </c>
      <c r="F632" s="4" t="s">
        <v>130</v>
      </c>
      <c r="G632" s="4">
        <v>11</v>
      </c>
      <c r="H632" s="4">
        <v>6</v>
      </c>
      <c r="I632" s="4" t="s">
        <v>247</v>
      </c>
      <c r="J632" s="7">
        <v>3</v>
      </c>
      <c r="K632" s="4" t="s">
        <v>249</v>
      </c>
    </row>
    <row r="633" spans="1:11" ht="27.9" customHeight="1" x14ac:dyDescent="0.3">
      <c r="A633" s="3">
        <v>45704</v>
      </c>
      <c r="B633" s="4" t="s">
        <v>133</v>
      </c>
      <c r="C633" s="4" t="s">
        <v>129</v>
      </c>
      <c r="D633" s="4">
        <v>1</v>
      </c>
      <c r="E633" s="4">
        <v>2</v>
      </c>
      <c r="F633" s="4" t="s">
        <v>124</v>
      </c>
      <c r="G633" s="4">
        <v>16</v>
      </c>
      <c r="H633" s="4">
        <v>4</v>
      </c>
      <c r="I633" s="4" t="s">
        <v>247</v>
      </c>
      <c r="J633" s="7">
        <v>0</v>
      </c>
      <c r="K633" s="4" t="s">
        <v>250</v>
      </c>
    </row>
    <row r="634" spans="1:11" ht="27.9" customHeight="1" x14ac:dyDescent="0.3">
      <c r="A634" s="3">
        <v>45704</v>
      </c>
      <c r="B634" s="4" t="s">
        <v>122</v>
      </c>
      <c r="C634" s="4" t="s">
        <v>156</v>
      </c>
      <c r="D634" s="4">
        <v>0</v>
      </c>
      <c r="E634" s="4">
        <v>1</v>
      </c>
      <c r="F634" s="4" t="s">
        <v>124</v>
      </c>
      <c r="G634" s="4">
        <v>16</v>
      </c>
      <c r="H634" s="4">
        <v>6</v>
      </c>
      <c r="I634" s="4" t="s">
        <v>247</v>
      </c>
      <c r="J634" s="7">
        <v>0</v>
      </c>
      <c r="K634" s="4" t="s">
        <v>250</v>
      </c>
    </row>
    <row r="635" spans="1:11" ht="27.9" customHeight="1" x14ac:dyDescent="0.3">
      <c r="A635" s="3">
        <v>45707</v>
      </c>
      <c r="B635" s="4" t="s">
        <v>129</v>
      </c>
      <c r="C635" s="4" t="s">
        <v>145</v>
      </c>
      <c r="D635" s="4">
        <v>2</v>
      </c>
      <c r="E635" s="4">
        <v>2</v>
      </c>
      <c r="F635" s="4" t="s">
        <v>125</v>
      </c>
      <c r="G635" s="4">
        <v>17</v>
      </c>
      <c r="H635" s="4">
        <v>3</v>
      </c>
      <c r="I635" s="4" t="s">
        <v>247</v>
      </c>
      <c r="J635" s="7">
        <v>1</v>
      </c>
      <c r="K635" s="4" t="s">
        <v>125</v>
      </c>
    </row>
    <row r="636" spans="1:11" ht="27.9" customHeight="1" x14ac:dyDescent="0.3">
      <c r="A636" s="3">
        <v>45709</v>
      </c>
      <c r="B636" s="4" t="s">
        <v>148</v>
      </c>
      <c r="C636" s="4" t="s">
        <v>155</v>
      </c>
      <c r="D636" s="4">
        <v>4</v>
      </c>
      <c r="E636" s="4">
        <v>0</v>
      </c>
      <c r="F636" s="4" t="s">
        <v>130</v>
      </c>
      <c r="G636" s="4">
        <v>14</v>
      </c>
      <c r="H636" s="4">
        <v>6</v>
      </c>
      <c r="I636" s="4" t="s">
        <v>247</v>
      </c>
      <c r="J636" s="7">
        <v>3</v>
      </c>
      <c r="K636" s="4" t="s">
        <v>249</v>
      </c>
    </row>
    <row r="637" spans="1:11" ht="27.9" customHeight="1" x14ac:dyDescent="0.3">
      <c r="A637" s="3">
        <v>45710</v>
      </c>
      <c r="B637" s="4" t="s">
        <v>122</v>
      </c>
      <c r="C637" s="4" t="s">
        <v>135</v>
      </c>
      <c r="D637" s="4">
        <v>2</v>
      </c>
      <c r="E637" s="4">
        <v>2</v>
      </c>
      <c r="F637" s="4" t="s">
        <v>125</v>
      </c>
      <c r="G637" s="4">
        <v>9</v>
      </c>
      <c r="H637" s="4">
        <v>3</v>
      </c>
      <c r="I637" s="4" t="s">
        <v>247</v>
      </c>
      <c r="J637" s="7">
        <v>1</v>
      </c>
      <c r="K637" s="4" t="s">
        <v>125</v>
      </c>
    </row>
    <row r="638" spans="1:11" ht="27.9" customHeight="1" x14ac:dyDescent="0.3">
      <c r="A638" s="3">
        <v>45710</v>
      </c>
      <c r="B638" s="4" t="s">
        <v>144</v>
      </c>
      <c r="C638" s="4" t="s">
        <v>132</v>
      </c>
      <c r="D638" s="4">
        <v>1</v>
      </c>
      <c r="E638" s="4">
        <v>0</v>
      </c>
      <c r="F638" s="4" t="s">
        <v>130</v>
      </c>
      <c r="G638" s="4">
        <v>5</v>
      </c>
      <c r="H638" s="4">
        <v>2</v>
      </c>
      <c r="I638" s="4" t="s">
        <v>247</v>
      </c>
      <c r="J638" s="7">
        <v>3</v>
      </c>
      <c r="K638" s="4" t="s">
        <v>249</v>
      </c>
    </row>
    <row r="639" spans="1:11" ht="27.9" customHeight="1" x14ac:dyDescent="0.3">
      <c r="A639" s="3">
        <v>45710</v>
      </c>
      <c r="B639" s="4" t="s">
        <v>133</v>
      </c>
      <c r="C639" s="4" t="s">
        <v>142</v>
      </c>
      <c r="D639" s="4">
        <v>1</v>
      </c>
      <c r="E639" s="4">
        <v>0</v>
      </c>
      <c r="F639" s="4" t="s">
        <v>130</v>
      </c>
      <c r="G639" s="4">
        <v>13</v>
      </c>
      <c r="H639" s="4">
        <v>5</v>
      </c>
      <c r="I639" s="4" t="s">
        <v>247</v>
      </c>
      <c r="J639" s="7">
        <v>3</v>
      </c>
      <c r="K639" s="4" t="s">
        <v>249</v>
      </c>
    </row>
    <row r="640" spans="1:11" ht="27.9" customHeight="1" x14ac:dyDescent="0.3">
      <c r="A640" s="3">
        <v>45710</v>
      </c>
      <c r="B640" s="4" t="s">
        <v>149</v>
      </c>
      <c r="C640" s="4" t="s">
        <v>123</v>
      </c>
      <c r="D640" s="4">
        <v>2</v>
      </c>
      <c r="E640" s="4">
        <v>0</v>
      </c>
      <c r="F640" s="4" t="s">
        <v>130</v>
      </c>
      <c r="G640" s="4">
        <v>10</v>
      </c>
      <c r="H640" s="4">
        <v>5</v>
      </c>
      <c r="I640" s="4" t="s">
        <v>247</v>
      </c>
      <c r="J640" s="7">
        <v>3</v>
      </c>
      <c r="K640" s="4" t="s">
        <v>249</v>
      </c>
    </row>
    <row r="641" spans="1:11" ht="27.9" customHeight="1" x14ac:dyDescent="0.3">
      <c r="A641" s="3">
        <v>45710</v>
      </c>
      <c r="B641" s="4" t="s">
        <v>156</v>
      </c>
      <c r="C641" s="4" t="s">
        <v>128</v>
      </c>
      <c r="D641" s="4">
        <v>4</v>
      </c>
      <c r="E641" s="4">
        <v>1</v>
      </c>
      <c r="F641" s="4" t="s">
        <v>130</v>
      </c>
      <c r="G641" s="4">
        <v>10</v>
      </c>
      <c r="H641" s="4">
        <v>6</v>
      </c>
      <c r="I641" s="4" t="s">
        <v>247</v>
      </c>
      <c r="J641" s="7">
        <v>3</v>
      </c>
      <c r="K641" s="4" t="s">
        <v>249</v>
      </c>
    </row>
    <row r="642" spans="1:11" ht="27.9" customHeight="1" x14ac:dyDescent="0.3">
      <c r="A642" s="3">
        <v>45710</v>
      </c>
      <c r="B642" s="4" t="s">
        <v>136</v>
      </c>
      <c r="C642" s="4" t="s">
        <v>139</v>
      </c>
      <c r="D642" s="4">
        <v>4</v>
      </c>
      <c r="E642" s="4">
        <v>0</v>
      </c>
      <c r="F642" s="4" t="s">
        <v>130</v>
      </c>
      <c r="G642" s="4">
        <v>18</v>
      </c>
      <c r="H642" s="4">
        <v>12</v>
      </c>
      <c r="I642" s="4" t="s">
        <v>247</v>
      </c>
      <c r="J642" s="7">
        <v>3</v>
      </c>
      <c r="K642" s="4" t="s">
        <v>249</v>
      </c>
    </row>
    <row r="643" spans="1:11" ht="27.9" customHeight="1" x14ac:dyDescent="0.3">
      <c r="A643" s="3">
        <v>45710</v>
      </c>
      <c r="B643" s="4" t="s">
        <v>151</v>
      </c>
      <c r="C643" s="4" t="s">
        <v>145</v>
      </c>
      <c r="D643" s="4">
        <v>1</v>
      </c>
      <c r="E643" s="4">
        <v>2</v>
      </c>
      <c r="F643" s="4" t="s">
        <v>124</v>
      </c>
      <c r="G643" s="4">
        <v>15</v>
      </c>
      <c r="H643" s="4">
        <v>7</v>
      </c>
      <c r="I643" s="4" t="s">
        <v>247</v>
      </c>
      <c r="J643" s="7">
        <v>0</v>
      </c>
      <c r="K643" s="4" t="s">
        <v>250</v>
      </c>
    </row>
    <row r="644" spans="1:11" ht="27.9" customHeight="1" x14ac:dyDescent="0.3">
      <c r="A644" s="3">
        <v>45711</v>
      </c>
      <c r="B644" s="4" t="s">
        <v>141</v>
      </c>
      <c r="C644" s="4" t="s">
        <v>138</v>
      </c>
      <c r="D644" s="4">
        <v>3</v>
      </c>
      <c r="E644" s="4">
        <v>4</v>
      </c>
      <c r="F644" s="4" t="s">
        <v>124</v>
      </c>
      <c r="G644" s="4">
        <v>17</v>
      </c>
      <c r="H644" s="4">
        <v>5</v>
      </c>
      <c r="I644" s="4" t="s">
        <v>247</v>
      </c>
      <c r="J644" s="7">
        <v>0</v>
      </c>
      <c r="K644" s="4" t="s">
        <v>250</v>
      </c>
    </row>
    <row r="645" spans="1:11" ht="27.9" customHeight="1" x14ac:dyDescent="0.3">
      <c r="A645" s="3">
        <v>45711</v>
      </c>
      <c r="B645" s="4" t="s">
        <v>129</v>
      </c>
      <c r="C645" s="4" t="s">
        <v>152</v>
      </c>
      <c r="D645" s="4">
        <v>2</v>
      </c>
      <c r="E645" s="4">
        <v>0</v>
      </c>
      <c r="F645" s="4" t="s">
        <v>130</v>
      </c>
      <c r="G645" s="4">
        <v>8</v>
      </c>
      <c r="H645" s="4">
        <v>4</v>
      </c>
      <c r="I645" s="4" t="s">
        <v>247</v>
      </c>
      <c r="J645" s="7">
        <v>3</v>
      </c>
      <c r="K645" s="4" t="s">
        <v>249</v>
      </c>
    </row>
    <row r="646" spans="1:11" ht="27.9" customHeight="1" x14ac:dyDescent="0.3">
      <c r="A646" s="3">
        <v>45713</v>
      </c>
      <c r="B646" s="4" t="s">
        <v>142</v>
      </c>
      <c r="C646" s="4" t="s">
        <v>136</v>
      </c>
      <c r="D646" s="4">
        <v>1</v>
      </c>
      <c r="E646" s="4">
        <v>2</v>
      </c>
      <c r="F646" s="4" t="s">
        <v>124</v>
      </c>
      <c r="G646" s="4">
        <v>19</v>
      </c>
      <c r="H646" s="4">
        <v>5</v>
      </c>
      <c r="I646" s="4" t="s">
        <v>247</v>
      </c>
      <c r="J646" s="7">
        <v>0</v>
      </c>
      <c r="K646" s="4" t="s">
        <v>250</v>
      </c>
    </row>
    <row r="647" spans="1:11" ht="27.9" customHeight="1" x14ac:dyDescent="0.3">
      <c r="A647" s="3">
        <v>45713</v>
      </c>
      <c r="B647" s="4" t="s">
        <v>145</v>
      </c>
      <c r="C647" s="4" t="s">
        <v>149</v>
      </c>
      <c r="D647" s="4">
        <v>1</v>
      </c>
      <c r="E647" s="4">
        <v>4</v>
      </c>
      <c r="F647" s="4" t="s">
        <v>124</v>
      </c>
      <c r="G647" s="4">
        <v>6</v>
      </c>
      <c r="H647" s="4">
        <v>2</v>
      </c>
      <c r="I647" s="4" t="s">
        <v>247</v>
      </c>
      <c r="J647" s="7">
        <v>0</v>
      </c>
      <c r="K647" s="4" t="s">
        <v>250</v>
      </c>
    </row>
    <row r="648" spans="1:11" ht="27.9" customHeight="1" x14ac:dyDescent="0.3">
      <c r="A648" s="3">
        <v>45713</v>
      </c>
      <c r="B648" s="4" t="s">
        <v>123</v>
      </c>
      <c r="C648" s="4" t="s">
        <v>133</v>
      </c>
      <c r="D648" s="4">
        <v>2</v>
      </c>
      <c r="E648" s="4">
        <v>1</v>
      </c>
      <c r="F648" s="4" t="s">
        <v>130</v>
      </c>
      <c r="G648" s="4">
        <v>11</v>
      </c>
      <c r="H648" s="4">
        <v>5</v>
      </c>
      <c r="I648" s="4" t="s">
        <v>247</v>
      </c>
      <c r="J648" s="7">
        <v>3</v>
      </c>
      <c r="K648" s="4" t="s">
        <v>249</v>
      </c>
    </row>
    <row r="649" spans="1:11" ht="27.9" customHeight="1" x14ac:dyDescent="0.3">
      <c r="A649" s="3">
        <v>45713</v>
      </c>
      <c r="B649" s="4" t="s">
        <v>139</v>
      </c>
      <c r="C649" s="4" t="s">
        <v>151</v>
      </c>
      <c r="D649" s="4">
        <v>0</v>
      </c>
      <c r="E649" s="4">
        <v>4</v>
      </c>
      <c r="F649" s="4" t="s">
        <v>124</v>
      </c>
      <c r="G649" s="4">
        <v>7</v>
      </c>
      <c r="H649" s="4">
        <v>2</v>
      </c>
      <c r="I649" s="4" t="s">
        <v>247</v>
      </c>
      <c r="J649" s="7">
        <v>0</v>
      </c>
      <c r="K649" s="4" t="s">
        <v>250</v>
      </c>
    </row>
    <row r="650" spans="1:11" ht="27.9" customHeight="1" x14ac:dyDescent="0.3">
      <c r="A650" s="3">
        <v>45714</v>
      </c>
      <c r="B650" s="4" t="s">
        <v>135</v>
      </c>
      <c r="C650" s="4" t="s">
        <v>148</v>
      </c>
      <c r="D650" s="4">
        <v>1</v>
      </c>
      <c r="E650" s="4">
        <v>1</v>
      </c>
      <c r="F650" s="4" t="s">
        <v>125</v>
      </c>
      <c r="G650" s="4">
        <v>14</v>
      </c>
      <c r="H650" s="4">
        <v>4</v>
      </c>
      <c r="I650" s="4" t="s">
        <v>247</v>
      </c>
      <c r="J650" s="7">
        <v>1</v>
      </c>
      <c r="K650" s="4" t="s">
        <v>125</v>
      </c>
    </row>
    <row r="651" spans="1:11" ht="27.9" customHeight="1" x14ac:dyDescent="0.3">
      <c r="A651" s="3">
        <v>45714</v>
      </c>
      <c r="B651" s="4" t="s">
        <v>128</v>
      </c>
      <c r="C651" s="4" t="s">
        <v>122</v>
      </c>
      <c r="D651" s="4">
        <v>2</v>
      </c>
      <c r="E651" s="4">
        <v>3</v>
      </c>
      <c r="F651" s="4" t="s">
        <v>124</v>
      </c>
      <c r="G651" s="4">
        <v>12</v>
      </c>
      <c r="H651" s="4">
        <v>3</v>
      </c>
      <c r="I651" s="4" t="s">
        <v>247</v>
      </c>
      <c r="J651" s="7">
        <v>0</v>
      </c>
      <c r="K651" s="4" t="s">
        <v>250</v>
      </c>
    </row>
    <row r="652" spans="1:11" ht="27.9" customHeight="1" x14ac:dyDescent="0.3">
      <c r="A652" s="3">
        <v>45714</v>
      </c>
      <c r="B652" s="4" t="s">
        <v>132</v>
      </c>
      <c r="C652" s="4" t="s">
        <v>141</v>
      </c>
      <c r="D652" s="4">
        <v>0</v>
      </c>
      <c r="E652" s="4">
        <v>0</v>
      </c>
      <c r="F652" s="4" t="s">
        <v>125</v>
      </c>
      <c r="G652" s="4">
        <v>13</v>
      </c>
      <c r="H652" s="4">
        <v>1</v>
      </c>
      <c r="I652" s="4" t="s">
        <v>247</v>
      </c>
      <c r="J652" s="7">
        <v>1</v>
      </c>
      <c r="K652" s="4" t="s">
        <v>125</v>
      </c>
    </row>
    <row r="653" spans="1:11" ht="27.9" customHeight="1" x14ac:dyDescent="0.3">
      <c r="A653" s="3">
        <v>45714</v>
      </c>
      <c r="B653" s="4" t="s">
        <v>152</v>
      </c>
      <c r="C653" s="4" t="s">
        <v>156</v>
      </c>
      <c r="D653" s="4">
        <v>1</v>
      </c>
      <c r="E653" s="4">
        <v>0</v>
      </c>
      <c r="F653" s="4" t="s">
        <v>130</v>
      </c>
      <c r="G653" s="4">
        <v>12</v>
      </c>
      <c r="H653" s="4">
        <v>5</v>
      </c>
      <c r="I653" s="4" t="s">
        <v>247</v>
      </c>
      <c r="J653" s="7">
        <v>3</v>
      </c>
      <c r="K653" s="4" t="s">
        <v>249</v>
      </c>
    </row>
    <row r="654" spans="1:11" ht="27.9" customHeight="1" x14ac:dyDescent="0.3">
      <c r="A654" s="3">
        <v>45714</v>
      </c>
      <c r="B654" s="4" t="s">
        <v>138</v>
      </c>
      <c r="C654" s="4" t="s">
        <v>129</v>
      </c>
      <c r="D654" s="4">
        <v>0</v>
      </c>
      <c r="E654" s="4">
        <v>2</v>
      </c>
      <c r="F654" s="4" t="s">
        <v>124</v>
      </c>
      <c r="G654" s="4">
        <v>3</v>
      </c>
      <c r="H654" s="4">
        <v>0</v>
      </c>
      <c r="I654" s="4" t="s">
        <v>247</v>
      </c>
      <c r="J654" s="7">
        <v>0</v>
      </c>
      <c r="K654" s="4" t="s">
        <v>250</v>
      </c>
    </row>
    <row r="655" spans="1:11" ht="27.9" customHeight="1" x14ac:dyDescent="0.3">
      <c r="A655" s="3">
        <v>45715</v>
      </c>
      <c r="B655" s="4" t="s">
        <v>155</v>
      </c>
      <c r="C655" s="4" t="s">
        <v>144</v>
      </c>
      <c r="D655" s="4">
        <v>0</v>
      </c>
      <c r="E655" s="4">
        <v>2</v>
      </c>
      <c r="F655" s="4" t="s">
        <v>124</v>
      </c>
      <c r="G655" s="4">
        <v>10</v>
      </c>
      <c r="H655" s="4">
        <v>2</v>
      </c>
      <c r="I655" s="4" t="s">
        <v>247</v>
      </c>
      <c r="J655" s="7">
        <v>0</v>
      </c>
      <c r="K655" s="4" t="s">
        <v>250</v>
      </c>
    </row>
    <row r="656" spans="1:11" ht="27.9" customHeight="1" x14ac:dyDescent="0.3">
      <c r="A656" s="3">
        <v>45724</v>
      </c>
      <c r="B656" s="4" t="s">
        <v>152</v>
      </c>
      <c r="C656" s="4" t="s">
        <v>141</v>
      </c>
      <c r="D656" s="4">
        <v>0</v>
      </c>
      <c r="E656" s="4">
        <v>1</v>
      </c>
      <c r="F656" s="4" t="s">
        <v>124</v>
      </c>
      <c r="G656" s="4">
        <v>14</v>
      </c>
      <c r="H656" s="4">
        <v>3</v>
      </c>
      <c r="I656" s="4" t="s">
        <v>247</v>
      </c>
      <c r="J656" s="7">
        <v>0</v>
      </c>
      <c r="K656" s="4" t="s">
        <v>250</v>
      </c>
    </row>
    <row r="657" spans="1:11" ht="27.9" customHeight="1" x14ac:dyDescent="0.3">
      <c r="A657" s="3">
        <v>45724</v>
      </c>
      <c r="B657" s="4" t="s">
        <v>123</v>
      </c>
      <c r="C657" s="4" t="s">
        <v>136</v>
      </c>
      <c r="D657" s="4">
        <v>1</v>
      </c>
      <c r="E657" s="4">
        <v>2</v>
      </c>
      <c r="F657" s="4" t="s">
        <v>124</v>
      </c>
      <c r="G657" s="4">
        <v>6</v>
      </c>
      <c r="H657" s="4">
        <v>1</v>
      </c>
      <c r="I657" s="4" t="s">
        <v>247</v>
      </c>
      <c r="J657" s="7">
        <v>0</v>
      </c>
      <c r="K657" s="4" t="s">
        <v>250</v>
      </c>
    </row>
    <row r="658" spans="1:11" ht="27.9" customHeight="1" x14ac:dyDescent="0.3">
      <c r="A658" s="3">
        <v>45724</v>
      </c>
      <c r="B658" s="4" t="s">
        <v>128</v>
      </c>
      <c r="C658" s="4" t="s">
        <v>149</v>
      </c>
      <c r="D658" s="4">
        <v>0</v>
      </c>
      <c r="E658" s="4">
        <v>1</v>
      </c>
      <c r="F658" s="4" t="s">
        <v>124</v>
      </c>
      <c r="G658" s="4">
        <v>15</v>
      </c>
      <c r="H658" s="4">
        <v>8</v>
      </c>
      <c r="I658" s="4" t="s">
        <v>247</v>
      </c>
      <c r="J658" s="7">
        <v>0</v>
      </c>
      <c r="K658" s="4" t="s">
        <v>250</v>
      </c>
    </row>
    <row r="659" spans="1:11" ht="27.9" customHeight="1" x14ac:dyDescent="0.3">
      <c r="A659" s="3">
        <v>45724</v>
      </c>
      <c r="B659" s="4" t="s">
        <v>139</v>
      </c>
      <c r="C659" s="4" t="s">
        <v>129</v>
      </c>
      <c r="D659" s="4">
        <v>1</v>
      </c>
      <c r="E659" s="4">
        <v>3</v>
      </c>
      <c r="F659" s="4" t="s">
        <v>124</v>
      </c>
      <c r="G659" s="4">
        <v>6</v>
      </c>
      <c r="H659" s="4">
        <v>4</v>
      </c>
      <c r="I659" s="4" t="s">
        <v>247</v>
      </c>
      <c r="J659" s="7">
        <v>0</v>
      </c>
      <c r="K659" s="4" t="s">
        <v>250</v>
      </c>
    </row>
    <row r="660" spans="1:11" ht="27.9" customHeight="1" x14ac:dyDescent="0.3">
      <c r="A660" s="3">
        <v>45724</v>
      </c>
      <c r="B660" s="4" t="s">
        <v>145</v>
      </c>
      <c r="C660" s="4" t="s">
        <v>148</v>
      </c>
      <c r="D660" s="4">
        <v>1</v>
      </c>
      <c r="E660" s="4">
        <v>0</v>
      </c>
      <c r="F660" s="4" t="s">
        <v>130</v>
      </c>
      <c r="G660" s="4">
        <v>12</v>
      </c>
      <c r="H660" s="4">
        <v>4</v>
      </c>
      <c r="I660" s="4" t="s">
        <v>247</v>
      </c>
      <c r="J660" s="7">
        <v>3</v>
      </c>
      <c r="K660" s="4" t="s">
        <v>249</v>
      </c>
    </row>
    <row r="661" spans="1:11" ht="27.9" customHeight="1" x14ac:dyDescent="0.3">
      <c r="A661" s="3">
        <v>45724</v>
      </c>
      <c r="B661" s="4" t="s">
        <v>135</v>
      </c>
      <c r="C661" s="4" t="s">
        <v>133</v>
      </c>
      <c r="D661" s="4">
        <v>1</v>
      </c>
      <c r="E661" s="4">
        <v>1</v>
      </c>
      <c r="F661" s="4" t="s">
        <v>125</v>
      </c>
      <c r="G661" s="4">
        <v>12</v>
      </c>
      <c r="H661" s="4">
        <v>4</v>
      </c>
      <c r="I661" s="4" t="s">
        <v>247</v>
      </c>
      <c r="J661" s="7">
        <v>1</v>
      </c>
      <c r="K661" s="4" t="s">
        <v>125</v>
      </c>
    </row>
    <row r="662" spans="1:11" ht="27.9" customHeight="1" x14ac:dyDescent="0.3">
      <c r="A662" s="3">
        <v>45725</v>
      </c>
      <c r="B662" s="4" t="s">
        <v>155</v>
      </c>
      <c r="C662" s="4" t="s">
        <v>151</v>
      </c>
      <c r="D662" s="4">
        <v>0</v>
      </c>
      <c r="E662" s="4">
        <v>1</v>
      </c>
      <c r="F662" s="4" t="s">
        <v>124</v>
      </c>
      <c r="G662" s="4">
        <v>3</v>
      </c>
      <c r="H662" s="4">
        <v>3</v>
      </c>
      <c r="I662" s="4" t="s">
        <v>247</v>
      </c>
      <c r="J662" s="7">
        <v>0</v>
      </c>
      <c r="K662" s="4" t="s">
        <v>250</v>
      </c>
    </row>
    <row r="663" spans="1:11" ht="27.9" customHeight="1" x14ac:dyDescent="0.3">
      <c r="A663" s="3">
        <v>45725</v>
      </c>
      <c r="B663" s="4" t="s">
        <v>142</v>
      </c>
      <c r="C663" s="4" t="s">
        <v>156</v>
      </c>
      <c r="D663" s="4">
        <v>2</v>
      </c>
      <c r="E663" s="4">
        <v>2</v>
      </c>
      <c r="F663" s="4" t="s">
        <v>125</v>
      </c>
      <c r="G663" s="4">
        <v>17</v>
      </c>
      <c r="H663" s="4">
        <v>8</v>
      </c>
      <c r="I663" s="4" t="s">
        <v>247</v>
      </c>
      <c r="J663" s="7">
        <v>1</v>
      </c>
      <c r="K663" s="4" t="s">
        <v>125</v>
      </c>
    </row>
    <row r="664" spans="1:11" ht="27.9" customHeight="1" x14ac:dyDescent="0.3">
      <c r="A664" s="3">
        <v>45725</v>
      </c>
      <c r="B664" s="4" t="s">
        <v>132</v>
      </c>
      <c r="C664" s="4" t="s">
        <v>122</v>
      </c>
      <c r="D664" s="4">
        <v>1</v>
      </c>
      <c r="E664" s="4">
        <v>1</v>
      </c>
      <c r="F664" s="4" t="s">
        <v>125</v>
      </c>
      <c r="G664" s="4">
        <v>17</v>
      </c>
      <c r="H664" s="4">
        <v>6</v>
      </c>
      <c r="I664" s="4" t="s">
        <v>247</v>
      </c>
      <c r="J664" s="7">
        <v>1</v>
      </c>
      <c r="K664" s="4" t="s">
        <v>125</v>
      </c>
    </row>
    <row r="665" spans="1:11" ht="27.9" customHeight="1" x14ac:dyDescent="0.3">
      <c r="A665" s="3">
        <v>45726</v>
      </c>
      <c r="B665" s="4" t="s">
        <v>138</v>
      </c>
      <c r="C665" s="4" t="s">
        <v>144</v>
      </c>
      <c r="D665" s="4">
        <v>1</v>
      </c>
      <c r="E665" s="4">
        <v>0</v>
      </c>
      <c r="F665" s="4" t="s">
        <v>130</v>
      </c>
      <c r="G665" s="4">
        <v>9</v>
      </c>
      <c r="H665" s="4">
        <v>3</v>
      </c>
      <c r="I665" s="4" t="s">
        <v>247</v>
      </c>
      <c r="J665" s="7">
        <v>3</v>
      </c>
      <c r="K665" s="4" t="s">
        <v>249</v>
      </c>
    </row>
    <row r="666" spans="1:11" ht="27.9" customHeight="1" x14ac:dyDescent="0.3">
      <c r="A666" s="3">
        <v>45731</v>
      </c>
      <c r="B666" s="4" t="s">
        <v>144</v>
      </c>
      <c r="C666" s="4" t="s">
        <v>135</v>
      </c>
      <c r="D666" s="4">
        <v>1</v>
      </c>
      <c r="E666" s="4">
        <v>1</v>
      </c>
      <c r="F666" s="4" t="s">
        <v>125</v>
      </c>
      <c r="G666" s="4">
        <v>10</v>
      </c>
      <c r="H666" s="4">
        <v>5</v>
      </c>
      <c r="I666" s="4" t="s">
        <v>247</v>
      </c>
      <c r="J666" s="7">
        <v>1</v>
      </c>
      <c r="K666" s="4" t="s">
        <v>125</v>
      </c>
    </row>
    <row r="667" spans="1:11" ht="27.9" customHeight="1" x14ac:dyDescent="0.3">
      <c r="A667" s="3">
        <v>45731</v>
      </c>
      <c r="B667" s="4" t="s">
        <v>141</v>
      </c>
      <c r="C667" s="4" t="s">
        <v>128</v>
      </c>
      <c r="D667" s="4">
        <v>4</v>
      </c>
      <c r="E667" s="4">
        <v>2</v>
      </c>
      <c r="F667" s="4" t="s">
        <v>130</v>
      </c>
      <c r="G667" s="4">
        <v>11</v>
      </c>
      <c r="H667" s="4">
        <v>6</v>
      </c>
      <c r="I667" s="4" t="s">
        <v>247</v>
      </c>
      <c r="J667" s="7">
        <v>3</v>
      </c>
      <c r="K667" s="4" t="s">
        <v>249</v>
      </c>
    </row>
    <row r="668" spans="1:11" ht="27.9" customHeight="1" x14ac:dyDescent="0.3">
      <c r="A668" s="3">
        <v>45731</v>
      </c>
      <c r="B668" s="4" t="s">
        <v>136</v>
      </c>
      <c r="C668" s="4" t="s">
        <v>152</v>
      </c>
      <c r="D668" s="4">
        <v>2</v>
      </c>
      <c r="E668" s="4">
        <v>2</v>
      </c>
      <c r="F668" s="4" t="s">
        <v>125</v>
      </c>
      <c r="G668" s="4">
        <v>15</v>
      </c>
      <c r="H668" s="4">
        <v>3</v>
      </c>
      <c r="I668" s="4" t="s">
        <v>247</v>
      </c>
      <c r="J668" s="7">
        <v>1</v>
      </c>
      <c r="K668" s="4" t="s">
        <v>125</v>
      </c>
    </row>
    <row r="669" spans="1:11" ht="27.9" customHeight="1" x14ac:dyDescent="0.3">
      <c r="A669" s="3">
        <v>45731</v>
      </c>
      <c r="B669" s="4" t="s">
        <v>133</v>
      </c>
      <c r="C669" s="4" t="s">
        <v>139</v>
      </c>
      <c r="D669" s="4">
        <v>2</v>
      </c>
      <c r="E669" s="4">
        <v>1</v>
      </c>
      <c r="F669" s="4" t="s">
        <v>130</v>
      </c>
      <c r="G669" s="4">
        <v>5</v>
      </c>
      <c r="H669" s="4">
        <v>3</v>
      </c>
      <c r="I669" s="4" t="s">
        <v>247</v>
      </c>
      <c r="J669" s="7">
        <v>3</v>
      </c>
      <c r="K669" s="4" t="s">
        <v>249</v>
      </c>
    </row>
    <row r="670" spans="1:11" ht="27.9" customHeight="1" x14ac:dyDescent="0.3">
      <c r="A670" s="3">
        <v>45731</v>
      </c>
      <c r="B670" s="4" t="s">
        <v>148</v>
      </c>
      <c r="C670" s="4" t="s">
        <v>142</v>
      </c>
      <c r="D670" s="4">
        <v>2</v>
      </c>
      <c r="E670" s="4">
        <v>1</v>
      </c>
      <c r="F670" s="4" t="s">
        <v>130</v>
      </c>
      <c r="G670" s="4">
        <v>10</v>
      </c>
      <c r="H670" s="4">
        <v>4</v>
      </c>
      <c r="I670" s="4" t="s">
        <v>247</v>
      </c>
      <c r="J670" s="7">
        <v>3</v>
      </c>
      <c r="K670" s="4" t="s">
        <v>249</v>
      </c>
    </row>
    <row r="671" spans="1:11" ht="27.9" customHeight="1" x14ac:dyDescent="0.3">
      <c r="A671" s="3">
        <v>45732</v>
      </c>
      <c r="B671" s="4" t="s">
        <v>151</v>
      </c>
      <c r="C671" s="4" t="s">
        <v>132</v>
      </c>
      <c r="D671" s="4">
        <v>0</v>
      </c>
      <c r="E671" s="4">
        <v>1</v>
      </c>
      <c r="F671" s="4" t="s">
        <v>124</v>
      </c>
      <c r="G671" s="4">
        <v>8</v>
      </c>
      <c r="H671" s="4">
        <v>2</v>
      </c>
      <c r="I671" s="4" t="s">
        <v>247</v>
      </c>
      <c r="J671" s="7">
        <v>0</v>
      </c>
      <c r="K671" s="4" t="s">
        <v>250</v>
      </c>
    </row>
    <row r="672" spans="1:11" ht="27.9" customHeight="1" x14ac:dyDescent="0.3">
      <c r="A672" s="3">
        <v>45732</v>
      </c>
      <c r="B672" s="4" t="s">
        <v>156</v>
      </c>
      <c r="C672" s="4" t="s">
        <v>123</v>
      </c>
      <c r="D672" s="4">
        <v>0</v>
      </c>
      <c r="E672" s="4">
        <v>2</v>
      </c>
      <c r="F672" s="4" t="s">
        <v>124</v>
      </c>
      <c r="G672" s="4">
        <v>12</v>
      </c>
      <c r="H672" s="4">
        <v>4</v>
      </c>
      <c r="I672" s="4" t="s">
        <v>247</v>
      </c>
      <c r="J672" s="7">
        <v>0</v>
      </c>
      <c r="K672" s="4" t="s">
        <v>250</v>
      </c>
    </row>
    <row r="673" spans="1:11" ht="27.9" customHeight="1" x14ac:dyDescent="0.3">
      <c r="A673" s="3">
        <v>45732</v>
      </c>
      <c r="B673" s="4" t="s">
        <v>122</v>
      </c>
      <c r="C673" s="4" t="s">
        <v>155</v>
      </c>
      <c r="D673" s="4">
        <v>3</v>
      </c>
      <c r="E673" s="4">
        <v>0</v>
      </c>
      <c r="F673" s="4" t="s">
        <v>130</v>
      </c>
      <c r="G673" s="4">
        <v>18</v>
      </c>
      <c r="H673" s="4">
        <v>5</v>
      </c>
      <c r="I673" s="4" t="s">
        <v>247</v>
      </c>
      <c r="J673" s="7">
        <v>3</v>
      </c>
      <c r="K673" s="4" t="s">
        <v>249</v>
      </c>
    </row>
    <row r="674" spans="1:11" ht="27.9" customHeight="1" x14ac:dyDescent="0.3">
      <c r="A674" s="3">
        <v>45748</v>
      </c>
      <c r="B674" s="4" t="s">
        <v>123</v>
      </c>
      <c r="C674" s="4" t="s">
        <v>132</v>
      </c>
      <c r="D674" s="4">
        <v>1</v>
      </c>
      <c r="E674" s="4">
        <v>2</v>
      </c>
      <c r="F674" s="4" t="s">
        <v>124</v>
      </c>
      <c r="G674" s="4">
        <v>9</v>
      </c>
      <c r="H674" s="4">
        <v>3</v>
      </c>
      <c r="I674" s="4" t="s">
        <v>247</v>
      </c>
      <c r="J674" s="7">
        <v>0</v>
      </c>
      <c r="K674" s="4" t="s">
        <v>250</v>
      </c>
    </row>
    <row r="675" spans="1:11" ht="27.9" customHeight="1" x14ac:dyDescent="0.3">
      <c r="A675" s="3">
        <v>45748</v>
      </c>
      <c r="B675" s="4" t="s">
        <v>144</v>
      </c>
      <c r="C675" s="4" t="s">
        <v>133</v>
      </c>
      <c r="D675" s="4">
        <v>0</v>
      </c>
      <c r="E675" s="4">
        <v>1</v>
      </c>
      <c r="F675" s="4" t="s">
        <v>124</v>
      </c>
      <c r="G675" s="4">
        <v>10</v>
      </c>
      <c r="H675" s="4">
        <v>1</v>
      </c>
      <c r="I675" s="4" t="s">
        <v>247</v>
      </c>
      <c r="J675" s="7">
        <v>0</v>
      </c>
      <c r="K675" s="4" t="s">
        <v>250</v>
      </c>
    </row>
    <row r="676" spans="1:11" ht="27.9" customHeight="1" x14ac:dyDescent="0.3">
      <c r="A676" s="3">
        <v>45748</v>
      </c>
      <c r="B676" s="4" t="s">
        <v>122</v>
      </c>
      <c r="C676" s="4" t="s">
        <v>141</v>
      </c>
      <c r="D676" s="4">
        <v>0</v>
      </c>
      <c r="E676" s="4">
        <v>1</v>
      </c>
      <c r="F676" s="4" t="s">
        <v>124</v>
      </c>
      <c r="G676" s="4">
        <v>23</v>
      </c>
      <c r="H676" s="4">
        <v>6</v>
      </c>
      <c r="I676" s="4" t="s">
        <v>247</v>
      </c>
      <c r="J676" s="7">
        <v>0</v>
      </c>
      <c r="K676" s="4" t="s">
        <v>250</v>
      </c>
    </row>
    <row r="677" spans="1:11" ht="27.9" customHeight="1" x14ac:dyDescent="0.3">
      <c r="A677" s="3">
        <v>45749</v>
      </c>
      <c r="B677" s="4" t="s">
        <v>128</v>
      </c>
      <c r="C677" s="4" t="s">
        <v>142</v>
      </c>
      <c r="D677" s="4">
        <v>2</v>
      </c>
      <c r="E677" s="4">
        <v>1</v>
      </c>
      <c r="F677" s="4" t="s">
        <v>130</v>
      </c>
      <c r="G677" s="4">
        <v>10</v>
      </c>
      <c r="H677" s="4">
        <v>2</v>
      </c>
      <c r="I677" s="4" t="s">
        <v>247</v>
      </c>
      <c r="J677" s="7">
        <v>3</v>
      </c>
      <c r="K677" s="4" t="s">
        <v>249</v>
      </c>
    </row>
    <row r="678" spans="1:11" ht="27.9" customHeight="1" x14ac:dyDescent="0.3">
      <c r="A678" s="3">
        <v>45749</v>
      </c>
      <c r="B678" s="4" t="s">
        <v>145</v>
      </c>
      <c r="C678" s="4" t="s">
        <v>136</v>
      </c>
      <c r="D678" s="4">
        <v>3</v>
      </c>
      <c r="E678" s="4">
        <v>0</v>
      </c>
      <c r="F678" s="4" t="s">
        <v>130</v>
      </c>
      <c r="G678" s="4">
        <v>8</v>
      </c>
      <c r="H678" s="4">
        <v>5</v>
      </c>
      <c r="I678" s="4" t="s">
        <v>247</v>
      </c>
      <c r="J678" s="7">
        <v>3</v>
      </c>
      <c r="K678" s="4" t="s">
        <v>249</v>
      </c>
    </row>
    <row r="679" spans="1:11" ht="27.9" customHeight="1" x14ac:dyDescent="0.3">
      <c r="A679" s="3">
        <v>45749</v>
      </c>
      <c r="B679" s="4" t="s">
        <v>155</v>
      </c>
      <c r="C679" s="4" t="s">
        <v>152</v>
      </c>
      <c r="D679" s="4">
        <v>0</v>
      </c>
      <c r="E679" s="4">
        <v>2</v>
      </c>
      <c r="F679" s="4" t="s">
        <v>124</v>
      </c>
      <c r="G679" s="4">
        <v>2</v>
      </c>
      <c r="H679" s="4">
        <v>0</v>
      </c>
      <c r="I679" s="4" t="s">
        <v>247</v>
      </c>
      <c r="J679" s="7">
        <v>0</v>
      </c>
      <c r="K679" s="4" t="s">
        <v>250</v>
      </c>
    </row>
    <row r="680" spans="1:11" ht="27.9" customHeight="1" x14ac:dyDescent="0.3">
      <c r="A680" s="3">
        <v>45749</v>
      </c>
      <c r="B680" s="4" t="s">
        <v>148</v>
      </c>
      <c r="C680" s="4" t="s">
        <v>138</v>
      </c>
      <c r="D680" s="4">
        <v>1</v>
      </c>
      <c r="E680" s="4">
        <v>2</v>
      </c>
      <c r="F680" s="4" t="s">
        <v>124</v>
      </c>
      <c r="G680" s="4">
        <v>12</v>
      </c>
      <c r="H680" s="4">
        <v>3</v>
      </c>
      <c r="I680" s="4" t="s">
        <v>247</v>
      </c>
      <c r="J680" s="7">
        <v>0</v>
      </c>
      <c r="K680" s="4" t="s">
        <v>250</v>
      </c>
    </row>
    <row r="681" spans="1:11" ht="27.9" customHeight="1" x14ac:dyDescent="0.3">
      <c r="A681" s="3">
        <v>45749</v>
      </c>
      <c r="B681" s="4" t="s">
        <v>149</v>
      </c>
      <c r="C681" s="4" t="s">
        <v>139</v>
      </c>
      <c r="D681" s="4">
        <v>1</v>
      </c>
      <c r="E681" s="4">
        <v>1</v>
      </c>
      <c r="F681" s="4" t="s">
        <v>125</v>
      </c>
      <c r="G681" s="4">
        <v>9</v>
      </c>
      <c r="H681" s="4">
        <v>3</v>
      </c>
      <c r="I681" s="4" t="s">
        <v>247</v>
      </c>
      <c r="J681" s="7">
        <v>1</v>
      </c>
      <c r="K681" s="4" t="s">
        <v>125</v>
      </c>
    </row>
    <row r="682" spans="1:11" ht="27.9" customHeight="1" x14ac:dyDescent="0.3">
      <c r="A682" s="3">
        <v>45749</v>
      </c>
      <c r="B682" s="4" t="s">
        <v>135</v>
      </c>
      <c r="C682" s="4" t="s">
        <v>129</v>
      </c>
      <c r="D682" s="4">
        <v>0</v>
      </c>
      <c r="E682" s="4">
        <v>1</v>
      </c>
      <c r="F682" s="4" t="s">
        <v>124</v>
      </c>
      <c r="G682" s="4">
        <v>5</v>
      </c>
      <c r="H682" s="4">
        <v>0</v>
      </c>
      <c r="I682" s="4" t="s">
        <v>247</v>
      </c>
      <c r="J682" s="7">
        <v>0</v>
      </c>
      <c r="K682" s="4" t="s">
        <v>250</v>
      </c>
    </row>
    <row r="683" spans="1:11" ht="27.9" customHeight="1" x14ac:dyDescent="0.3">
      <c r="A683" s="3">
        <v>45750</v>
      </c>
      <c r="B683" s="4" t="s">
        <v>156</v>
      </c>
      <c r="C683" s="4" t="s">
        <v>151</v>
      </c>
      <c r="D683" s="4">
        <v>0</v>
      </c>
      <c r="E683" s="4">
        <v>1</v>
      </c>
      <c r="F683" s="4" t="s">
        <v>124</v>
      </c>
      <c r="G683" s="4">
        <v>8</v>
      </c>
      <c r="H683" s="4">
        <v>2</v>
      </c>
      <c r="I683" s="4" t="s">
        <v>247</v>
      </c>
      <c r="J683" s="7">
        <v>0</v>
      </c>
      <c r="K683" s="4" t="s">
        <v>250</v>
      </c>
    </row>
    <row r="684" spans="1:11" ht="27.9" customHeight="1" x14ac:dyDescent="0.3">
      <c r="A684" s="3">
        <v>45752</v>
      </c>
      <c r="B684" s="4" t="s">
        <v>132</v>
      </c>
      <c r="C684" s="4" t="s">
        <v>135</v>
      </c>
      <c r="D684" s="4">
        <v>1</v>
      </c>
      <c r="E684" s="4">
        <v>1</v>
      </c>
      <c r="F684" s="4" t="s">
        <v>125</v>
      </c>
      <c r="G684" s="4">
        <v>14</v>
      </c>
      <c r="H684" s="4">
        <v>5</v>
      </c>
      <c r="I684" s="4" t="s">
        <v>247</v>
      </c>
      <c r="J684" s="7">
        <v>1</v>
      </c>
      <c r="K684" s="4" t="s">
        <v>125</v>
      </c>
    </row>
    <row r="685" spans="1:11" ht="27.9" customHeight="1" x14ac:dyDescent="0.3">
      <c r="A685" s="3">
        <v>45752</v>
      </c>
      <c r="B685" s="4" t="s">
        <v>136</v>
      </c>
      <c r="C685" s="4" t="s">
        <v>149</v>
      </c>
      <c r="D685" s="4">
        <v>1</v>
      </c>
      <c r="E685" s="4">
        <v>2</v>
      </c>
      <c r="F685" s="4" t="s">
        <v>124</v>
      </c>
      <c r="G685" s="4">
        <v>11</v>
      </c>
      <c r="H685" s="4">
        <v>5</v>
      </c>
      <c r="I685" s="4" t="s">
        <v>247</v>
      </c>
      <c r="J685" s="7">
        <v>0</v>
      </c>
      <c r="K685" s="4" t="s">
        <v>250</v>
      </c>
    </row>
    <row r="686" spans="1:11" ht="27.9" customHeight="1" x14ac:dyDescent="0.3">
      <c r="A686" s="3">
        <v>45752</v>
      </c>
      <c r="B686" s="4" t="s">
        <v>133</v>
      </c>
      <c r="C686" s="4" t="s">
        <v>128</v>
      </c>
      <c r="D686" s="4">
        <v>2</v>
      </c>
      <c r="E686" s="4">
        <v>1</v>
      </c>
      <c r="F686" s="4" t="s">
        <v>130</v>
      </c>
      <c r="G686" s="4">
        <v>22</v>
      </c>
      <c r="H686" s="4">
        <v>7</v>
      </c>
      <c r="I686" s="4" t="s">
        <v>247</v>
      </c>
      <c r="J686" s="7">
        <v>3</v>
      </c>
      <c r="K686" s="4" t="s">
        <v>249</v>
      </c>
    </row>
    <row r="687" spans="1:11" ht="27.9" customHeight="1" x14ac:dyDescent="0.3">
      <c r="A687" s="3">
        <v>45752</v>
      </c>
      <c r="B687" s="4" t="s">
        <v>142</v>
      </c>
      <c r="C687" s="4" t="s">
        <v>144</v>
      </c>
      <c r="D687" s="4">
        <v>2</v>
      </c>
      <c r="E687" s="4">
        <v>2</v>
      </c>
      <c r="F687" s="4" t="s">
        <v>125</v>
      </c>
      <c r="G687" s="4">
        <v>11</v>
      </c>
      <c r="H687" s="4">
        <v>4</v>
      </c>
      <c r="I687" s="4" t="s">
        <v>247</v>
      </c>
      <c r="J687" s="7">
        <v>1</v>
      </c>
      <c r="K687" s="4" t="s">
        <v>125</v>
      </c>
    </row>
    <row r="688" spans="1:11" ht="27.9" customHeight="1" x14ac:dyDescent="0.3">
      <c r="A688" s="3">
        <v>45752</v>
      </c>
      <c r="B688" s="4" t="s">
        <v>141</v>
      </c>
      <c r="C688" s="4" t="s">
        <v>145</v>
      </c>
      <c r="D688" s="4">
        <v>1</v>
      </c>
      <c r="E688" s="4">
        <v>2</v>
      </c>
      <c r="F688" s="4" t="s">
        <v>124</v>
      </c>
      <c r="G688" s="4">
        <v>19</v>
      </c>
      <c r="H688" s="4">
        <v>3</v>
      </c>
      <c r="I688" s="4" t="s">
        <v>247</v>
      </c>
      <c r="J688" s="7">
        <v>0</v>
      </c>
      <c r="K688" s="4" t="s">
        <v>250</v>
      </c>
    </row>
    <row r="689" spans="1:11" ht="27.9" customHeight="1" x14ac:dyDescent="0.3">
      <c r="A689" s="3">
        <v>45753</v>
      </c>
      <c r="B689" s="4" t="s">
        <v>151</v>
      </c>
      <c r="C689" s="4" t="s">
        <v>148</v>
      </c>
      <c r="D689" s="4">
        <v>0</v>
      </c>
      <c r="E689" s="4">
        <v>0</v>
      </c>
      <c r="F689" s="4" t="s">
        <v>125</v>
      </c>
      <c r="G689" s="4">
        <v>21</v>
      </c>
      <c r="H689" s="4">
        <v>5</v>
      </c>
      <c r="I689" s="4" t="s">
        <v>247</v>
      </c>
      <c r="J689" s="7">
        <v>1</v>
      </c>
      <c r="K689" s="4" t="s">
        <v>125</v>
      </c>
    </row>
    <row r="690" spans="1:11" ht="27.9" customHeight="1" x14ac:dyDescent="0.3">
      <c r="A690" s="3">
        <v>45753</v>
      </c>
      <c r="B690" s="4" t="s">
        <v>129</v>
      </c>
      <c r="C690" s="4" t="s">
        <v>123</v>
      </c>
      <c r="D690" s="4">
        <v>2</v>
      </c>
      <c r="E690" s="4">
        <v>3</v>
      </c>
      <c r="F690" s="4" t="s">
        <v>124</v>
      </c>
      <c r="G690" s="4">
        <v>14</v>
      </c>
      <c r="H690" s="4">
        <v>6</v>
      </c>
      <c r="I690" s="4" t="s">
        <v>247</v>
      </c>
      <c r="J690" s="7">
        <v>0</v>
      </c>
      <c r="K690" s="4" t="s">
        <v>250</v>
      </c>
    </row>
    <row r="691" spans="1:11" ht="27.9" customHeight="1" x14ac:dyDescent="0.3">
      <c r="A691" s="3">
        <v>45753</v>
      </c>
      <c r="B691" s="4" t="s">
        <v>139</v>
      </c>
      <c r="C691" s="4" t="s">
        <v>156</v>
      </c>
      <c r="D691" s="4">
        <v>1</v>
      </c>
      <c r="E691" s="4">
        <v>3</v>
      </c>
      <c r="F691" s="4" t="s">
        <v>124</v>
      </c>
      <c r="G691" s="4">
        <v>12</v>
      </c>
      <c r="H691" s="4">
        <v>4</v>
      </c>
      <c r="I691" s="4" t="s">
        <v>247</v>
      </c>
      <c r="J691" s="7">
        <v>0</v>
      </c>
      <c r="K691" s="4" t="s">
        <v>250</v>
      </c>
    </row>
    <row r="692" spans="1:11" ht="27.9" customHeight="1" x14ac:dyDescent="0.3">
      <c r="A692" s="3">
        <v>45753</v>
      </c>
      <c r="B692" s="4" t="s">
        <v>152</v>
      </c>
      <c r="C692" s="4" t="s">
        <v>122</v>
      </c>
      <c r="D692" s="4">
        <v>0</v>
      </c>
      <c r="E692" s="4">
        <v>0</v>
      </c>
      <c r="F692" s="4" t="s">
        <v>125</v>
      </c>
      <c r="G692" s="4">
        <v>9</v>
      </c>
      <c r="H692" s="4">
        <v>5</v>
      </c>
      <c r="I692" s="4" t="s">
        <v>247</v>
      </c>
      <c r="J692" s="7">
        <v>1</v>
      </c>
      <c r="K692" s="4" t="s">
        <v>125</v>
      </c>
    </row>
    <row r="693" spans="1:11" ht="27.9" customHeight="1" x14ac:dyDescent="0.3">
      <c r="A693" s="3">
        <v>45754</v>
      </c>
      <c r="B693" s="4" t="s">
        <v>138</v>
      </c>
      <c r="C693" s="4" t="s">
        <v>155</v>
      </c>
      <c r="D693" s="4">
        <v>3</v>
      </c>
      <c r="E693" s="4">
        <v>0</v>
      </c>
      <c r="F693" s="4" t="s">
        <v>130</v>
      </c>
      <c r="G693" s="4">
        <v>16</v>
      </c>
      <c r="H693" s="4">
        <v>5</v>
      </c>
      <c r="I693" s="4" t="s">
        <v>247</v>
      </c>
      <c r="J693" s="7">
        <v>3</v>
      </c>
      <c r="K693" s="4" t="s">
        <v>249</v>
      </c>
    </row>
    <row r="694" spans="1:11" ht="27.9" customHeight="1" x14ac:dyDescent="0.3">
      <c r="A694" s="3">
        <v>45759</v>
      </c>
      <c r="B694" s="4" t="s">
        <v>149</v>
      </c>
      <c r="C694" s="4" t="s">
        <v>152</v>
      </c>
      <c r="D694" s="4">
        <v>2</v>
      </c>
      <c r="E694" s="4">
        <v>5</v>
      </c>
      <c r="F694" s="4" t="s">
        <v>124</v>
      </c>
      <c r="G694" s="4">
        <v>8</v>
      </c>
      <c r="H694" s="4">
        <v>3</v>
      </c>
      <c r="I694" s="4" t="s">
        <v>247</v>
      </c>
      <c r="J694" s="7">
        <v>0</v>
      </c>
      <c r="K694" s="4" t="s">
        <v>250</v>
      </c>
    </row>
    <row r="695" spans="1:11" ht="27.9" customHeight="1" x14ac:dyDescent="0.3">
      <c r="A695" s="3">
        <v>45759</v>
      </c>
      <c r="B695" s="4" t="s">
        <v>155</v>
      </c>
      <c r="C695" s="4" t="s">
        <v>136</v>
      </c>
      <c r="D695" s="4">
        <v>2</v>
      </c>
      <c r="E695" s="4">
        <v>2</v>
      </c>
      <c r="F695" s="4" t="s">
        <v>125</v>
      </c>
      <c r="G695" s="4">
        <v>15</v>
      </c>
      <c r="H695" s="4">
        <v>6</v>
      </c>
      <c r="I695" s="4" t="s">
        <v>247</v>
      </c>
      <c r="J695" s="7">
        <v>1</v>
      </c>
      <c r="K695" s="4" t="s">
        <v>125</v>
      </c>
    </row>
    <row r="696" spans="1:11" ht="27.9" customHeight="1" x14ac:dyDescent="0.3">
      <c r="A696" s="3">
        <v>45759</v>
      </c>
      <c r="B696" s="4" t="s">
        <v>135</v>
      </c>
      <c r="C696" s="4" t="s">
        <v>141</v>
      </c>
      <c r="D696" s="4">
        <v>1</v>
      </c>
      <c r="E696" s="4">
        <v>0</v>
      </c>
      <c r="F696" s="4" t="s">
        <v>130</v>
      </c>
      <c r="G696" s="4">
        <v>13</v>
      </c>
      <c r="H696" s="4">
        <v>5</v>
      </c>
      <c r="I696" s="4" t="s">
        <v>247</v>
      </c>
      <c r="J696" s="7">
        <v>3</v>
      </c>
      <c r="K696" s="4" t="s">
        <v>249</v>
      </c>
    </row>
    <row r="697" spans="1:11" ht="27.9" customHeight="1" x14ac:dyDescent="0.3">
      <c r="A697" s="3">
        <v>45759</v>
      </c>
      <c r="B697" s="4" t="s">
        <v>145</v>
      </c>
      <c r="C697" s="4" t="s">
        <v>139</v>
      </c>
      <c r="D697" s="4">
        <v>3</v>
      </c>
      <c r="E697" s="4">
        <v>0</v>
      </c>
      <c r="F697" s="4" t="s">
        <v>130</v>
      </c>
      <c r="G697" s="4">
        <v>25</v>
      </c>
      <c r="H697" s="4">
        <v>10</v>
      </c>
      <c r="I697" s="4" t="s">
        <v>247</v>
      </c>
      <c r="J697" s="7">
        <v>3</v>
      </c>
      <c r="K697" s="4" t="s">
        <v>249</v>
      </c>
    </row>
    <row r="698" spans="1:11" ht="27.9" customHeight="1" x14ac:dyDescent="0.3">
      <c r="A698" s="3">
        <v>45759</v>
      </c>
      <c r="B698" s="4" t="s">
        <v>148</v>
      </c>
      <c r="C698" s="4" t="s">
        <v>132</v>
      </c>
      <c r="D698" s="4">
        <v>1</v>
      </c>
      <c r="E698" s="4">
        <v>1</v>
      </c>
      <c r="F698" s="4" t="s">
        <v>125</v>
      </c>
      <c r="G698" s="4">
        <v>3</v>
      </c>
      <c r="H698" s="4">
        <v>2</v>
      </c>
      <c r="I698" s="4" t="s">
        <v>247</v>
      </c>
      <c r="J698" s="7">
        <v>1</v>
      </c>
      <c r="K698" s="4" t="s">
        <v>125</v>
      </c>
    </row>
    <row r="699" spans="1:11" ht="27.9" customHeight="1" x14ac:dyDescent="0.3">
      <c r="A699" s="3">
        <v>45760</v>
      </c>
      <c r="B699" s="4" t="s">
        <v>128</v>
      </c>
      <c r="C699" s="4" t="s">
        <v>151</v>
      </c>
      <c r="D699" s="4">
        <v>2</v>
      </c>
      <c r="E699" s="4">
        <v>2</v>
      </c>
      <c r="F699" s="4" t="s">
        <v>125</v>
      </c>
      <c r="G699" s="4">
        <v>13</v>
      </c>
      <c r="H699" s="4">
        <v>4</v>
      </c>
      <c r="I699" s="4" t="s">
        <v>247</v>
      </c>
      <c r="J699" s="7">
        <v>1</v>
      </c>
      <c r="K699" s="4" t="s">
        <v>125</v>
      </c>
    </row>
    <row r="700" spans="1:11" ht="27.9" customHeight="1" x14ac:dyDescent="0.3">
      <c r="A700" s="3">
        <v>45760</v>
      </c>
      <c r="B700" s="4" t="s">
        <v>144</v>
      </c>
      <c r="C700" s="4" t="s">
        <v>129</v>
      </c>
      <c r="D700" s="4">
        <v>1</v>
      </c>
      <c r="E700" s="4">
        <v>2</v>
      </c>
      <c r="F700" s="4" t="s">
        <v>124</v>
      </c>
      <c r="G700" s="4">
        <v>11</v>
      </c>
      <c r="H700" s="4">
        <v>4</v>
      </c>
      <c r="I700" s="4" t="s">
        <v>247</v>
      </c>
      <c r="J700" s="7">
        <v>0</v>
      </c>
      <c r="K700" s="4" t="s">
        <v>250</v>
      </c>
    </row>
    <row r="701" spans="1:11" ht="27.9" customHeight="1" x14ac:dyDescent="0.3">
      <c r="A701" s="3">
        <v>45760</v>
      </c>
      <c r="B701" s="4" t="s">
        <v>156</v>
      </c>
      <c r="C701" s="4" t="s">
        <v>133</v>
      </c>
      <c r="D701" s="4">
        <v>2</v>
      </c>
      <c r="E701" s="4">
        <v>4</v>
      </c>
      <c r="F701" s="4" t="s">
        <v>124</v>
      </c>
      <c r="G701" s="4">
        <v>11</v>
      </c>
      <c r="H701" s="4">
        <v>4</v>
      </c>
      <c r="I701" s="4" t="s">
        <v>247</v>
      </c>
      <c r="J701" s="7">
        <v>0</v>
      </c>
      <c r="K701" s="4" t="s">
        <v>250</v>
      </c>
    </row>
    <row r="702" spans="1:11" ht="27.9" customHeight="1" x14ac:dyDescent="0.3">
      <c r="A702" s="3">
        <v>45760</v>
      </c>
      <c r="B702" s="4" t="s">
        <v>122</v>
      </c>
      <c r="C702" s="4" t="s">
        <v>138</v>
      </c>
      <c r="D702" s="4">
        <v>1</v>
      </c>
      <c r="E702" s="4">
        <v>4</v>
      </c>
      <c r="F702" s="4" t="s">
        <v>124</v>
      </c>
      <c r="G702" s="4">
        <v>9</v>
      </c>
      <c r="H702" s="4">
        <v>5</v>
      </c>
      <c r="I702" s="4" t="s">
        <v>247</v>
      </c>
      <c r="J702" s="7">
        <v>0</v>
      </c>
      <c r="K702" s="4" t="s">
        <v>250</v>
      </c>
    </row>
    <row r="703" spans="1:11" ht="27.9" customHeight="1" x14ac:dyDescent="0.3">
      <c r="A703" s="3">
        <v>45761</v>
      </c>
      <c r="B703" s="4" t="s">
        <v>123</v>
      </c>
      <c r="C703" s="4" t="s">
        <v>142</v>
      </c>
      <c r="D703" s="4">
        <v>0</v>
      </c>
      <c r="E703" s="4">
        <v>1</v>
      </c>
      <c r="F703" s="4" t="s">
        <v>124</v>
      </c>
      <c r="G703" s="4">
        <v>12</v>
      </c>
      <c r="H703" s="4">
        <v>7</v>
      </c>
      <c r="I703" s="4" t="s">
        <v>247</v>
      </c>
      <c r="J703" s="7">
        <v>0</v>
      </c>
      <c r="K703" s="4" t="s">
        <v>250</v>
      </c>
    </row>
    <row r="704" spans="1:11" ht="27.9" customHeight="1" x14ac:dyDescent="0.3">
      <c r="A704" s="3">
        <v>45763</v>
      </c>
      <c r="B704" s="4" t="s">
        <v>149</v>
      </c>
      <c r="C704" s="4" t="s">
        <v>138</v>
      </c>
      <c r="D704" s="4">
        <v>0</v>
      </c>
      <c r="E704" s="4">
        <v>5</v>
      </c>
      <c r="F704" s="4" t="s">
        <v>124</v>
      </c>
      <c r="G704" s="4">
        <v>11</v>
      </c>
      <c r="H704" s="4">
        <v>4</v>
      </c>
      <c r="I704" s="4" t="s">
        <v>247</v>
      </c>
      <c r="J704" s="7">
        <v>0</v>
      </c>
      <c r="K704" s="4" t="s">
        <v>250</v>
      </c>
    </row>
    <row r="705" spans="1:11" ht="27.9" customHeight="1" x14ac:dyDescent="0.3">
      <c r="A705" s="3">
        <v>45766</v>
      </c>
      <c r="B705" s="4" t="s">
        <v>136</v>
      </c>
      <c r="C705" s="4" t="s">
        <v>148</v>
      </c>
      <c r="D705" s="4">
        <v>2</v>
      </c>
      <c r="E705" s="4">
        <v>4</v>
      </c>
      <c r="F705" s="4" t="s">
        <v>124</v>
      </c>
      <c r="G705" s="4">
        <v>12</v>
      </c>
      <c r="H705" s="4">
        <v>3</v>
      </c>
      <c r="I705" s="4" t="s">
        <v>247</v>
      </c>
      <c r="J705" s="7">
        <v>0</v>
      </c>
      <c r="K705" s="4" t="s">
        <v>250</v>
      </c>
    </row>
    <row r="706" spans="1:11" ht="27.9" customHeight="1" x14ac:dyDescent="0.3">
      <c r="A706" s="3">
        <v>45766</v>
      </c>
      <c r="B706" s="4" t="s">
        <v>142</v>
      </c>
      <c r="C706" s="4" t="s">
        <v>149</v>
      </c>
      <c r="D706" s="4">
        <v>0</v>
      </c>
      <c r="E706" s="4">
        <v>0</v>
      </c>
      <c r="F706" s="4" t="s">
        <v>125</v>
      </c>
      <c r="G706" s="4">
        <v>15</v>
      </c>
      <c r="H706" s="4">
        <v>4</v>
      </c>
      <c r="I706" s="4" t="s">
        <v>247</v>
      </c>
      <c r="J706" s="7">
        <v>1</v>
      </c>
      <c r="K706" s="4" t="s">
        <v>125</v>
      </c>
    </row>
    <row r="707" spans="1:11" ht="27.9" customHeight="1" x14ac:dyDescent="0.3">
      <c r="A707" s="3">
        <v>45766</v>
      </c>
      <c r="B707" s="4" t="s">
        <v>152</v>
      </c>
      <c r="C707" s="4" t="s">
        <v>135</v>
      </c>
      <c r="D707" s="4">
        <v>2</v>
      </c>
      <c r="E707" s="4">
        <v>0</v>
      </c>
      <c r="F707" s="4" t="s">
        <v>130</v>
      </c>
      <c r="G707" s="4">
        <v>12</v>
      </c>
      <c r="H707" s="4">
        <v>7</v>
      </c>
      <c r="I707" s="4" t="s">
        <v>247</v>
      </c>
      <c r="J707" s="7">
        <v>3</v>
      </c>
      <c r="K707" s="4" t="s">
        <v>249</v>
      </c>
    </row>
    <row r="708" spans="1:11" ht="27.9" customHeight="1" x14ac:dyDescent="0.3">
      <c r="A708" s="3">
        <v>45766</v>
      </c>
      <c r="B708" s="4" t="s">
        <v>139</v>
      </c>
      <c r="C708" s="4" t="s">
        <v>144</v>
      </c>
      <c r="D708" s="4">
        <v>1</v>
      </c>
      <c r="E708" s="4">
        <v>1</v>
      </c>
      <c r="F708" s="4" t="s">
        <v>125</v>
      </c>
      <c r="G708" s="4">
        <v>15</v>
      </c>
      <c r="H708" s="4">
        <v>4</v>
      </c>
      <c r="I708" s="4" t="s">
        <v>247</v>
      </c>
      <c r="J708" s="7">
        <v>1</v>
      </c>
      <c r="K708" s="4" t="s">
        <v>125</v>
      </c>
    </row>
    <row r="709" spans="1:11" ht="27.9" customHeight="1" x14ac:dyDescent="0.3">
      <c r="A709" s="3">
        <v>45766</v>
      </c>
      <c r="B709" s="4" t="s">
        <v>138</v>
      </c>
      <c r="C709" s="4" t="s">
        <v>145</v>
      </c>
      <c r="D709" s="4">
        <v>1</v>
      </c>
      <c r="E709" s="4">
        <v>4</v>
      </c>
      <c r="F709" s="4" t="s">
        <v>124</v>
      </c>
      <c r="G709" s="4">
        <v>10</v>
      </c>
      <c r="H709" s="4">
        <v>3</v>
      </c>
      <c r="I709" s="4" t="s">
        <v>247</v>
      </c>
      <c r="J709" s="7">
        <v>0</v>
      </c>
      <c r="K709" s="4" t="s">
        <v>250</v>
      </c>
    </row>
    <row r="710" spans="1:11" ht="27.9" customHeight="1" x14ac:dyDescent="0.3">
      <c r="A710" s="3">
        <v>45767</v>
      </c>
      <c r="B710" s="4" t="s">
        <v>151</v>
      </c>
      <c r="C710" s="4" t="s">
        <v>123</v>
      </c>
      <c r="D710" s="4">
        <v>2</v>
      </c>
      <c r="E710" s="4">
        <v>1</v>
      </c>
      <c r="F710" s="4" t="s">
        <v>130</v>
      </c>
      <c r="G710" s="4">
        <v>13</v>
      </c>
      <c r="H710" s="4">
        <v>8</v>
      </c>
      <c r="I710" s="4" t="s">
        <v>247</v>
      </c>
      <c r="J710" s="7">
        <v>3</v>
      </c>
      <c r="K710" s="4" t="s">
        <v>249</v>
      </c>
    </row>
    <row r="711" spans="1:11" ht="27.9" customHeight="1" x14ac:dyDescent="0.3">
      <c r="A711" s="3">
        <v>45767</v>
      </c>
      <c r="B711" s="4" t="s">
        <v>132</v>
      </c>
      <c r="C711" s="4" t="s">
        <v>128</v>
      </c>
      <c r="D711" s="4">
        <v>4</v>
      </c>
      <c r="E711" s="4">
        <v>0</v>
      </c>
      <c r="F711" s="4" t="s">
        <v>130</v>
      </c>
      <c r="G711" s="4">
        <v>24</v>
      </c>
      <c r="H711" s="4">
        <v>7</v>
      </c>
      <c r="I711" s="4" t="s">
        <v>247</v>
      </c>
      <c r="J711" s="7">
        <v>3</v>
      </c>
      <c r="K711" s="4" t="s">
        <v>249</v>
      </c>
    </row>
    <row r="712" spans="1:11" ht="27.9" customHeight="1" x14ac:dyDescent="0.3">
      <c r="A712" s="3">
        <v>45767</v>
      </c>
      <c r="B712" s="4" t="s">
        <v>133</v>
      </c>
      <c r="C712" s="4" t="s">
        <v>122</v>
      </c>
      <c r="D712" s="4">
        <v>1</v>
      </c>
      <c r="E712" s="4">
        <v>0</v>
      </c>
      <c r="F712" s="4" t="s">
        <v>130</v>
      </c>
      <c r="G712" s="4">
        <v>4</v>
      </c>
      <c r="H712" s="4">
        <v>2</v>
      </c>
      <c r="I712" s="4" t="s">
        <v>247</v>
      </c>
      <c r="J712" s="7">
        <v>3</v>
      </c>
      <c r="K712" s="4" t="s">
        <v>249</v>
      </c>
    </row>
    <row r="713" spans="1:11" ht="27.9" customHeight="1" x14ac:dyDescent="0.3">
      <c r="A713" s="3">
        <v>45767</v>
      </c>
      <c r="B713" s="4" t="s">
        <v>129</v>
      </c>
      <c r="C713" s="4" t="s">
        <v>155</v>
      </c>
      <c r="D713" s="4">
        <v>1</v>
      </c>
      <c r="E713" s="4">
        <v>0</v>
      </c>
      <c r="F713" s="4" t="s">
        <v>130</v>
      </c>
      <c r="G713" s="4">
        <v>28</v>
      </c>
      <c r="H713" s="4">
        <v>10</v>
      </c>
      <c r="I713" s="4" t="s">
        <v>247</v>
      </c>
      <c r="J713" s="7">
        <v>3</v>
      </c>
      <c r="K713" s="4" t="s">
        <v>249</v>
      </c>
    </row>
    <row r="714" spans="1:11" ht="27.9" customHeight="1" x14ac:dyDescent="0.3">
      <c r="A714" s="3">
        <v>45768</v>
      </c>
      <c r="B714" s="4" t="s">
        <v>141</v>
      </c>
      <c r="C714" s="4" t="s">
        <v>156</v>
      </c>
      <c r="D714" s="4">
        <v>2</v>
      </c>
      <c r="E714" s="4">
        <v>1</v>
      </c>
      <c r="F714" s="4" t="s">
        <v>130</v>
      </c>
      <c r="G714" s="4">
        <v>4</v>
      </c>
      <c r="H714" s="4">
        <v>3</v>
      </c>
      <c r="I714" s="4" t="s">
        <v>247</v>
      </c>
      <c r="J714" s="7">
        <v>3</v>
      </c>
      <c r="K714" s="4" t="s">
        <v>249</v>
      </c>
    </row>
    <row r="715" spans="1:11" ht="27.9" customHeight="1" x14ac:dyDescent="0.3">
      <c r="A715" s="3">
        <v>45769</v>
      </c>
      <c r="B715" s="4" t="s">
        <v>145</v>
      </c>
      <c r="C715" s="4" t="s">
        <v>152</v>
      </c>
      <c r="D715" s="4">
        <v>1</v>
      </c>
      <c r="E715" s="4">
        <v>2</v>
      </c>
      <c r="F715" s="4" t="s">
        <v>124</v>
      </c>
      <c r="G715" s="4">
        <v>7</v>
      </c>
      <c r="H715" s="4">
        <v>3</v>
      </c>
      <c r="I715" s="4" t="s">
        <v>247</v>
      </c>
      <c r="J715" s="7">
        <v>0</v>
      </c>
      <c r="K715" s="4" t="s">
        <v>250</v>
      </c>
    </row>
    <row r="716" spans="1:11" ht="27.9" customHeight="1" x14ac:dyDescent="0.3">
      <c r="A716" s="3">
        <v>45770</v>
      </c>
      <c r="B716" s="4" t="s">
        <v>149</v>
      </c>
      <c r="C716" s="4" t="s">
        <v>132</v>
      </c>
      <c r="D716" s="4">
        <v>2</v>
      </c>
      <c r="E716" s="4">
        <v>2</v>
      </c>
      <c r="F716" s="4" t="s">
        <v>125</v>
      </c>
      <c r="G716" s="4">
        <v>15</v>
      </c>
      <c r="H716" s="4">
        <v>4</v>
      </c>
      <c r="I716" s="4" t="s">
        <v>247</v>
      </c>
      <c r="J716" s="7">
        <v>1</v>
      </c>
      <c r="K716" s="4" t="s">
        <v>125</v>
      </c>
    </row>
    <row r="717" spans="1:11" ht="27.9" customHeight="1" x14ac:dyDescent="0.3">
      <c r="A717" s="3">
        <v>45773</v>
      </c>
      <c r="B717" s="4" t="s">
        <v>135</v>
      </c>
      <c r="C717" s="4" t="s">
        <v>151</v>
      </c>
      <c r="D717" s="4">
        <v>0</v>
      </c>
      <c r="E717" s="4">
        <v>1</v>
      </c>
      <c r="F717" s="4" t="s">
        <v>124</v>
      </c>
      <c r="G717" s="4">
        <v>6</v>
      </c>
      <c r="H717" s="4">
        <v>3</v>
      </c>
      <c r="I717" s="4" t="s">
        <v>247</v>
      </c>
      <c r="J717" s="7">
        <v>0</v>
      </c>
      <c r="K717" s="4" t="s">
        <v>250</v>
      </c>
    </row>
    <row r="718" spans="1:11" ht="27.9" customHeight="1" x14ac:dyDescent="0.3">
      <c r="A718" s="3">
        <v>45773</v>
      </c>
      <c r="B718" s="4" t="s">
        <v>144</v>
      </c>
      <c r="C718" s="4" t="s">
        <v>136</v>
      </c>
      <c r="D718" s="4">
        <v>2</v>
      </c>
      <c r="E718" s="4">
        <v>3</v>
      </c>
      <c r="F718" s="4" t="s">
        <v>124</v>
      </c>
      <c r="G718" s="4">
        <v>12</v>
      </c>
      <c r="H718" s="4">
        <v>4</v>
      </c>
      <c r="I718" s="4" t="s">
        <v>247</v>
      </c>
      <c r="J718" s="7">
        <v>0</v>
      </c>
      <c r="K718" s="4" t="s">
        <v>250</v>
      </c>
    </row>
    <row r="719" spans="1:11" ht="27.9" customHeight="1" x14ac:dyDescent="0.3">
      <c r="A719" s="3">
        <v>45773</v>
      </c>
      <c r="B719" s="4" t="s">
        <v>128</v>
      </c>
      <c r="C719" s="4" t="s">
        <v>138</v>
      </c>
      <c r="D719" s="4">
        <v>0</v>
      </c>
      <c r="E719" s="4">
        <v>3</v>
      </c>
      <c r="F719" s="4" t="s">
        <v>124</v>
      </c>
      <c r="G719" s="4">
        <v>4</v>
      </c>
      <c r="H719" s="4">
        <v>0</v>
      </c>
      <c r="I719" s="4" t="s">
        <v>247</v>
      </c>
      <c r="J719" s="7">
        <v>0</v>
      </c>
      <c r="K719" s="4" t="s">
        <v>250</v>
      </c>
    </row>
    <row r="720" spans="1:11" ht="27.9" customHeight="1" x14ac:dyDescent="0.3">
      <c r="A720" s="3">
        <v>45773</v>
      </c>
      <c r="B720" s="4" t="s">
        <v>123</v>
      </c>
      <c r="C720" s="4" t="s">
        <v>139</v>
      </c>
      <c r="D720" s="4">
        <v>2</v>
      </c>
      <c r="E720" s="4">
        <v>1</v>
      </c>
      <c r="F720" s="4" t="s">
        <v>130</v>
      </c>
      <c r="G720" s="4">
        <v>26</v>
      </c>
      <c r="H720" s="4">
        <v>5</v>
      </c>
      <c r="I720" s="4" t="s">
        <v>247</v>
      </c>
      <c r="J720" s="7">
        <v>3</v>
      </c>
      <c r="K720" s="4" t="s">
        <v>249</v>
      </c>
    </row>
    <row r="721" spans="1:11" ht="27.9" customHeight="1" x14ac:dyDescent="0.3">
      <c r="A721" s="3">
        <v>45773</v>
      </c>
      <c r="B721" s="4" t="s">
        <v>155</v>
      </c>
      <c r="C721" s="4" t="s">
        <v>133</v>
      </c>
      <c r="D721" s="4">
        <v>0</v>
      </c>
      <c r="E721" s="4">
        <v>3</v>
      </c>
      <c r="F721" s="4" t="s">
        <v>124</v>
      </c>
      <c r="G721" s="4">
        <v>8</v>
      </c>
      <c r="H721" s="4">
        <v>2</v>
      </c>
      <c r="I721" s="4" t="s">
        <v>247</v>
      </c>
      <c r="J721" s="7">
        <v>0</v>
      </c>
      <c r="K721" s="4" t="s">
        <v>250</v>
      </c>
    </row>
    <row r="722" spans="1:11" ht="27.9" customHeight="1" x14ac:dyDescent="0.3">
      <c r="A722" s="3">
        <v>45774</v>
      </c>
      <c r="B722" s="4" t="s">
        <v>122</v>
      </c>
      <c r="C722" s="4" t="s">
        <v>142</v>
      </c>
      <c r="D722" s="4">
        <v>1</v>
      </c>
      <c r="E722" s="4">
        <v>1</v>
      </c>
      <c r="F722" s="4" t="s">
        <v>125</v>
      </c>
      <c r="G722" s="4">
        <v>25</v>
      </c>
      <c r="H722" s="4">
        <v>6</v>
      </c>
      <c r="I722" s="4" t="s">
        <v>247</v>
      </c>
      <c r="J722" s="7">
        <v>1</v>
      </c>
      <c r="K722" s="4" t="s">
        <v>125</v>
      </c>
    </row>
    <row r="723" spans="1:11" ht="27.9" customHeight="1" x14ac:dyDescent="0.3">
      <c r="A723" s="3">
        <v>45774</v>
      </c>
      <c r="B723" s="4" t="s">
        <v>156</v>
      </c>
      <c r="C723" s="4" t="s">
        <v>129</v>
      </c>
      <c r="D723" s="4">
        <v>1</v>
      </c>
      <c r="E723" s="4">
        <v>5</v>
      </c>
      <c r="F723" s="4" t="s">
        <v>124</v>
      </c>
      <c r="G723" s="4">
        <v>8</v>
      </c>
      <c r="H723" s="4">
        <v>3</v>
      </c>
      <c r="I723" s="4" t="s">
        <v>247</v>
      </c>
      <c r="J723" s="7">
        <v>0</v>
      </c>
      <c r="K723" s="4" t="s">
        <v>250</v>
      </c>
    </row>
    <row r="724" spans="1:11" ht="27.9" customHeight="1" x14ac:dyDescent="0.3">
      <c r="A724" s="3">
        <v>45778</v>
      </c>
      <c r="B724" s="4" t="s">
        <v>148</v>
      </c>
      <c r="C724" s="4" t="s">
        <v>141</v>
      </c>
      <c r="D724" s="4">
        <v>2</v>
      </c>
      <c r="E724" s="4">
        <v>0</v>
      </c>
      <c r="F724" s="4" t="s">
        <v>130</v>
      </c>
      <c r="G724" s="4">
        <v>11</v>
      </c>
      <c r="H724" s="4">
        <v>3</v>
      </c>
      <c r="I724" s="4" t="s">
        <v>247</v>
      </c>
      <c r="J724" s="7">
        <v>3</v>
      </c>
      <c r="K724" s="4" t="s">
        <v>249</v>
      </c>
    </row>
    <row r="725" spans="1:11" ht="27.9" customHeight="1" x14ac:dyDescent="0.3">
      <c r="A725" s="3">
        <v>45779</v>
      </c>
      <c r="B725" s="4" t="s">
        <v>133</v>
      </c>
      <c r="C725" s="4" t="s">
        <v>152</v>
      </c>
      <c r="D725" s="4">
        <v>0</v>
      </c>
      <c r="E725" s="4">
        <v>1</v>
      </c>
      <c r="F725" s="4" t="s">
        <v>124</v>
      </c>
      <c r="G725" s="4">
        <v>6</v>
      </c>
      <c r="H725" s="4">
        <v>1</v>
      </c>
      <c r="I725" s="4" t="s">
        <v>247</v>
      </c>
      <c r="J725" s="7">
        <v>0</v>
      </c>
      <c r="K725" s="4" t="s">
        <v>250</v>
      </c>
    </row>
    <row r="726" spans="1:11" ht="27.9" customHeight="1" x14ac:dyDescent="0.3">
      <c r="A726" s="3">
        <v>45780</v>
      </c>
      <c r="B726" s="4" t="s">
        <v>123</v>
      </c>
      <c r="C726" s="4" t="s">
        <v>145</v>
      </c>
      <c r="D726" s="4">
        <v>0</v>
      </c>
      <c r="E726" s="4">
        <v>1</v>
      </c>
      <c r="F726" s="4" t="s">
        <v>124</v>
      </c>
      <c r="G726" s="4">
        <v>11</v>
      </c>
      <c r="H726" s="4">
        <v>3</v>
      </c>
      <c r="I726" s="4" t="s">
        <v>247</v>
      </c>
      <c r="J726" s="7">
        <v>0</v>
      </c>
      <c r="K726" s="4" t="s">
        <v>250</v>
      </c>
    </row>
    <row r="727" spans="1:11" ht="27.9" customHeight="1" x14ac:dyDescent="0.3">
      <c r="A727" s="3">
        <v>45780</v>
      </c>
      <c r="B727" s="4" t="s">
        <v>128</v>
      </c>
      <c r="C727" s="4" t="s">
        <v>135</v>
      </c>
      <c r="D727" s="4">
        <v>2</v>
      </c>
      <c r="E727" s="4">
        <v>2</v>
      </c>
      <c r="F727" s="4" t="s">
        <v>125</v>
      </c>
      <c r="G727" s="4">
        <v>12</v>
      </c>
      <c r="H727" s="4">
        <v>5</v>
      </c>
      <c r="I727" s="4" t="s">
        <v>247</v>
      </c>
      <c r="J727" s="7">
        <v>1</v>
      </c>
      <c r="K727" s="4" t="s">
        <v>125</v>
      </c>
    </row>
    <row r="728" spans="1:11" ht="27.9" customHeight="1" x14ac:dyDescent="0.3">
      <c r="A728" s="3">
        <v>45780</v>
      </c>
      <c r="B728" s="4" t="s">
        <v>139</v>
      </c>
      <c r="C728" s="4" t="s">
        <v>155</v>
      </c>
      <c r="D728" s="4">
        <v>0</v>
      </c>
      <c r="E728" s="4">
        <v>2</v>
      </c>
      <c r="F728" s="4" t="s">
        <v>124</v>
      </c>
      <c r="G728" s="4">
        <v>8</v>
      </c>
      <c r="H728" s="4">
        <v>2</v>
      </c>
      <c r="I728" s="4" t="s">
        <v>247</v>
      </c>
      <c r="J728" s="7">
        <v>0</v>
      </c>
      <c r="K728" s="4" t="s">
        <v>250</v>
      </c>
    </row>
    <row r="729" spans="1:11" ht="27.9" customHeight="1" x14ac:dyDescent="0.3">
      <c r="A729" s="3">
        <v>45780</v>
      </c>
      <c r="B729" s="4" t="s">
        <v>142</v>
      </c>
      <c r="C729" s="4" t="s">
        <v>132</v>
      </c>
      <c r="D729" s="4">
        <v>2</v>
      </c>
      <c r="E729" s="4">
        <v>1</v>
      </c>
      <c r="F729" s="4" t="s">
        <v>130</v>
      </c>
      <c r="G729" s="4">
        <v>9</v>
      </c>
      <c r="H729" s="4">
        <v>2</v>
      </c>
      <c r="I729" s="4" t="s">
        <v>247</v>
      </c>
      <c r="J729" s="7">
        <v>3</v>
      </c>
      <c r="K729" s="4" t="s">
        <v>249</v>
      </c>
    </row>
    <row r="730" spans="1:11" ht="27.9" customHeight="1" x14ac:dyDescent="0.3">
      <c r="A730" s="3">
        <v>45781</v>
      </c>
      <c r="B730" s="4" t="s">
        <v>122</v>
      </c>
      <c r="C730" s="4" t="s">
        <v>148</v>
      </c>
      <c r="D730" s="4">
        <v>3</v>
      </c>
      <c r="E730" s="4">
        <v>4</v>
      </c>
      <c r="F730" s="4" t="s">
        <v>124</v>
      </c>
      <c r="G730" s="4">
        <v>14</v>
      </c>
      <c r="H730" s="4">
        <v>5</v>
      </c>
      <c r="I730" s="4" t="s">
        <v>247</v>
      </c>
      <c r="J730" s="7">
        <v>0</v>
      </c>
      <c r="K730" s="4" t="s">
        <v>250</v>
      </c>
    </row>
    <row r="731" spans="1:11" ht="27.9" customHeight="1" x14ac:dyDescent="0.3">
      <c r="A731" s="3">
        <v>45781</v>
      </c>
      <c r="B731" s="4" t="s">
        <v>138</v>
      </c>
      <c r="C731" s="4" t="s">
        <v>136</v>
      </c>
      <c r="D731" s="4">
        <v>1</v>
      </c>
      <c r="E731" s="4">
        <v>1</v>
      </c>
      <c r="F731" s="4" t="s">
        <v>125</v>
      </c>
      <c r="G731" s="4">
        <v>13</v>
      </c>
      <c r="H731" s="4">
        <v>5</v>
      </c>
      <c r="I731" s="4" t="s">
        <v>247</v>
      </c>
      <c r="J731" s="7">
        <v>1</v>
      </c>
      <c r="K731" s="4" t="s">
        <v>125</v>
      </c>
    </row>
    <row r="732" spans="1:11" ht="27.9" customHeight="1" x14ac:dyDescent="0.3">
      <c r="A732" s="3">
        <v>45781</v>
      </c>
      <c r="B732" s="4" t="s">
        <v>156</v>
      </c>
      <c r="C732" s="4" t="s">
        <v>144</v>
      </c>
      <c r="D732" s="4">
        <v>1</v>
      </c>
      <c r="E732" s="4">
        <v>1</v>
      </c>
      <c r="F732" s="4" t="s">
        <v>125</v>
      </c>
      <c r="G732" s="4">
        <v>7</v>
      </c>
      <c r="H732" s="4">
        <v>2</v>
      </c>
      <c r="I732" s="4" t="s">
        <v>247</v>
      </c>
      <c r="J732" s="7">
        <v>1</v>
      </c>
      <c r="K732" s="4" t="s">
        <v>125</v>
      </c>
    </row>
    <row r="733" spans="1:11" ht="27.9" customHeight="1" x14ac:dyDescent="0.3">
      <c r="A733" s="3">
        <v>45781</v>
      </c>
      <c r="B733" s="4" t="s">
        <v>129</v>
      </c>
      <c r="C733" s="4" t="s">
        <v>151</v>
      </c>
      <c r="D733" s="4">
        <v>1</v>
      </c>
      <c r="E733" s="4">
        <v>3</v>
      </c>
      <c r="F733" s="4" t="s">
        <v>124</v>
      </c>
      <c r="G733" s="4">
        <v>11</v>
      </c>
      <c r="H733" s="4">
        <v>2</v>
      </c>
      <c r="I733" s="4" t="s">
        <v>247</v>
      </c>
      <c r="J733" s="7">
        <v>0</v>
      </c>
      <c r="K733" s="4" t="s">
        <v>250</v>
      </c>
    </row>
    <row r="734" spans="1:11" ht="27.9" customHeight="1" x14ac:dyDescent="0.3">
      <c r="A734" s="3">
        <v>45782</v>
      </c>
      <c r="B734" s="4" t="s">
        <v>141</v>
      </c>
      <c r="C734" s="4" t="s">
        <v>149</v>
      </c>
      <c r="D734" s="4">
        <v>1</v>
      </c>
      <c r="E734" s="4">
        <v>1</v>
      </c>
      <c r="F734" s="4" t="s">
        <v>125</v>
      </c>
      <c r="G734" s="4">
        <v>12</v>
      </c>
      <c r="H734" s="4">
        <v>4</v>
      </c>
      <c r="I734" s="4" t="s">
        <v>247</v>
      </c>
      <c r="J734" s="7">
        <v>1</v>
      </c>
      <c r="K734" s="4" t="s">
        <v>125</v>
      </c>
    </row>
    <row r="735" spans="1:11" ht="27.9" customHeight="1" x14ac:dyDescent="0.3">
      <c r="A735" s="3">
        <v>45787</v>
      </c>
      <c r="B735" s="4" t="s">
        <v>135</v>
      </c>
      <c r="C735" s="4" t="s">
        <v>123</v>
      </c>
      <c r="D735" s="4">
        <v>3</v>
      </c>
      <c r="E735" s="4">
        <v>1</v>
      </c>
      <c r="F735" s="4" t="s">
        <v>130</v>
      </c>
      <c r="G735" s="4">
        <v>11</v>
      </c>
      <c r="H735" s="4">
        <v>7</v>
      </c>
      <c r="I735" s="4" t="s">
        <v>247</v>
      </c>
      <c r="J735" s="7">
        <v>3</v>
      </c>
      <c r="K735" s="4" t="s">
        <v>249</v>
      </c>
    </row>
    <row r="736" spans="1:11" ht="27.9" customHeight="1" x14ac:dyDescent="0.3">
      <c r="A736" s="3">
        <v>45787</v>
      </c>
      <c r="B736" s="4" t="s">
        <v>148</v>
      </c>
      <c r="C736" s="4" t="s">
        <v>128</v>
      </c>
      <c r="D736" s="4">
        <v>1</v>
      </c>
      <c r="E736" s="4">
        <v>0</v>
      </c>
      <c r="F736" s="4" t="s">
        <v>130</v>
      </c>
      <c r="G736" s="4">
        <v>15</v>
      </c>
      <c r="H736" s="4">
        <v>5</v>
      </c>
      <c r="I736" s="4" t="s">
        <v>247</v>
      </c>
      <c r="J736" s="7">
        <v>3</v>
      </c>
      <c r="K736" s="4" t="s">
        <v>249</v>
      </c>
    </row>
    <row r="737" spans="1:11" ht="27.9" customHeight="1" x14ac:dyDescent="0.3">
      <c r="A737" s="3">
        <v>45787</v>
      </c>
      <c r="B737" s="4" t="s">
        <v>152</v>
      </c>
      <c r="C737" s="4" t="s">
        <v>139</v>
      </c>
      <c r="D737" s="4">
        <v>0</v>
      </c>
      <c r="E737" s="4">
        <v>0</v>
      </c>
      <c r="F737" s="4" t="s">
        <v>125</v>
      </c>
      <c r="G737" s="4">
        <v>26</v>
      </c>
      <c r="H737" s="4">
        <v>5</v>
      </c>
      <c r="I737" s="4" t="s">
        <v>247</v>
      </c>
      <c r="J737" s="7">
        <v>1</v>
      </c>
      <c r="K737" s="4" t="s">
        <v>125</v>
      </c>
    </row>
    <row r="738" spans="1:11" ht="27.9" customHeight="1" x14ac:dyDescent="0.3">
      <c r="A738" s="3">
        <v>45787</v>
      </c>
      <c r="B738" s="4" t="s">
        <v>136</v>
      </c>
      <c r="C738" s="4" t="s">
        <v>133</v>
      </c>
      <c r="D738" s="4">
        <v>2</v>
      </c>
      <c r="E738" s="4">
        <v>0</v>
      </c>
      <c r="F738" s="4" t="s">
        <v>130</v>
      </c>
      <c r="G738" s="4">
        <v>7</v>
      </c>
      <c r="H738" s="4">
        <v>2</v>
      </c>
      <c r="I738" s="4" t="s">
        <v>247</v>
      </c>
      <c r="J738" s="7">
        <v>3</v>
      </c>
      <c r="K738" s="4" t="s">
        <v>249</v>
      </c>
    </row>
    <row r="739" spans="1:11" ht="27.9" customHeight="1" x14ac:dyDescent="0.3">
      <c r="A739" s="3">
        <v>45787</v>
      </c>
      <c r="B739" s="4" t="s">
        <v>145</v>
      </c>
      <c r="C739" s="4" t="s">
        <v>142</v>
      </c>
      <c r="D739" s="4">
        <v>1</v>
      </c>
      <c r="E739" s="4">
        <v>0</v>
      </c>
      <c r="F739" s="4" t="s">
        <v>130</v>
      </c>
      <c r="G739" s="4">
        <v>6</v>
      </c>
      <c r="H739" s="4">
        <v>3</v>
      </c>
      <c r="I739" s="4" t="s">
        <v>247</v>
      </c>
      <c r="J739" s="7">
        <v>3</v>
      </c>
      <c r="K739" s="4" t="s">
        <v>249</v>
      </c>
    </row>
    <row r="740" spans="1:11" ht="27.9" customHeight="1" x14ac:dyDescent="0.3">
      <c r="A740" s="3">
        <v>45788</v>
      </c>
      <c r="B740" s="4" t="s">
        <v>151</v>
      </c>
      <c r="C740" s="4" t="s">
        <v>138</v>
      </c>
      <c r="D740" s="4">
        <v>0</v>
      </c>
      <c r="E740" s="4">
        <v>2</v>
      </c>
      <c r="F740" s="4" t="s">
        <v>124</v>
      </c>
      <c r="G740" s="4">
        <v>10</v>
      </c>
      <c r="H740" s="4">
        <v>3</v>
      </c>
      <c r="I740" s="4" t="s">
        <v>247</v>
      </c>
      <c r="J740" s="7">
        <v>0</v>
      </c>
      <c r="K740" s="4" t="s">
        <v>250</v>
      </c>
    </row>
    <row r="741" spans="1:11" ht="27.9" customHeight="1" x14ac:dyDescent="0.3">
      <c r="A741" s="3">
        <v>45788</v>
      </c>
      <c r="B741" s="4" t="s">
        <v>144</v>
      </c>
      <c r="C741" s="4" t="s">
        <v>122</v>
      </c>
      <c r="D741" s="4">
        <v>2</v>
      </c>
      <c r="E741" s="4">
        <v>0</v>
      </c>
      <c r="F741" s="4" t="s">
        <v>130</v>
      </c>
      <c r="G741" s="4">
        <v>9</v>
      </c>
      <c r="H741" s="4">
        <v>4</v>
      </c>
      <c r="I741" s="4" t="s">
        <v>247</v>
      </c>
      <c r="J741" s="7">
        <v>3</v>
      </c>
      <c r="K741" s="4" t="s">
        <v>249</v>
      </c>
    </row>
    <row r="742" spans="1:11" ht="27.9" customHeight="1" x14ac:dyDescent="0.3">
      <c r="A742" s="3">
        <v>45788</v>
      </c>
      <c r="B742" s="4" t="s">
        <v>155</v>
      </c>
      <c r="C742" s="4" t="s">
        <v>141</v>
      </c>
      <c r="D742" s="4">
        <v>2</v>
      </c>
      <c r="E742" s="4">
        <v>2</v>
      </c>
      <c r="F742" s="4" t="s">
        <v>125</v>
      </c>
      <c r="G742" s="4">
        <v>10</v>
      </c>
      <c r="H742" s="4">
        <v>6</v>
      </c>
      <c r="I742" s="4" t="s">
        <v>247</v>
      </c>
      <c r="J742" s="7">
        <v>1</v>
      </c>
      <c r="K742" s="4" t="s">
        <v>125</v>
      </c>
    </row>
    <row r="743" spans="1:11" ht="27.9" customHeight="1" x14ac:dyDescent="0.3">
      <c r="A743" s="3">
        <v>45788</v>
      </c>
      <c r="B743" s="4" t="s">
        <v>149</v>
      </c>
      <c r="C743" s="4" t="s">
        <v>156</v>
      </c>
      <c r="D743" s="4">
        <v>2</v>
      </c>
      <c r="E743" s="4">
        <v>0</v>
      </c>
      <c r="F743" s="4" t="s">
        <v>130</v>
      </c>
      <c r="G743" s="4">
        <v>23</v>
      </c>
      <c r="H743" s="4">
        <v>10</v>
      </c>
      <c r="I743" s="4" t="s">
        <v>247</v>
      </c>
      <c r="J743" s="7">
        <v>3</v>
      </c>
      <c r="K743" s="4" t="s">
        <v>249</v>
      </c>
    </row>
    <row r="744" spans="1:11" ht="27.9" customHeight="1" x14ac:dyDescent="0.3">
      <c r="A744" s="3">
        <v>45788</v>
      </c>
      <c r="B744" s="4" t="s">
        <v>132</v>
      </c>
      <c r="C744" s="4" t="s">
        <v>129</v>
      </c>
      <c r="D744" s="4">
        <v>2</v>
      </c>
      <c r="E744" s="4">
        <v>2</v>
      </c>
      <c r="F744" s="4" t="s">
        <v>125</v>
      </c>
      <c r="G744" s="4">
        <v>15</v>
      </c>
      <c r="H744" s="4">
        <v>7</v>
      </c>
      <c r="I744" s="4" t="s">
        <v>247</v>
      </c>
      <c r="J744" s="7">
        <v>1</v>
      </c>
      <c r="K744" s="4" t="s">
        <v>125</v>
      </c>
    </row>
    <row r="745" spans="1:11" ht="27.9" customHeight="1" x14ac:dyDescent="0.3">
      <c r="A745" s="3">
        <v>45793</v>
      </c>
      <c r="B745" s="4" t="s">
        <v>156</v>
      </c>
      <c r="C745" s="4" t="s">
        <v>145</v>
      </c>
      <c r="D745" s="4">
        <v>0</v>
      </c>
      <c r="E745" s="4">
        <v>2</v>
      </c>
      <c r="F745" s="4" t="s">
        <v>124</v>
      </c>
      <c r="G745" s="4">
        <v>3</v>
      </c>
      <c r="H745" s="4">
        <v>1</v>
      </c>
      <c r="I745" s="4" t="s">
        <v>247</v>
      </c>
      <c r="J745" s="7">
        <v>0</v>
      </c>
      <c r="K745" s="4" t="s">
        <v>250</v>
      </c>
    </row>
    <row r="746" spans="1:11" ht="27.9" customHeight="1" x14ac:dyDescent="0.3">
      <c r="A746" s="3">
        <v>45793</v>
      </c>
      <c r="B746" s="4" t="s">
        <v>122</v>
      </c>
      <c r="C746" s="4" t="s">
        <v>151</v>
      </c>
      <c r="D746" s="4">
        <v>0</v>
      </c>
      <c r="E746" s="4">
        <v>1</v>
      </c>
      <c r="F746" s="4" t="s">
        <v>124</v>
      </c>
      <c r="G746" s="4">
        <v>4</v>
      </c>
      <c r="H746" s="4">
        <v>1</v>
      </c>
      <c r="I746" s="4" t="s">
        <v>247</v>
      </c>
      <c r="J746" s="7">
        <v>0</v>
      </c>
      <c r="K746" s="4" t="s">
        <v>250</v>
      </c>
    </row>
    <row r="747" spans="1:11" ht="27.9" customHeight="1" x14ac:dyDescent="0.3">
      <c r="A747" s="3">
        <v>45795</v>
      </c>
      <c r="B747" s="4" t="s">
        <v>139</v>
      </c>
      <c r="C747" s="4" t="s">
        <v>135</v>
      </c>
      <c r="D747" s="4">
        <v>0</v>
      </c>
      <c r="E747" s="4">
        <v>2</v>
      </c>
      <c r="F747" s="4" t="s">
        <v>124</v>
      </c>
      <c r="G747" s="4">
        <v>6</v>
      </c>
      <c r="H747" s="4">
        <v>2</v>
      </c>
      <c r="I747" s="4" t="s">
        <v>247</v>
      </c>
      <c r="J747" s="7">
        <v>0</v>
      </c>
      <c r="K747" s="4" t="s">
        <v>250</v>
      </c>
    </row>
    <row r="748" spans="1:11" ht="27.9" customHeight="1" x14ac:dyDescent="0.3">
      <c r="A748" s="3">
        <v>45795</v>
      </c>
      <c r="B748" s="4" t="s">
        <v>141</v>
      </c>
      <c r="C748" s="4" t="s">
        <v>144</v>
      </c>
      <c r="D748" s="4">
        <v>2</v>
      </c>
      <c r="E748" s="4">
        <v>1</v>
      </c>
      <c r="F748" s="4" t="s">
        <v>130</v>
      </c>
      <c r="G748" s="4">
        <v>10</v>
      </c>
      <c r="H748" s="4">
        <v>5</v>
      </c>
      <c r="I748" s="4" t="s">
        <v>247</v>
      </c>
      <c r="J748" s="7">
        <v>3</v>
      </c>
      <c r="K748" s="4" t="s">
        <v>249</v>
      </c>
    </row>
    <row r="749" spans="1:11" ht="27.9" customHeight="1" x14ac:dyDescent="0.3">
      <c r="A749" s="3">
        <v>45795</v>
      </c>
      <c r="B749" s="4" t="s">
        <v>123</v>
      </c>
      <c r="C749" s="4" t="s">
        <v>148</v>
      </c>
      <c r="D749" s="4">
        <v>3</v>
      </c>
      <c r="E749" s="4">
        <v>2</v>
      </c>
      <c r="F749" s="4" t="s">
        <v>130</v>
      </c>
      <c r="G749" s="4">
        <v>16</v>
      </c>
      <c r="H749" s="4">
        <v>7</v>
      </c>
      <c r="I749" s="4" t="s">
        <v>247</v>
      </c>
      <c r="J749" s="7">
        <v>3</v>
      </c>
      <c r="K749" s="4" t="s">
        <v>249</v>
      </c>
    </row>
    <row r="750" spans="1:11" ht="27.9" customHeight="1" x14ac:dyDescent="0.3">
      <c r="A750" s="3">
        <v>45795</v>
      </c>
      <c r="B750" s="4" t="s">
        <v>128</v>
      </c>
      <c r="C750" s="4" t="s">
        <v>155</v>
      </c>
      <c r="D750" s="4">
        <v>0</v>
      </c>
      <c r="E750" s="4">
        <v>2</v>
      </c>
      <c r="F750" s="4" t="s">
        <v>124</v>
      </c>
      <c r="G750" s="4">
        <v>20</v>
      </c>
      <c r="H750" s="4">
        <v>2</v>
      </c>
      <c r="I750" s="4" t="s">
        <v>247</v>
      </c>
      <c r="J750" s="7">
        <v>0</v>
      </c>
      <c r="K750" s="4" t="s">
        <v>250</v>
      </c>
    </row>
    <row r="751" spans="1:11" ht="27.9" customHeight="1" x14ac:dyDescent="0.3">
      <c r="A751" s="3">
        <v>45795</v>
      </c>
      <c r="B751" s="4" t="s">
        <v>138</v>
      </c>
      <c r="C751" s="4" t="s">
        <v>132</v>
      </c>
      <c r="D751" s="4">
        <v>0</v>
      </c>
      <c r="E751" s="4">
        <v>1</v>
      </c>
      <c r="F751" s="4" t="s">
        <v>124</v>
      </c>
      <c r="G751" s="4">
        <v>14</v>
      </c>
      <c r="H751" s="4">
        <v>5</v>
      </c>
      <c r="I751" s="4" t="s">
        <v>247</v>
      </c>
      <c r="J751" s="7">
        <v>0</v>
      </c>
      <c r="K751" s="4" t="s">
        <v>250</v>
      </c>
    </row>
    <row r="752" spans="1:11" ht="27.9" customHeight="1" x14ac:dyDescent="0.3">
      <c r="A752" s="3">
        <v>45796</v>
      </c>
      <c r="B752" s="4" t="s">
        <v>129</v>
      </c>
      <c r="C752" s="4" t="s">
        <v>136</v>
      </c>
      <c r="D752" s="4">
        <v>2</v>
      </c>
      <c r="E752" s="4">
        <v>3</v>
      </c>
      <c r="F752" s="4" t="s">
        <v>124</v>
      </c>
      <c r="G752" s="4">
        <v>18</v>
      </c>
      <c r="H752" s="4">
        <v>5</v>
      </c>
      <c r="I752" s="4" t="s">
        <v>247</v>
      </c>
      <c r="J752" s="7">
        <v>0</v>
      </c>
      <c r="K752" s="4" t="s">
        <v>250</v>
      </c>
    </row>
    <row r="753" spans="1:11" ht="27.9" customHeight="1" x14ac:dyDescent="0.3">
      <c r="A753" s="3">
        <v>45797</v>
      </c>
      <c r="B753" s="4" t="s">
        <v>133</v>
      </c>
      <c r="C753" s="4" t="s">
        <v>149</v>
      </c>
      <c r="D753" s="4">
        <v>2</v>
      </c>
      <c r="E753" s="4">
        <v>4</v>
      </c>
      <c r="F753" s="4" t="s">
        <v>124</v>
      </c>
      <c r="G753" s="4">
        <v>12</v>
      </c>
      <c r="H753" s="4">
        <v>3</v>
      </c>
      <c r="I753" s="4" t="s">
        <v>247</v>
      </c>
      <c r="J753" s="7">
        <v>0</v>
      </c>
      <c r="K753" s="4" t="s">
        <v>250</v>
      </c>
    </row>
    <row r="754" spans="1:11" ht="27.9" customHeight="1" x14ac:dyDescent="0.3">
      <c r="A754" s="3">
        <v>45797</v>
      </c>
      <c r="B754" s="4" t="s">
        <v>142</v>
      </c>
      <c r="C754" s="4" t="s">
        <v>152</v>
      </c>
      <c r="D754" s="4">
        <v>1</v>
      </c>
      <c r="E754" s="4">
        <v>3</v>
      </c>
      <c r="F754" s="4" t="s">
        <v>124</v>
      </c>
      <c r="G754" s="4">
        <v>8</v>
      </c>
      <c r="H754" s="4">
        <v>2</v>
      </c>
      <c r="I754" s="4" t="s">
        <v>247</v>
      </c>
      <c r="J754" s="7">
        <v>0</v>
      </c>
      <c r="K754" s="4" t="s">
        <v>250</v>
      </c>
    </row>
    <row r="755" spans="1:11" ht="27.9" customHeight="1" x14ac:dyDescent="0.3">
      <c r="A755" s="3">
        <v>45802</v>
      </c>
      <c r="B755" s="4" t="s">
        <v>155</v>
      </c>
      <c r="C755" s="4" t="s">
        <v>142</v>
      </c>
      <c r="D755" s="4">
        <v>0</v>
      </c>
      <c r="E755" s="4">
        <v>2</v>
      </c>
      <c r="F755" s="4" t="s">
        <v>124</v>
      </c>
      <c r="G755" s="4">
        <v>3</v>
      </c>
      <c r="H755" s="4">
        <v>0</v>
      </c>
      <c r="I755" s="4" t="s">
        <v>247</v>
      </c>
      <c r="J755" s="7">
        <v>0</v>
      </c>
      <c r="K755" s="4" t="s">
        <v>250</v>
      </c>
    </row>
    <row r="756" spans="1:11" ht="27.9" customHeight="1" x14ac:dyDescent="0.3">
      <c r="A756" s="3">
        <v>45802</v>
      </c>
      <c r="B756" s="4" t="s">
        <v>152</v>
      </c>
      <c r="C756" s="4" t="s">
        <v>123</v>
      </c>
      <c r="D756" s="4">
        <v>2</v>
      </c>
      <c r="E756" s="4">
        <v>0</v>
      </c>
      <c r="F756" s="4" t="s">
        <v>130</v>
      </c>
      <c r="G756" s="4">
        <v>20</v>
      </c>
      <c r="H756" s="4">
        <v>5</v>
      </c>
      <c r="I756" s="4" t="s">
        <v>247</v>
      </c>
      <c r="J756" s="7">
        <v>3</v>
      </c>
      <c r="K756" s="4" t="s">
        <v>249</v>
      </c>
    </row>
    <row r="757" spans="1:11" ht="27.9" customHeight="1" x14ac:dyDescent="0.3">
      <c r="A757" s="3">
        <v>45802</v>
      </c>
      <c r="B757" s="4" t="s">
        <v>144</v>
      </c>
      <c r="C757" s="4" t="s">
        <v>128</v>
      </c>
      <c r="D757" s="4">
        <v>3</v>
      </c>
      <c r="E757" s="4">
        <v>1</v>
      </c>
      <c r="F757" s="4" t="s">
        <v>130</v>
      </c>
      <c r="G757" s="4">
        <v>10</v>
      </c>
      <c r="H757" s="4">
        <v>6</v>
      </c>
      <c r="I757" s="4" t="s">
        <v>247</v>
      </c>
      <c r="J757" s="7">
        <v>3</v>
      </c>
      <c r="K757" s="4" t="s">
        <v>249</v>
      </c>
    </row>
    <row r="758" spans="1:11" ht="27.9" customHeight="1" x14ac:dyDescent="0.3">
      <c r="A758" s="3">
        <v>45802</v>
      </c>
      <c r="B758" s="4" t="s">
        <v>149</v>
      </c>
      <c r="C758" s="4" t="s">
        <v>129</v>
      </c>
      <c r="D758" s="4">
        <v>1</v>
      </c>
      <c r="E758" s="4">
        <v>1</v>
      </c>
      <c r="F758" s="4" t="s">
        <v>125</v>
      </c>
      <c r="G758" s="4">
        <v>8</v>
      </c>
      <c r="H758" s="4">
        <v>5</v>
      </c>
      <c r="I758" s="4" t="s">
        <v>247</v>
      </c>
      <c r="J758" s="7">
        <v>1</v>
      </c>
      <c r="K758" s="4" t="s">
        <v>125</v>
      </c>
    </row>
    <row r="759" spans="1:11" ht="27.9" customHeight="1" x14ac:dyDescent="0.3">
      <c r="A759" s="3">
        <v>45802</v>
      </c>
      <c r="B759" s="4" t="s">
        <v>145</v>
      </c>
      <c r="C759" s="4" t="s">
        <v>122</v>
      </c>
      <c r="D759" s="4">
        <v>0</v>
      </c>
      <c r="E759" s="4">
        <v>2</v>
      </c>
      <c r="F759" s="4" t="s">
        <v>124</v>
      </c>
      <c r="G759" s="4">
        <v>6</v>
      </c>
      <c r="H759" s="4">
        <v>1</v>
      </c>
      <c r="I759" s="4" t="s">
        <v>247</v>
      </c>
      <c r="J759" s="7">
        <v>0</v>
      </c>
      <c r="K759" s="4" t="s">
        <v>250</v>
      </c>
    </row>
    <row r="760" spans="1:11" ht="27.9" customHeight="1" x14ac:dyDescent="0.3">
      <c r="A760" s="3">
        <v>45802</v>
      </c>
      <c r="B760" s="4" t="s">
        <v>135</v>
      </c>
      <c r="C760" s="4" t="s">
        <v>138</v>
      </c>
      <c r="D760" s="4">
        <v>1</v>
      </c>
      <c r="E760" s="4">
        <v>0</v>
      </c>
      <c r="F760" s="4" t="s">
        <v>130</v>
      </c>
      <c r="G760" s="4">
        <v>14</v>
      </c>
      <c r="H760" s="4">
        <v>6</v>
      </c>
      <c r="I760" s="4" t="s">
        <v>247</v>
      </c>
      <c r="J760" s="7">
        <v>3</v>
      </c>
      <c r="K760" s="4" t="s">
        <v>249</v>
      </c>
    </row>
    <row r="761" spans="1:11" ht="27.9" customHeight="1" x14ac:dyDescent="0.3">
      <c r="A761" s="3">
        <v>45802</v>
      </c>
      <c r="B761" s="4" t="s">
        <v>151</v>
      </c>
      <c r="C761" s="4" t="s">
        <v>141</v>
      </c>
      <c r="D761" s="4">
        <v>1</v>
      </c>
      <c r="E761" s="4">
        <v>0</v>
      </c>
      <c r="F761" s="4" t="s">
        <v>130</v>
      </c>
      <c r="G761" s="4">
        <v>6</v>
      </c>
      <c r="H761" s="4">
        <v>2</v>
      </c>
      <c r="I761" s="4" t="s">
        <v>247</v>
      </c>
      <c r="J761" s="7">
        <v>3</v>
      </c>
      <c r="K761" s="4" t="s">
        <v>249</v>
      </c>
    </row>
    <row r="762" spans="1:11" ht="27.9" customHeight="1" x14ac:dyDescent="0.3">
      <c r="A762" s="3">
        <v>45802</v>
      </c>
      <c r="B762" s="4" t="s">
        <v>132</v>
      </c>
      <c r="C762" s="4" t="s">
        <v>139</v>
      </c>
      <c r="D762" s="4">
        <v>2</v>
      </c>
      <c r="E762" s="4">
        <v>1</v>
      </c>
      <c r="F762" s="4" t="s">
        <v>130</v>
      </c>
      <c r="G762" s="4">
        <v>23</v>
      </c>
      <c r="H762" s="4">
        <v>8</v>
      </c>
      <c r="I762" s="4" t="s">
        <v>247</v>
      </c>
      <c r="J762" s="7">
        <v>3</v>
      </c>
      <c r="K762" s="4" t="s">
        <v>249</v>
      </c>
    </row>
    <row r="763" spans="1:11" ht="27.9" customHeight="1" x14ac:dyDescent="0.3">
      <c r="A763" s="3">
        <v>45802</v>
      </c>
      <c r="B763" s="4" t="s">
        <v>136</v>
      </c>
      <c r="C763" s="4" t="s">
        <v>156</v>
      </c>
      <c r="D763" s="4">
        <v>4</v>
      </c>
      <c r="E763" s="4">
        <v>1</v>
      </c>
      <c r="F763" s="4" t="s">
        <v>130</v>
      </c>
      <c r="G763" s="4">
        <v>23</v>
      </c>
      <c r="H763" s="4">
        <v>8</v>
      </c>
      <c r="I763" s="4" t="s">
        <v>247</v>
      </c>
      <c r="J763" s="7">
        <v>3</v>
      </c>
      <c r="K763" s="4" t="s">
        <v>249</v>
      </c>
    </row>
    <row r="764" spans="1:11" ht="27.9" customHeight="1" x14ac:dyDescent="0.3">
      <c r="A764" s="3">
        <v>45802</v>
      </c>
      <c r="B764" s="4" t="s">
        <v>148</v>
      </c>
      <c r="C764" s="4" t="s">
        <v>133</v>
      </c>
      <c r="D764" s="4">
        <v>1</v>
      </c>
      <c r="E764" s="4">
        <v>1</v>
      </c>
      <c r="F764" s="4" t="s">
        <v>125</v>
      </c>
      <c r="G764" s="4">
        <v>13</v>
      </c>
      <c r="H764" s="4">
        <v>7</v>
      </c>
      <c r="I764" s="4" t="s">
        <v>247</v>
      </c>
      <c r="J764" s="7">
        <v>1</v>
      </c>
      <c r="K764" s="4" t="s">
        <v>125</v>
      </c>
    </row>
  </sheetData>
  <mergeCells count="5">
    <mergeCell ref="A3:S3"/>
    <mergeCell ref="L4:L27"/>
    <mergeCell ref="M18:Q19"/>
    <mergeCell ref="M26:Q27"/>
    <mergeCell ref="R4:S27"/>
  </mergeCells>
  <conditionalFormatting sqref="J5:J764">
    <cfRule type="cellIs" dxfId="9" priority="1" operator="equal">
      <formula>0</formula>
    </cfRule>
    <cfRule type="cellIs" dxfId="8" priority="2" operator="equal">
      <formula>1</formula>
    </cfRule>
    <cfRule type="cellIs" dxfId="7" priority="3" operator="equal">
      <formula>3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C56E-6C51-4011-95C3-D9D27FC47332}">
  <dimension ref="A3:R25"/>
  <sheetViews>
    <sheetView zoomScale="87" workbookViewId="0">
      <selection activeCell="S10" sqref="S10"/>
    </sheetView>
  </sheetViews>
  <sheetFormatPr defaultColWidth="13.77734375" defaultRowHeight="30" customHeight="1" x14ac:dyDescent="0.3"/>
  <cols>
    <col min="2" max="2" width="17" customWidth="1"/>
  </cols>
  <sheetData>
    <row r="3" spans="1:18" ht="30" customHeight="1" x14ac:dyDescent="0.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</row>
    <row r="4" spans="1:18" ht="43.2" customHeight="1" x14ac:dyDescent="0.3">
      <c r="A4" s="12" t="s">
        <v>251</v>
      </c>
      <c r="B4" s="12" t="s">
        <v>289</v>
      </c>
      <c r="C4" s="12" t="s">
        <v>290</v>
      </c>
      <c r="D4" s="12" t="s">
        <v>291</v>
      </c>
      <c r="E4" s="12" t="s">
        <v>292</v>
      </c>
      <c r="F4" s="12" t="s">
        <v>252</v>
      </c>
      <c r="G4" s="12" t="s">
        <v>253</v>
      </c>
      <c r="H4" s="12" t="s">
        <v>254</v>
      </c>
      <c r="I4" s="12" t="s">
        <v>245</v>
      </c>
      <c r="J4" s="12" t="s">
        <v>255</v>
      </c>
      <c r="K4" s="84"/>
      <c r="Q4" s="84"/>
      <c r="R4" s="84"/>
    </row>
    <row r="5" spans="1:18" ht="37.200000000000003" customHeight="1" x14ac:dyDescent="0.3">
      <c r="A5" s="9" t="str" cm="1">
        <f t="array" ref="A5:A24">_xlfn.UNIQUE(Team_Match_Data!B5:B764)</f>
        <v>Man United</v>
      </c>
      <c r="B5" s="9" cm="1">
        <f t="array" ref="B5:B24">COUNTIFS(Team_Match_Data!$B$5:$B$764,_xlfn.ANCHORARRAY('Leauge_table '!A5))</f>
        <v>38</v>
      </c>
      <c r="C5" s="9" cm="1">
        <f t="array" ref="C5:C24">SUMIFS(Team_Match_Data!$D$5:$D$764,Team_Match_Data!$B$5:$B$764,_xlfn.ANCHORARRAY('Leauge_table '!A5))</f>
        <v>44</v>
      </c>
      <c r="D5" s="9" cm="1">
        <f t="array" ref="D5:D24">SUMIFS(Team_Match_Data!$E$5:$E$764,Team_Match_Data!$B$5:$B$764,_xlfn.ANCHORARRAY('Leauge_table '!$A$5))</f>
        <v>54</v>
      </c>
      <c r="E5" s="9">
        <f t="shared" ref="E5:E24" si="0">$C5-$D5</f>
        <v>-10</v>
      </c>
      <c r="F5" s="9" cm="1">
        <f t="array" ref="F5:F24">COUNTIFS(Team_Match_Data!$B$5:$B$764,_xlfn.ANCHORARRAY('Leauge_table '!$A$5),Team_Match_Data!$K$5:$K$764,"W")</f>
        <v>11</v>
      </c>
      <c r="G5" s="9" cm="1">
        <f t="array" ref="G5:G24">COUNTIFS(Team_Match_Data!$B$5:$B$764,_xlfn.ANCHORARRAY('Leauge_table '!$A$5),Team_Match_Data!$K$5:$K$764,"D")</f>
        <v>9</v>
      </c>
      <c r="H5" s="9">
        <f>B5-F5-G5</f>
        <v>18</v>
      </c>
      <c r="I5" s="9" cm="1">
        <f t="array" ref="I5:I24">SUMIFS(Team_Match_Data!$J$5:$J$764,Team_Match_Data!$B$5:$B$764,_xlfn.ANCHORARRAY('Leauge_table '!A5))</f>
        <v>42</v>
      </c>
      <c r="J5" s="10">
        <f t="shared" ref="J5:J24" si="1">_xlfn.RANK.EQ($I5,_xlfn.ANCHORARRAY($I$5),0)</f>
        <v>15</v>
      </c>
      <c r="K5" s="84"/>
      <c r="Q5" s="84"/>
      <c r="R5" s="84"/>
    </row>
    <row r="6" spans="1:18" ht="38.4" customHeight="1" x14ac:dyDescent="0.3">
      <c r="A6" s="4" t="str">
        <v>Ipswich</v>
      </c>
      <c r="B6" s="4">
        <v>38</v>
      </c>
      <c r="C6" s="4">
        <v>36</v>
      </c>
      <c r="D6" s="4">
        <v>82</v>
      </c>
      <c r="E6" s="4">
        <f t="shared" si="0"/>
        <v>-46</v>
      </c>
      <c r="F6" s="4">
        <v>4</v>
      </c>
      <c r="G6" s="4">
        <v>10</v>
      </c>
      <c r="H6" s="4">
        <f t="shared" ref="H6:H24" si="2">B6-F6-G6</f>
        <v>24</v>
      </c>
      <c r="I6" s="4">
        <v>22</v>
      </c>
      <c r="J6" s="11">
        <f t="shared" si="1"/>
        <v>19</v>
      </c>
      <c r="K6" s="84"/>
      <c r="Q6" s="84"/>
      <c r="R6" s="84"/>
    </row>
    <row r="7" spans="1:18" ht="36" customHeight="1" x14ac:dyDescent="0.3">
      <c r="A7" s="9" t="str">
        <v>Arsenal</v>
      </c>
      <c r="B7" s="9">
        <v>38</v>
      </c>
      <c r="C7" s="9">
        <v>69</v>
      </c>
      <c r="D7" s="9">
        <v>34</v>
      </c>
      <c r="E7" s="9">
        <f t="shared" si="0"/>
        <v>35</v>
      </c>
      <c r="F7" s="9">
        <v>20</v>
      </c>
      <c r="G7" s="9">
        <v>14</v>
      </c>
      <c r="H7" s="9">
        <f t="shared" si="2"/>
        <v>4</v>
      </c>
      <c r="I7" s="9">
        <v>74</v>
      </c>
      <c r="J7" s="10">
        <f t="shared" si="1"/>
        <v>2</v>
      </c>
      <c r="K7" s="84"/>
      <c r="Q7" s="84"/>
      <c r="R7" s="84"/>
    </row>
    <row r="8" spans="1:18" ht="34.799999999999997" customHeight="1" x14ac:dyDescent="0.3">
      <c r="A8" s="4" t="str">
        <v>Everton</v>
      </c>
      <c r="B8" s="4">
        <v>38</v>
      </c>
      <c r="C8" s="4">
        <v>42</v>
      </c>
      <c r="D8" s="4">
        <v>44</v>
      </c>
      <c r="E8" s="4">
        <f t="shared" si="0"/>
        <v>-2</v>
      </c>
      <c r="F8" s="4">
        <v>11</v>
      </c>
      <c r="G8" s="4">
        <v>15</v>
      </c>
      <c r="H8" s="4">
        <f t="shared" si="2"/>
        <v>12</v>
      </c>
      <c r="I8" s="4">
        <v>48</v>
      </c>
      <c r="J8" s="11">
        <f t="shared" si="1"/>
        <v>13</v>
      </c>
      <c r="K8" s="84"/>
      <c r="Q8" s="84"/>
      <c r="R8" s="84"/>
    </row>
    <row r="9" spans="1:18" ht="36" customHeight="1" x14ac:dyDescent="0.3">
      <c r="A9" s="9" t="str">
        <v>Newcastle</v>
      </c>
      <c r="B9" s="9">
        <v>38</v>
      </c>
      <c r="C9" s="9">
        <v>68</v>
      </c>
      <c r="D9" s="9">
        <v>47</v>
      </c>
      <c r="E9" s="9">
        <f t="shared" si="0"/>
        <v>21</v>
      </c>
      <c r="F9" s="9">
        <v>20</v>
      </c>
      <c r="G9" s="9">
        <v>6</v>
      </c>
      <c r="H9" s="9">
        <f t="shared" si="2"/>
        <v>12</v>
      </c>
      <c r="I9" s="9">
        <v>66</v>
      </c>
      <c r="J9" s="10">
        <f t="shared" si="1"/>
        <v>5</v>
      </c>
      <c r="K9" s="84"/>
      <c r="Q9" s="84"/>
      <c r="R9" s="84"/>
    </row>
    <row r="10" spans="1:18" ht="36.6" customHeight="1" x14ac:dyDescent="0.3">
      <c r="A10" s="4" t="str">
        <v>Nott'm Forest</v>
      </c>
      <c r="B10" s="4">
        <v>38</v>
      </c>
      <c r="C10" s="4">
        <v>58</v>
      </c>
      <c r="D10" s="4">
        <v>46</v>
      </c>
      <c r="E10" s="4">
        <f t="shared" si="0"/>
        <v>12</v>
      </c>
      <c r="F10" s="4">
        <v>19</v>
      </c>
      <c r="G10" s="4">
        <v>8</v>
      </c>
      <c r="H10" s="4">
        <f t="shared" si="2"/>
        <v>11</v>
      </c>
      <c r="I10" s="4">
        <v>65</v>
      </c>
      <c r="J10" s="11">
        <f t="shared" si="1"/>
        <v>7</v>
      </c>
      <c r="K10" s="84"/>
      <c r="Q10" s="84"/>
      <c r="R10" s="84"/>
    </row>
    <row r="11" spans="1:18" ht="36.6" customHeight="1" x14ac:dyDescent="0.3">
      <c r="A11" s="9" t="str">
        <v>West Ham</v>
      </c>
      <c r="B11" s="9">
        <v>38</v>
      </c>
      <c r="C11" s="9">
        <v>46</v>
      </c>
      <c r="D11" s="9">
        <v>62</v>
      </c>
      <c r="E11" s="9">
        <f t="shared" si="0"/>
        <v>-16</v>
      </c>
      <c r="F11" s="9">
        <v>11</v>
      </c>
      <c r="G11" s="9">
        <v>10</v>
      </c>
      <c r="H11" s="9">
        <f t="shared" si="2"/>
        <v>17</v>
      </c>
      <c r="I11" s="9">
        <v>43</v>
      </c>
      <c r="J11" s="10">
        <f t="shared" si="1"/>
        <v>14</v>
      </c>
      <c r="K11" s="84"/>
      <c r="Q11" s="84"/>
      <c r="R11" s="84"/>
    </row>
    <row r="12" spans="1:18" ht="36.6" customHeight="1" x14ac:dyDescent="0.3">
      <c r="A12" s="4" t="str">
        <v>Brentford</v>
      </c>
      <c r="B12" s="4">
        <v>38</v>
      </c>
      <c r="C12" s="4">
        <v>66</v>
      </c>
      <c r="D12" s="4">
        <v>57</v>
      </c>
      <c r="E12" s="4">
        <f t="shared" si="0"/>
        <v>9</v>
      </c>
      <c r="F12" s="4">
        <v>16</v>
      </c>
      <c r="G12" s="4">
        <v>8</v>
      </c>
      <c r="H12" s="4">
        <f t="shared" si="2"/>
        <v>14</v>
      </c>
      <c r="I12" s="4">
        <v>56</v>
      </c>
      <c r="J12" s="11">
        <f t="shared" si="1"/>
        <v>9</v>
      </c>
      <c r="K12" s="84"/>
      <c r="Q12" s="84"/>
      <c r="R12" s="84"/>
    </row>
    <row r="13" spans="1:18" ht="36" customHeight="1" x14ac:dyDescent="0.3">
      <c r="A13" s="9" t="str">
        <v>Chelsea</v>
      </c>
      <c r="B13" s="9">
        <v>38</v>
      </c>
      <c r="C13" s="9">
        <v>64</v>
      </c>
      <c r="D13" s="9">
        <v>43</v>
      </c>
      <c r="E13" s="9">
        <f t="shared" si="0"/>
        <v>21</v>
      </c>
      <c r="F13" s="9">
        <v>20</v>
      </c>
      <c r="G13" s="9">
        <v>9</v>
      </c>
      <c r="H13" s="9">
        <f t="shared" si="2"/>
        <v>9</v>
      </c>
      <c r="I13" s="9">
        <v>69</v>
      </c>
      <c r="J13" s="10">
        <f t="shared" si="1"/>
        <v>4</v>
      </c>
      <c r="K13" s="84"/>
      <c r="Q13" s="84"/>
      <c r="R13" s="84"/>
    </row>
    <row r="14" spans="1:18" ht="36" customHeight="1" x14ac:dyDescent="0.3">
      <c r="A14" s="4" t="str">
        <v>Leicester</v>
      </c>
      <c r="B14" s="4">
        <v>38</v>
      </c>
      <c r="C14" s="4">
        <v>33</v>
      </c>
      <c r="D14" s="4">
        <v>80</v>
      </c>
      <c r="E14" s="4">
        <f t="shared" si="0"/>
        <v>-47</v>
      </c>
      <c r="F14" s="4">
        <v>6</v>
      </c>
      <c r="G14" s="4">
        <v>7</v>
      </c>
      <c r="H14" s="4">
        <f t="shared" si="2"/>
        <v>25</v>
      </c>
      <c r="I14" s="4">
        <v>25</v>
      </c>
      <c r="J14" s="11">
        <f t="shared" si="1"/>
        <v>18</v>
      </c>
      <c r="K14" s="84"/>
      <c r="L14" s="84"/>
      <c r="M14" s="84"/>
      <c r="N14" s="84"/>
      <c r="O14" s="84"/>
      <c r="P14" s="84"/>
      <c r="Q14" s="84"/>
      <c r="R14" s="84"/>
    </row>
    <row r="15" spans="1:18" ht="36" customHeight="1" x14ac:dyDescent="0.3">
      <c r="A15" s="9" t="str">
        <v>Brighton</v>
      </c>
      <c r="B15" s="9">
        <v>38</v>
      </c>
      <c r="C15" s="9">
        <v>66</v>
      </c>
      <c r="D15" s="9">
        <v>59</v>
      </c>
      <c r="E15" s="9">
        <f t="shared" si="0"/>
        <v>7</v>
      </c>
      <c r="F15" s="9">
        <v>16</v>
      </c>
      <c r="G15" s="9">
        <v>13</v>
      </c>
      <c r="H15" s="9">
        <f t="shared" si="2"/>
        <v>9</v>
      </c>
      <c r="I15" s="9">
        <v>61</v>
      </c>
      <c r="J15" s="10">
        <f t="shared" si="1"/>
        <v>8</v>
      </c>
      <c r="K15" s="84"/>
      <c r="L15" s="84"/>
      <c r="M15" s="84"/>
      <c r="N15" s="84"/>
      <c r="O15" s="84"/>
      <c r="P15" s="84"/>
      <c r="Q15" s="84"/>
      <c r="R15" s="84"/>
    </row>
    <row r="16" spans="1:18" ht="36" customHeight="1" x14ac:dyDescent="0.3">
      <c r="A16" s="4" t="str">
        <v>Crystal Palace</v>
      </c>
      <c r="B16" s="4">
        <v>38</v>
      </c>
      <c r="C16" s="4">
        <v>51</v>
      </c>
      <c r="D16" s="4">
        <v>51</v>
      </c>
      <c r="E16" s="4">
        <f t="shared" si="0"/>
        <v>0</v>
      </c>
      <c r="F16" s="4">
        <v>13</v>
      </c>
      <c r="G16" s="4">
        <v>14</v>
      </c>
      <c r="H16" s="4">
        <f t="shared" si="2"/>
        <v>11</v>
      </c>
      <c r="I16" s="4">
        <v>53</v>
      </c>
      <c r="J16" s="11">
        <f t="shared" si="1"/>
        <v>12</v>
      </c>
      <c r="K16" s="84"/>
      <c r="L16" s="84"/>
      <c r="M16" s="84"/>
      <c r="N16" s="84"/>
      <c r="O16" s="84"/>
      <c r="P16" s="84"/>
      <c r="Q16" s="84"/>
      <c r="R16" s="84"/>
    </row>
    <row r="17" spans="1:18" ht="36" customHeight="1" x14ac:dyDescent="0.3">
      <c r="A17" s="9" t="str">
        <v>Fulham</v>
      </c>
      <c r="B17" s="9">
        <v>38</v>
      </c>
      <c r="C17" s="9">
        <v>54</v>
      </c>
      <c r="D17" s="9">
        <v>54</v>
      </c>
      <c r="E17" s="9">
        <f t="shared" si="0"/>
        <v>0</v>
      </c>
      <c r="F17" s="9">
        <v>15</v>
      </c>
      <c r="G17" s="9">
        <v>9</v>
      </c>
      <c r="H17" s="9">
        <f t="shared" si="2"/>
        <v>14</v>
      </c>
      <c r="I17" s="9">
        <v>54</v>
      </c>
      <c r="J17" s="10">
        <f t="shared" si="1"/>
        <v>11</v>
      </c>
      <c r="K17" s="84"/>
      <c r="Q17" s="84"/>
      <c r="R17" s="84"/>
    </row>
    <row r="18" spans="1:18" ht="36" customHeight="1" x14ac:dyDescent="0.3">
      <c r="A18" s="4" t="str">
        <v>Man City</v>
      </c>
      <c r="B18" s="4">
        <v>38</v>
      </c>
      <c r="C18" s="4">
        <v>72</v>
      </c>
      <c r="D18" s="4">
        <v>44</v>
      </c>
      <c r="E18" s="4">
        <f t="shared" si="0"/>
        <v>28</v>
      </c>
      <c r="F18" s="4">
        <v>21</v>
      </c>
      <c r="G18" s="4">
        <v>8</v>
      </c>
      <c r="H18" s="4">
        <f t="shared" si="2"/>
        <v>9</v>
      </c>
      <c r="I18" s="4">
        <v>71</v>
      </c>
      <c r="J18" s="11">
        <f t="shared" si="1"/>
        <v>3</v>
      </c>
      <c r="K18" s="84"/>
      <c r="Q18" s="84"/>
      <c r="R18" s="84"/>
    </row>
    <row r="19" spans="1:18" ht="36" customHeight="1" x14ac:dyDescent="0.3">
      <c r="A19" s="9" t="str">
        <v>Southampton</v>
      </c>
      <c r="B19" s="9">
        <v>38</v>
      </c>
      <c r="C19" s="9">
        <v>26</v>
      </c>
      <c r="D19" s="9">
        <v>86</v>
      </c>
      <c r="E19" s="9">
        <f t="shared" si="0"/>
        <v>-60</v>
      </c>
      <c r="F19" s="9">
        <v>2</v>
      </c>
      <c r="G19" s="9">
        <v>6</v>
      </c>
      <c r="H19" s="9">
        <f t="shared" si="2"/>
        <v>30</v>
      </c>
      <c r="I19" s="9">
        <v>12</v>
      </c>
      <c r="J19" s="10">
        <f t="shared" si="1"/>
        <v>20</v>
      </c>
      <c r="K19" s="84"/>
      <c r="Q19" s="84"/>
      <c r="R19" s="84"/>
    </row>
    <row r="20" spans="1:18" ht="36" customHeight="1" x14ac:dyDescent="0.3">
      <c r="A20" s="4" t="str">
        <v>Tottenham</v>
      </c>
      <c r="B20" s="4">
        <v>38</v>
      </c>
      <c r="C20" s="4">
        <v>64</v>
      </c>
      <c r="D20" s="4">
        <v>65</v>
      </c>
      <c r="E20" s="4">
        <f t="shared" si="0"/>
        <v>-1</v>
      </c>
      <c r="F20" s="4">
        <v>11</v>
      </c>
      <c r="G20" s="4">
        <v>5</v>
      </c>
      <c r="H20" s="4">
        <f t="shared" si="2"/>
        <v>22</v>
      </c>
      <c r="I20" s="4">
        <v>38</v>
      </c>
      <c r="J20" s="11">
        <f t="shared" si="1"/>
        <v>17</v>
      </c>
      <c r="K20" s="84"/>
      <c r="Q20" s="84"/>
      <c r="R20" s="84"/>
    </row>
    <row r="21" spans="1:18" ht="36" customHeight="1" x14ac:dyDescent="0.3">
      <c r="A21" s="9" t="str">
        <v>Aston Villa</v>
      </c>
      <c r="B21" s="9">
        <v>38</v>
      </c>
      <c r="C21" s="9">
        <v>58</v>
      </c>
      <c r="D21" s="9">
        <v>51</v>
      </c>
      <c r="E21" s="9">
        <f t="shared" si="0"/>
        <v>7</v>
      </c>
      <c r="F21" s="9">
        <v>19</v>
      </c>
      <c r="G21" s="9">
        <v>9</v>
      </c>
      <c r="H21" s="9">
        <f t="shared" si="2"/>
        <v>10</v>
      </c>
      <c r="I21" s="9">
        <v>66</v>
      </c>
      <c r="J21" s="10">
        <f t="shared" si="1"/>
        <v>5</v>
      </c>
      <c r="K21" s="84"/>
      <c r="Q21" s="84"/>
      <c r="R21" s="84"/>
    </row>
    <row r="22" spans="1:18" ht="36" customHeight="1" x14ac:dyDescent="0.3">
      <c r="A22" s="4" t="str">
        <v>Bournemouth</v>
      </c>
      <c r="B22" s="4">
        <v>38</v>
      </c>
      <c r="C22" s="4">
        <v>58</v>
      </c>
      <c r="D22" s="4">
        <v>46</v>
      </c>
      <c r="E22" s="4">
        <f t="shared" si="0"/>
        <v>12</v>
      </c>
      <c r="F22" s="4">
        <v>15</v>
      </c>
      <c r="G22" s="4">
        <v>11</v>
      </c>
      <c r="H22" s="4">
        <f t="shared" si="2"/>
        <v>12</v>
      </c>
      <c r="I22" s="4">
        <v>56</v>
      </c>
      <c r="J22" s="11">
        <f t="shared" si="1"/>
        <v>9</v>
      </c>
      <c r="K22" s="84"/>
      <c r="Q22" s="84"/>
      <c r="R22" s="84"/>
    </row>
    <row r="23" spans="1:18" ht="36" customHeight="1" x14ac:dyDescent="0.3">
      <c r="A23" s="9" t="str">
        <v>Wolves</v>
      </c>
      <c r="B23" s="9">
        <v>38</v>
      </c>
      <c r="C23" s="9">
        <v>54</v>
      </c>
      <c r="D23" s="9">
        <v>69</v>
      </c>
      <c r="E23" s="9">
        <f t="shared" si="0"/>
        <v>-15</v>
      </c>
      <c r="F23" s="9">
        <v>12</v>
      </c>
      <c r="G23" s="9">
        <v>6</v>
      </c>
      <c r="H23" s="9">
        <f t="shared" si="2"/>
        <v>20</v>
      </c>
      <c r="I23" s="9">
        <v>42</v>
      </c>
      <c r="J23" s="10">
        <f t="shared" si="1"/>
        <v>15</v>
      </c>
      <c r="K23" s="84"/>
      <c r="Q23" s="84"/>
      <c r="R23" s="84"/>
    </row>
    <row r="24" spans="1:18" ht="36" customHeight="1" x14ac:dyDescent="0.3">
      <c r="A24" s="4" t="str">
        <v>Liverpool</v>
      </c>
      <c r="B24" s="4">
        <v>38</v>
      </c>
      <c r="C24" s="4">
        <v>86</v>
      </c>
      <c r="D24" s="4">
        <v>41</v>
      </c>
      <c r="E24" s="4">
        <f t="shared" si="0"/>
        <v>45</v>
      </c>
      <c r="F24" s="4">
        <v>25</v>
      </c>
      <c r="G24" s="4">
        <v>9</v>
      </c>
      <c r="H24" s="4">
        <f t="shared" si="2"/>
        <v>4</v>
      </c>
      <c r="I24" s="4">
        <v>84</v>
      </c>
      <c r="J24" s="11">
        <f t="shared" si="1"/>
        <v>1</v>
      </c>
      <c r="K24" s="84"/>
      <c r="Q24" s="84"/>
      <c r="R24" s="84"/>
    </row>
    <row r="25" spans="1:18" ht="30" customHeight="1" x14ac:dyDescent="0.3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</row>
  </sheetData>
  <mergeCells count="6">
    <mergeCell ref="A3:R3"/>
    <mergeCell ref="K4:K25"/>
    <mergeCell ref="A25:J25"/>
    <mergeCell ref="L25:P25"/>
    <mergeCell ref="L14:P16"/>
    <mergeCell ref="Q4:R25"/>
  </mergeCells>
  <conditionalFormatting sqref="J5:J24">
    <cfRule type="cellIs" dxfId="6" priority="1" operator="between">
      <formula>9</formula>
      <formula>16</formula>
    </cfRule>
    <cfRule type="cellIs" dxfId="5" priority="2" operator="between">
      <formula>5</formula>
      <formula>8</formula>
    </cfRule>
    <cfRule type="top10" dxfId="4" priority="3" bottom="1" rank="4"/>
    <cfRule type="top10" dxfId="3" priority="4" rank="4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8895-CD1D-4EC6-9C76-312AC8DF428A}">
  <dimension ref="A3:O24"/>
  <sheetViews>
    <sheetView topLeftCell="C1" zoomScale="75" workbookViewId="0">
      <selection activeCell="M13" sqref="M13:O24"/>
    </sheetView>
  </sheetViews>
  <sheetFormatPr defaultColWidth="20.77734375" defaultRowHeight="34.049999999999997" customHeight="1" x14ac:dyDescent="0.3"/>
  <sheetData>
    <row r="3" spans="1:15" ht="34.049999999999997" customHeight="1" x14ac:dyDescent="0.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34.049999999999997" customHeight="1" x14ac:dyDescent="0.3">
      <c r="A4" s="21" t="s">
        <v>251</v>
      </c>
      <c r="B4" s="22" t="s">
        <v>245</v>
      </c>
      <c r="C4" s="22" t="s">
        <v>255</v>
      </c>
      <c r="D4" s="22" t="s">
        <v>241</v>
      </c>
      <c r="E4" s="23" t="s">
        <v>293</v>
      </c>
      <c r="F4" s="23" t="s">
        <v>256</v>
      </c>
      <c r="G4" s="24" t="s">
        <v>252</v>
      </c>
      <c r="H4" s="85"/>
      <c r="L4" s="84"/>
      <c r="M4" s="84"/>
      <c r="N4" s="84"/>
      <c r="O4" s="84"/>
    </row>
    <row r="5" spans="1:15" ht="34.049999999999997" customHeight="1" x14ac:dyDescent="0.3">
      <c r="A5" s="37" t="str" cm="1">
        <f t="array" ref="A5:A24">_xlfn.ANCHORARRAY('Leauge_table '!A5)</f>
        <v>Man United</v>
      </c>
      <c r="B5" s="38" cm="1">
        <f t="array" ref="B5">_xlfn.XLOOKUP(A5,_xlfn.ANCHORARRAY('Leauge_table '!$A$5),_xlfn.ANCHORARRAY('Leauge_table '!$I$5),,0)</f>
        <v>42</v>
      </c>
      <c r="C5" s="38">
        <f t="shared" ref="C5:C24" si="0">_xlfn.RANK.EQ($B5,$B$5:$B$24,0)</f>
        <v>15</v>
      </c>
      <c r="D5" s="38" cm="1">
        <f t="array" ref="D5">_xlfn.XLOOKUP(A5,_xlfn.ANCHORARRAY('Leauge_table '!$A$5),_xlfn.ANCHORARRAY('Leauge_table '!$C$5),,0)</f>
        <v>44</v>
      </c>
      <c r="E5" s="38" cm="1">
        <f t="array" ref="E5">_xlfn.XLOOKUP(A5,_xlfn.ANCHORARRAY('Leauge_table '!$A$5),_xlfn.ANCHORARRAY('Leauge_table '!$D$5),,0)</f>
        <v>54</v>
      </c>
      <c r="F5" s="38">
        <f>D5-E5</f>
        <v>-10</v>
      </c>
      <c r="G5" s="31" cm="1">
        <f t="array" ref="G5">_xlfn.XLOOKUP(A5,_xlfn.ANCHORARRAY('Leauge_table '!$A$5),_xlfn.ANCHORARRAY('Leauge_table '!$F$5),,0)</f>
        <v>11</v>
      </c>
      <c r="H5" s="85"/>
      <c r="I5" s="25" t="s">
        <v>257</v>
      </c>
      <c r="J5" s="26" t="s">
        <v>258</v>
      </c>
      <c r="K5" s="27" t="s">
        <v>261</v>
      </c>
      <c r="L5" s="84"/>
      <c r="M5" s="84"/>
      <c r="N5" s="84"/>
      <c r="O5" s="84"/>
    </row>
    <row r="6" spans="1:15" ht="34.049999999999997" customHeight="1" x14ac:dyDescent="0.3">
      <c r="A6" s="39" t="str">
        <v>Ipswich</v>
      </c>
      <c r="B6" s="40" cm="1">
        <f t="array" ref="B6">_xlfn.XLOOKUP(A6,_xlfn.ANCHORARRAY('Leauge_table '!$A$5),_xlfn.ANCHORARRAY('Leauge_table '!$I$5),,0)</f>
        <v>22</v>
      </c>
      <c r="C6" s="40">
        <f t="shared" si="0"/>
        <v>19</v>
      </c>
      <c r="D6" s="40" cm="1">
        <f t="array" ref="D6">_xlfn.XLOOKUP(A6,_xlfn.ANCHORARRAY('Leauge_table '!$A$5),_xlfn.ANCHORARRAY('Leauge_table '!$C$5),,0)</f>
        <v>36</v>
      </c>
      <c r="E6" s="40" cm="1">
        <f t="array" ref="E6">_xlfn.XLOOKUP(A6,_xlfn.ANCHORARRAY('Leauge_table '!$A$5),_xlfn.ANCHORARRAY('Leauge_table '!$D$5),,0)</f>
        <v>82</v>
      </c>
      <c r="F6" s="40">
        <f t="shared" ref="F6:F24" si="1">D6-E6</f>
        <v>-46</v>
      </c>
      <c r="G6" s="32" cm="1">
        <f t="array" ref="G6">_xlfn.XLOOKUP(A6,_xlfn.ANCHORARRAY('Leauge_table '!$A$5),_xlfn.ANCHORARRAY('Leauge_table '!$F$5),,0)</f>
        <v>4</v>
      </c>
      <c r="H6" s="85"/>
      <c r="I6" s="13" t="s">
        <v>259</v>
      </c>
      <c r="J6" s="28">
        <f>CORREL(D5:D24,B5:B24)</f>
        <v>0.89266233027041686</v>
      </c>
      <c r="K6" s="31" t="str">
        <f>IF(J6&gt;0.7,"Strong impact",IF(J6&lt;0.4,"Weak Impact","Moderate impact"))</f>
        <v>Strong impact</v>
      </c>
      <c r="L6" s="84"/>
      <c r="M6" s="84"/>
      <c r="N6" s="84"/>
      <c r="O6" s="84"/>
    </row>
    <row r="7" spans="1:15" ht="34.049999999999997" customHeight="1" x14ac:dyDescent="0.3">
      <c r="A7" s="37" t="str">
        <v>Arsenal</v>
      </c>
      <c r="B7" s="38" cm="1">
        <f t="array" ref="B7">_xlfn.XLOOKUP(A7,_xlfn.ANCHORARRAY('Leauge_table '!$A$5),_xlfn.ANCHORARRAY('Leauge_table '!$I$5),,0)</f>
        <v>74</v>
      </c>
      <c r="C7" s="38">
        <f t="shared" si="0"/>
        <v>2</v>
      </c>
      <c r="D7" s="38" cm="1">
        <f t="array" ref="D7">_xlfn.XLOOKUP(A7,_xlfn.ANCHORARRAY('Leauge_table '!$A$5),_xlfn.ANCHORARRAY('Leauge_table '!$C$5),,0)</f>
        <v>69</v>
      </c>
      <c r="E7" s="38" cm="1">
        <f t="array" ref="E7">_xlfn.XLOOKUP(A7,_xlfn.ANCHORARRAY('Leauge_table '!$A$5),_xlfn.ANCHORARRAY('Leauge_table '!$D$5),,0)</f>
        <v>34</v>
      </c>
      <c r="F7" s="38">
        <f t="shared" si="1"/>
        <v>35</v>
      </c>
      <c r="G7" s="31" cm="1">
        <f t="array" ref="G7">_xlfn.XLOOKUP(A7,_xlfn.ANCHORARRAY('Leauge_table '!$A$5),_xlfn.ANCHORARRAY('Leauge_table '!$F$5),,0)</f>
        <v>20</v>
      </c>
      <c r="H7" s="85"/>
      <c r="I7" s="14" t="s">
        <v>260</v>
      </c>
      <c r="J7" s="29">
        <f>CORREL(E5:E24,B5:B24)</f>
        <v>-0.9086628907769998</v>
      </c>
      <c r="K7" s="32" t="str">
        <f t="shared" ref="K7:K9" si="2">IF(J7&gt;0.7,"Strong impact",IF(J7&lt;0.4,"Weak Impact","Moderate impact"))</f>
        <v>Weak Impact</v>
      </c>
      <c r="L7" s="84"/>
      <c r="M7" s="84"/>
      <c r="N7" s="84"/>
      <c r="O7" s="84"/>
    </row>
    <row r="8" spans="1:15" ht="34.049999999999997" customHeight="1" x14ac:dyDescent="0.3">
      <c r="A8" s="39" t="str">
        <v>Everton</v>
      </c>
      <c r="B8" s="40" cm="1">
        <f t="array" ref="B8">_xlfn.XLOOKUP(A8,_xlfn.ANCHORARRAY('Leauge_table '!$A$5),_xlfn.ANCHORARRAY('Leauge_table '!$I$5),,0)</f>
        <v>48</v>
      </c>
      <c r="C8" s="40">
        <f t="shared" si="0"/>
        <v>13</v>
      </c>
      <c r="D8" s="40" cm="1">
        <f t="array" ref="D8">_xlfn.XLOOKUP(A8,_xlfn.ANCHORARRAY('Leauge_table '!$A$5),_xlfn.ANCHORARRAY('Leauge_table '!$C$5),,0)</f>
        <v>42</v>
      </c>
      <c r="E8" s="40" cm="1">
        <f t="array" ref="E8">_xlfn.XLOOKUP(A8,_xlfn.ANCHORARRAY('Leauge_table '!$A$5),_xlfn.ANCHORARRAY('Leauge_table '!$D$5),,0)</f>
        <v>44</v>
      </c>
      <c r="F8" s="40">
        <f t="shared" si="1"/>
        <v>-2</v>
      </c>
      <c r="G8" s="32" cm="1">
        <f t="array" ref="G8">_xlfn.XLOOKUP(A8,_xlfn.ANCHORARRAY('Leauge_table '!$A$5),_xlfn.ANCHORARRAY('Leauge_table '!$F$5),,0)</f>
        <v>11</v>
      </c>
      <c r="H8" s="85"/>
      <c r="I8" s="13" t="s">
        <v>256</v>
      </c>
      <c r="J8" s="28">
        <f>CORREL(F5:F24,B5:B24)</f>
        <v>0.97009160901600744</v>
      </c>
      <c r="K8" s="31" t="str">
        <f t="shared" si="2"/>
        <v>Strong impact</v>
      </c>
      <c r="L8" s="84"/>
    </row>
    <row r="9" spans="1:15" ht="34.049999999999997" customHeight="1" x14ac:dyDescent="0.3">
      <c r="A9" s="37" t="str">
        <v>Newcastle</v>
      </c>
      <c r="B9" s="38" cm="1">
        <f t="array" ref="B9">_xlfn.XLOOKUP(A9,_xlfn.ANCHORARRAY('Leauge_table '!$A$5),_xlfn.ANCHORARRAY('Leauge_table '!$I$5),,0)</f>
        <v>66</v>
      </c>
      <c r="C9" s="38">
        <f t="shared" si="0"/>
        <v>5</v>
      </c>
      <c r="D9" s="38" cm="1">
        <f t="array" ref="D9">_xlfn.XLOOKUP(A9,_xlfn.ANCHORARRAY('Leauge_table '!$A$5),_xlfn.ANCHORARRAY('Leauge_table '!$C$5),,0)</f>
        <v>68</v>
      </c>
      <c r="E9" s="38" cm="1">
        <f t="array" ref="E9">_xlfn.XLOOKUP(A9,_xlfn.ANCHORARRAY('Leauge_table '!$A$5),_xlfn.ANCHORARRAY('Leauge_table '!$D$5),,0)</f>
        <v>47</v>
      </c>
      <c r="F9" s="38">
        <f t="shared" si="1"/>
        <v>21</v>
      </c>
      <c r="G9" s="31" cm="1">
        <f t="array" ref="G9">_xlfn.XLOOKUP(A9,_xlfn.ANCHORARRAY('Leauge_table '!$A$5),_xlfn.ANCHORARRAY('Leauge_table '!$F$5),,0)</f>
        <v>20</v>
      </c>
      <c r="H9" s="85"/>
      <c r="I9" s="15" t="s">
        <v>252</v>
      </c>
      <c r="J9" s="30">
        <f>CORREL(G5:G24,B5:B24)</f>
        <v>0.98819593126502181</v>
      </c>
      <c r="K9" s="33" t="str">
        <f t="shared" si="2"/>
        <v>Strong impact</v>
      </c>
      <c r="L9" s="84"/>
      <c r="M9" s="34" t="s">
        <v>262</v>
      </c>
      <c r="N9" s="35" t="s">
        <v>263</v>
      </c>
      <c r="O9" s="36" t="s">
        <v>264</v>
      </c>
    </row>
    <row r="10" spans="1:15" ht="34.049999999999997" customHeight="1" x14ac:dyDescent="0.3">
      <c r="A10" s="39" t="str">
        <v>Nott'm Forest</v>
      </c>
      <c r="B10" s="40" cm="1">
        <f t="array" ref="B10">_xlfn.XLOOKUP(A10,_xlfn.ANCHORARRAY('Leauge_table '!$A$5),_xlfn.ANCHORARRAY('Leauge_table '!$I$5),,0)</f>
        <v>65</v>
      </c>
      <c r="C10" s="40">
        <f t="shared" si="0"/>
        <v>7</v>
      </c>
      <c r="D10" s="40" cm="1">
        <f t="array" ref="D10">_xlfn.XLOOKUP(A10,_xlfn.ANCHORARRAY('Leauge_table '!$A$5),_xlfn.ANCHORARRAY('Leauge_table '!$C$5),,0)</f>
        <v>58</v>
      </c>
      <c r="E10" s="40" cm="1">
        <f t="array" ref="E10">_xlfn.XLOOKUP(A10,_xlfn.ANCHORARRAY('Leauge_table '!$A$5),_xlfn.ANCHORARRAY('Leauge_table '!$D$5),,0)</f>
        <v>46</v>
      </c>
      <c r="F10" s="40">
        <f t="shared" si="1"/>
        <v>12</v>
      </c>
      <c r="G10" s="32" cm="1">
        <f t="array" ref="G10">_xlfn.XLOOKUP(A10,_xlfn.ANCHORARRAY('Leauge_table '!$A$5),_xlfn.ANCHORARRAY('Leauge_table '!$F$5),,0)</f>
        <v>19</v>
      </c>
      <c r="H10" s="85"/>
      <c r="I10" s="86"/>
      <c r="J10" s="86"/>
      <c r="K10" s="86"/>
      <c r="L10" s="84"/>
      <c r="M10" s="13" t="s">
        <v>265</v>
      </c>
      <c r="N10" s="9" t="s">
        <v>268</v>
      </c>
      <c r="O10" s="18"/>
    </row>
    <row r="11" spans="1:15" ht="34.049999999999997" customHeight="1" x14ac:dyDescent="0.3">
      <c r="A11" s="37" t="str">
        <v>West Ham</v>
      </c>
      <c r="B11" s="38" cm="1">
        <f t="array" ref="B11">_xlfn.XLOOKUP(A11,_xlfn.ANCHORARRAY('Leauge_table '!$A$5),_xlfn.ANCHORARRAY('Leauge_table '!$I$5),,0)</f>
        <v>43</v>
      </c>
      <c r="C11" s="38">
        <f t="shared" si="0"/>
        <v>14</v>
      </c>
      <c r="D11" s="38" cm="1">
        <f t="array" ref="D11">_xlfn.XLOOKUP(A11,_xlfn.ANCHORARRAY('Leauge_table '!$A$5),_xlfn.ANCHORARRAY('Leauge_table '!$C$5),,0)</f>
        <v>46</v>
      </c>
      <c r="E11" s="38" cm="1">
        <f t="array" ref="E11">_xlfn.XLOOKUP(A11,_xlfn.ANCHORARRAY('Leauge_table '!$A$5),_xlfn.ANCHORARRAY('Leauge_table '!$D$5),,0)</f>
        <v>62</v>
      </c>
      <c r="F11" s="38">
        <f t="shared" si="1"/>
        <v>-16</v>
      </c>
      <c r="G11" s="31" cm="1">
        <f t="array" ref="G11">_xlfn.XLOOKUP(A11,_xlfn.ANCHORARRAY('Leauge_table '!$A$5),_xlfn.ANCHORARRAY('Leauge_table '!$F$5),,0)</f>
        <v>11</v>
      </c>
      <c r="H11" s="85"/>
      <c r="L11" s="84"/>
      <c r="M11" s="14" t="s">
        <v>266</v>
      </c>
      <c r="N11" s="4" t="s">
        <v>269</v>
      </c>
      <c r="O11" s="19"/>
    </row>
    <row r="12" spans="1:15" ht="34.049999999999997" customHeight="1" x14ac:dyDescent="0.3">
      <c r="A12" s="39" t="str">
        <v>Brentford</v>
      </c>
      <c r="B12" s="40" cm="1">
        <f t="array" ref="B12">_xlfn.XLOOKUP(A12,_xlfn.ANCHORARRAY('Leauge_table '!$A$5),_xlfn.ANCHORARRAY('Leauge_table '!$I$5),,0)</f>
        <v>56</v>
      </c>
      <c r="C12" s="40">
        <f t="shared" si="0"/>
        <v>9</v>
      </c>
      <c r="D12" s="40" cm="1">
        <f t="array" ref="D12">_xlfn.XLOOKUP(A12,_xlfn.ANCHORARRAY('Leauge_table '!$A$5),_xlfn.ANCHORARRAY('Leauge_table '!$C$5),,0)</f>
        <v>66</v>
      </c>
      <c r="E12" s="40" cm="1">
        <f t="array" ref="E12">_xlfn.XLOOKUP(A12,_xlfn.ANCHORARRAY('Leauge_table '!$A$5),_xlfn.ANCHORARRAY('Leauge_table '!$D$5),,0)</f>
        <v>57</v>
      </c>
      <c r="F12" s="40">
        <f t="shared" si="1"/>
        <v>9</v>
      </c>
      <c r="G12" s="32" cm="1">
        <f t="array" ref="G12">_xlfn.XLOOKUP(A12,_xlfn.ANCHORARRAY('Leauge_table '!$A$5),_xlfn.ANCHORARRAY('Leauge_table '!$F$5),,0)</f>
        <v>16</v>
      </c>
      <c r="H12" s="85"/>
      <c r="L12" s="84"/>
      <c r="M12" s="16" t="s">
        <v>267</v>
      </c>
      <c r="N12" s="17" t="s">
        <v>270</v>
      </c>
      <c r="O12" s="20"/>
    </row>
    <row r="13" spans="1:15" ht="34.049999999999997" customHeight="1" x14ac:dyDescent="0.3">
      <c r="A13" s="37" t="str">
        <v>Chelsea</v>
      </c>
      <c r="B13" s="38" cm="1">
        <f t="array" ref="B13">_xlfn.XLOOKUP(A13,_xlfn.ANCHORARRAY('Leauge_table '!$A$5),_xlfn.ANCHORARRAY('Leauge_table '!$I$5),,0)</f>
        <v>69</v>
      </c>
      <c r="C13" s="38">
        <f t="shared" si="0"/>
        <v>4</v>
      </c>
      <c r="D13" s="38" cm="1">
        <f t="array" ref="D13">_xlfn.XLOOKUP(A13,_xlfn.ANCHORARRAY('Leauge_table '!$A$5),_xlfn.ANCHORARRAY('Leauge_table '!$C$5),,0)</f>
        <v>64</v>
      </c>
      <c r="E13" s="38" cm="1">
        <f t="array" ref="E13">_xlfn.XLOOKUP(A13,_xlfn.ANCHORARRAY('Leauge_table '!$A$5),_xlfn.ANCHORARRAY('Leauge_table '!$D$5),,0)</f>
        <v>43</v>
      </c>
      <c r="F13" s="38">
        <f t="shared" si="1"/>
        <v>21</v>
      </c>
      <c r="G13" s="31" cm="1">
        <f t="array" ref="G13">_xlfn.XLOOKUP(A13,_xlfn.ANCHORARRAY('Leauge_table '!$A$5),_xlfn.ANCHORARRAY('Leauge_table '!$F$5),,0)</f>
        <v>20</v>
      </c>
      <c r="H13" s="85"/>
      <c r="L13" s="84"/>
      <c r="M13" s="86"/>
      <c r="N13" s="86"/>
      <c r="O13" s="86"/>
    </row>
    <row r="14" spans="1:15" ht="34.049999999999997" customHeight="1" x14ac:dyDescent="0.3">
      <c r="A14" s="39" t="str">
        <v>Leicester</v>
      </c>
      <c r="B14" s="40" cm="1">
        <f t="array" ref="B14">_xlfn.XLOOKUP(A14,_xlfn.ANCHORARRAY('Leauge_table '!$A$5),_xlfn.ANCHORARRAY('Leauge_table '!$I$5),,0)</f>
        <v>25</v>
      </c>
      <c r="C14" s="40">
        <f t="shared" si="0"/>
        <v>18</v>
      </c>
      <c r="D14" s="40" cm="1">
        <f t="array" ref="D14">_xlfn.XLOOKUP(A14,_xlfn.ANCHORARRAY('Leauge_table '!$A$5),_xlfn.ANCHORARRAY('Leauge_table '!$C$5),,0)</f>
        <v>33</v>
      </c>
      <c r="E14" s="40" cm="1">
        <f t="array" ref="E14">_xlfn.XLOOKUP(A14,_xlfn.ANCHORARRAY('Leauge_table '!$A$5),_xlfn.ANCHORARRAY('Leauge_table '!$D$5),,0)</f>
        <v>80</v>
      </c>
      <c r="F14" s="40">
        <f t="shared" si="1"/>
        <v>-47</v>
      </c>
      <c r="G14" s="32" cm="1">
        <f t="array" ref="G14">_xlfn.XLOOKUP(A14,_xlfn.ANCHORARRAY('Leauge_table '!$A$5),_xlfn.ANCHORARRAY('Leauge_table '!$F$5),,0)</f>
        <v>6</v>
      </c>
      <c r="H14" s="85"/>
      <c r="L14" s="84"/>
      <c r="M14" s="84"/>
      <c r="N14" s="84"/>
      <c r="O14" s="84"/>
    </row>
    <row r="15" spans="1:15" ht="34.049999999999997" customHeight="1" x14ac:dyDescent="0.3">
      <c r="A15" s="37" t="str">
        <v>Brighton</v>
      </c>
      <c r="B15" s="38" cm="1">
        <f t="array" ref="B15">_xlfn.XLOOKUP(A15,_xlfn.ANCHORARRAY('Leauge_table '!$A$5),_xlfn.ANCHORARRAY('Leauge_table '!$I$5),,0)</f>
        <v>61</v>
      </c>
      <c r="C15" s="38">
        <f t="shared" si="0"/>
        <v>8</v>
      </c>
      <c r="D15" s="38" cm="1">
        <f t="array" ref="D15">_xlfn.XLOOKUP(A15,_xlfn.ANCHORARRAY('Leauge_table '!$A$5),_xlfn.ANCHORARRAY('Leauge_table '!$C$5),,0)</f>
        <v>66</v>
      </c>
      <c r="E15" s="38" cm="1">
        <f t="array" ref="E15">_xlfn.XLOOKUP(A15,_xlfn.ANCHORARRAY('Leauge_table '!$A$5),_xlfn.ANCHORARRAY('Leauge_table '!$D$5),,0)</f>
        <v>59</v>
      </c>
      <c r="F15" s="38">
        <f t="shared" si="1"/>
        <v>7</v>
      </c>
      <c r="G15" s="31" cm="1">
        <f t="array" ref="G15">_xlfn.XLOOKUP(A15,_xlfn.ANCHORARRAY('Leauge_table '!$A$5),_xlfn.ANCHORARRAY('Leauge_table '!$F$5),,0)</f>
        <v>16</v>
      </c>
      <c r="H15" s="85"/>
      <c r="L15" s="84"/>
      <c r="M15" s="84"/>
      <c r="N15" s="84"/>
      <c r="O15" s="84"/>
    </row>
    <row r="16" spans="1:15" ht="34.049999999999997" customHeight="1" x14ac:dyDescent="0.3">
      <c r="A16" s="39" t="str">
        <v>Crystal Palace</v>
      </c>
      <c r="B16" s="40" cm="1">
        <f t="array" ref="B16">_xlfn.XLOOKUP(A16,_xlfn.ANCHORARRAY('Leauge_table '!$A$5),_xlfn.ANCHORARRAY('Leauge_table '!$I$5),,0)</f>
        <v>53</v>
      </c>
      <c r="C16" s="40">
        <f t="shared" si="0"/>
        <v>12</v>
      </c>
      <c r="D16" s="40" cm="1">
        <f t="array" ref="D16">_xlfn.XLOOKUP(A16,_xlfn.ANCHORARRAY('Leauge_table '!$A$5),_xlfn.ANCHORARRAY('Leauge_table '!$C$5),,0)</f>
        <v>51</v>
      </c>
      <c r="E16" s="40" cm="1">
        <f t="array" ref="E16">_xlfn.XLOOKUP(A16,_xlfn.ANCHORARRAY('Leauge_table '!$A$5),_xlfn.ANCHORARRAY('Leauge_table '!$D$5),,0)</f>
        <v>51</v>
      </c>
      <c r="F16" s="40">
        <f t="shared" si="1"/>
        <v>0</v>
      </c>
      <c r="G16" s="32" cm="1">
        <f t="array" ref="G16">_xlfn.XLOOKUP(A16,_xlfn.ANCHORARRAY('Leauge_table '!$A$5),_xlfn.ANCHORARRAY('Leauge_table '!$F$5),,0)</f>
        <v>13</v>
      </c>
      <c r="H16" s="85"/>
      <c r="L16" s="84"/>
      <c r="M16" s="84"/>
      <c r="N16" s="84"/>
      <c r="O16" s="84"/>
    </row>
    <row r="17" spans="1:15" ht="34.049999999999997" customHeight="1" x14ac:dyDescent="0.3">
      <c r="A17" s="37" t="str">
        <v>Fulham</v>
      </c>
      <c r="B17" s="38" cm="1">
        <f t="array" ref="B17">_xlfn.XLOOKUP(A17,_xlfn.ANCHORARRAY('Leauge_table '!$A$5),_xlfn.ANCHORARRAY('Leauge_table '!$I$5),,0)</f>
        <v>54</v>
      </c>
      <c r="C17" s="38">
        <f t="shared" si="0"/>
        <v>11</v>
      </c>
      <c r="D17" s="38" cm="1">
        <f t="array" ref="D17">_xlfn.XLOOKUP(A17,_xlfn.ANCHORARRAY('Leauge_table '!$A$5),_xlfn.ANCHORARRAY('Leauge_table '!$C$5),,0)</f>
        <v>54</v>
      </c>
      <c r="E17" s="38" cm="1">
        <f t="array" ref="E17">_xlfn.XLOOKUP(A17,_xlfn.ANCHORARRAY('Leauge_table '!$A$5),_xlfn.ANCHORARRAY('Leauge_table '!$D$5),,0)</f>
        <v>54</v>
      </c>
      <c r="F17" s="38">
        <f t="shared" si="1"/>
        <v>0</v>
      </c>
      <c r="G17" s="31" cm="1">
        <f t="array" ref="G17">_xlfn.XLOOKUP(A17,_xlfn.ANCHORARRAY('Leauge_table '!$A$5),_xlfn.ANCHORARRAY('Leauge_table '!$F$5),,0)</f>
        <v>15</v>
      </c>
      <c r="H17" s="85"/>
      <c r="L17" s="84"/>
      <c r="M17" s="84"/>
      <c r="N17" s="84"/>
      <c r="O17" s="84"/>
    </row>
    <row r="18" spans="1:15" ht="34.049999999999997" customHeight="1" x14ac:dyDescent="0.3">
      <c r="A18" s="39" t="str">
        <v>Man City</v>
      </c>
      <c r="B18" s="40" cm="1">
        <f t="array" ref="B18">_xlfn.XLOOKUP(A18,_xlfn.ANCHORARRAY('Leauge_table '!$A$5),_xlfn.ANCHORARRAY('Leauge_table '!$I$5),,0)</f>
        <v>71</v>
      </c>
      <c r="C18" s="40">
        <f t="shared" si="0"/>
        <v>3</v>
      </c>
      <c r="D18" s="40" cm="1">
        <f t="array" ref="D18">_xlfn.XLOOKUP(A18,_xlfn.ANCHORARRAY('Leauge_table '!$A$5),_xlfn.ANCHORARRAY('Leauge_table '!$C$5),,0)</f>
        <v>72</v>
      </c>
      <c r="E18" s="40" cm="1">
        <f t="array" ref="E18">_xlfn.XLOOKUP(A18,_xlfn.ANCHORARRAY('Leauge_table '!$A$5),_xlfn.ANCHORARRAY('Leauge_table '!$D$5),,0)</f>
        <v>44</v>
      </c>
      <c r="F18" s="40">
        <f t="shared" si="1"/>
        <v>28</v>
      </c>
      <c r="G18" s="32" cm="1">
        <f t="array" ref="G18">_xlfn.XLOOKUP(A18,_xlfn.ANCHORARRAY('Leauge_table '!$A$5),_xlfn.ANCHORARRAY('Leauge_table '!$F$5),,0)</f>
        <v>21</v>
      </c>
      <c r="H18" s="85"/>
      <c r="I18" s="84"/>
      <c r="J18" s="84"/>
      <c r="K18" s="84"/>
      <c r="L18" s="84"/>
      <c r="M18" s="84"/>
      <c r="N18" s="84"/>
      <c r="O18" s="84"/>
    </row>
    <row r="19" spans="1:15" ht="34.049999999999997" customHeight="1" x14ac:dyDescent="0.3">
      <c r="A19" s="37" t="str">
        <v>Southampton</v>
      </c>
      <c r="B19" s="38" cm="1">
        <f t="array" ref="B19">_xlfn.XLOOKUP(A19,_xlfn.ANCHORARRAY('Leauge_table '!$A$5),_xlfn.ANCHORARRAY('Leauge_table '!$I$5),,0)</f>
        <v>12</v>
      </c>
      <c r="C19" s="38">
        <f t="shared" si="0"/>
        <v>20</v>
      </c>
      <c r="D19" s="38" cm="1">
        <f t="array" ref="D19">_xlfn.XLOOKUP(A19,_xlfn.ANCHORARRAY('Leauge_table '!$A$5),_xlfn.ANCHORARRAY('Leauge_table '!$C$5),,0)</f>
        <v>26</v>
      </c>
      <c r="E19" s="38" cm="1">
        <f t="array" ref="E19">_xlfn.XLOOKUP(A19,_xlfn.ANCHORARRAY('Leauge_table '!$A$5),_xlfn.ANCHORARRAY('Leauge_table '!$D$5),,0)</f>
        <v>86</v>
      </c>
      <c r="F19" s="38">
        <f t="shared" si="1"/>
        <v>-60</v>
      </c>
      <c r="G19" s="31" cm="1">
        <f t="array" ref="G19">_xlfn.XLOOKUP(A19,_xlfn.ANCHORARRAY('Leauge_table '!$A$5),_xlfn.ANCHORARRAY('Leauge_table '!$F$5),,0)</f>
        <v>2</v>
      </c>
      <c r="H19" s="85"/>
      <c r="I19" s="84"/>
      <c r="J19" s="84"/>
      <c r="K19" s="84"/>
      <c r="L19" s="84"/>
      <c r="M19" s="84"/>
      <c r="N19" s="84"/>
      <c r="O19" s="84"/>
    </row>
    <row r="20" spans="1:15" ht="34.049999999999997" customHeight="1" x14ac:dyDescent="0.3">
      <c r="A20" s="39" t="str">
        <v>Tottenham</v>
      </c>
      <c r="B20" s="40" cm="1">
        <f t="array" ref="B20">_xlfn.XLOOKUP(A20,_xlfn.ANCHORARRAY('Leauge_table '!$A$5),_xlfn.ANCHORARRAY('Leauge_table '!$I$5),,0)</f>
        <v>38</v>
      </c>
      <c r="C20" s="40">
        <f t="shared" si="0"/>
        <v>17</v>
      </c>
      <c r="D20" s="40" cm="1">
        <f t="array" ref="D20">_xlfn.XLOOKUP(A20,_xlfn.ANCHORARRAY('Leauge_table '!$A$5),_xlfn.ANCHORARRAY('Leauge_table '!$C$5),,0)</f>
        <v>64</v>
      </c>
      <c r="E20" s="40" cm="1">
        <f t="array" ref="E20">_xlfn.XLOOKUP(A20,_xlfn.ANCHORARRAY('Leauge_table '!$A$5),_xlfn.ANCHORARRAY('Leauge_table '!$D$5),,0)</f>
        <v>65</v>
      </c>
      <c r="F20" s="40">
        <f t="shared" si="1"/>
        <v>-1</v>
      </c>
      <c r="G20" s="32" cm="1">
        <f t="array" ref="G20">_xlfn.XLOOKUP(A20,_xlfn.ANCHORARRAY('Leauge_table '!$A$5),_xlfn.ANCHORARRAY('Leauge_table '!$F$5),,0)</f>
        <v>11</v>
      </c>
      <c r="H20" s="85"/>
      <c r="I20" s="84"/>
      <c r="J20" s="84"/>
      <c r="K20" s="84"/>
      <c r="L20" s="84"/>
      <c r="M20" s="84"/>
      <c r="N20" s="84"/>
      <c r="O20" s="84"/>
    </row>
    <row r="21" spans="1:15" ht="34.049999999999997" customHeight="1" x14ac:dyDescent="0.3">
      <c r="A21" s="37" t="str">
        <v>Aston Villa</v>
      </c>
      <c r="B21" s="38" cm="1">
        <f t="array" ref="B21">_xlfn.XLOOKUP(A21,_xlfn.ANCHORARRAY('Leauge_table '!$A$5),_xlfn.ANCHORARRAY('Leauge_table '!$I$5),,0)</f>
        <v>66</v>
      </c>
      <c r="C21" s="38">
        <f t="shared" si="0"/>
        <v>5</v>
      </c>
      <c r="D21" s="38" cm="1">
        <f t="array" ref="D21">_xlfn.XLOOKUP(A21,_xlfn.ANCHORARRAY('Leauge_table '!$A$5),_xlfn.ANCHORARRAY('Leauge_table '!$C$5),,0)</f>
        <v>58</v>
      </c>
      <c r="E21" s="38" cm="1">
        <f t="array" ref="E21">_xlfn.XLOOKUP(A21,_xlfn.ANCHORARRAY('Leauge_table '!$A$5),_xlfn.ANCHORARRAY('Leauge_table '!$D$5),,0)</f>
        <v>51</v>
      </c>
      <c r="F21" s="38">
        <f t="shared" si="1"/>
        <v>7</v>
      </c>
      <c r="G21" s="31" cm="1">
        <f t="array" ref="G21">_xlfn.XLOOKUP(A21,_xlfn.ANCHORARRAY('Leauge_table '!$A$5),_xlfn.ANCHORARRAY('Leauge_table '!$F$5),,0)</f>
        <v>19</v>
      </c>
      <c r="H21" s="85"/>
      <c r="I21" s="84"/>
      <c r="J21" s="84"/>
      <c r="K21" s="84"/>
      <c r="L21" s="84"/>
      <c r="M21" s="84"/>
      <c r="N21" s="84"/>
      <c r="O21" s="84"/>
    </row>
    <row r="22" spans="1:15" ht="34.049999999999997" customHeight="1" x14ac:dyDescent="0.3">
      <c r="A22" s="39" t="str">
        <v>Bournemouth</v>
      </c>
      <c r="B22" s="40" cm="1">
        <f t="array" ref="B22">_xlfn.XLOOKUP(A22,_xlfn.ANCHORARRAY('Leauge_table '!$A$5),_xlfn.ANCHORARRAY('Leauge_table '!$I$5),,0)</f>
        <v>56</v>
      </c>
      <c r="C22" s="40">
        <f t="shared" si="0"/>
        <v>9</v>
      </c>
      <c r="D22" s="40" cm="1">
        <f t="array" ref="D22">_xlfn.XLOOKUP(A22,_xlfn.ANCHORARRAY('Leauge_table '!$A$5),_xlfn.ANCHORARRAY('Leauge_table '!$C$5),,0)</f>
        <v>58</v>
      </c>
      <c r="E22" s="40" cm="1">
        <f t="array" ref="E22">_xlfn.XLOOKUP(A22,_xlfn.ANCHORARRAY('Leauge_table '!$A$5),_xlfn.ANCHORARRAY('Leauge_table '!$D$5),,0)</f>
        <v>46</v>
      </c>
      <c r="F22" s="40">
        <f t="shared" si="1"/>
        <v>12</v>
      </c>
      <c r="G22" s="32" cm="1">
        <f t="array" ref="G22">_xlfn.XLOOKUP(A22,_xlfn.ANCHORARRAY('Leauge_table '!$A$5),_xlfn.ANCHORARRAY('Leauge_table '!$F$5),,0)</f>
        <v>15</v>
      </c>
      <c r="H22" s="85"/>
      <c r="I22" s="84"/>
      <c r="J22" s="84"/>
      <c r="K22" s="84"/>
      <c r="L22" s="84"/>
      <c r="M22" s="84"/>
      <c r="N22" s="84"/>
      <c r="O22" s="84"/>
    </row>
    <row r="23" spans="1:15" ht="34.049999999999997" customHeight="1" x14ac:dyDescent="0.3">
      <c r="A23" s="37" t="str">
        <v>Wolves</v>
      </c>
      <c r="B23" s="38" cm="1">
        <f t="array" ref="B23">_xlfn.XLOOKUP(A23,_xlfn.ANCHORARRAY('Leauge_table '!$A$5),_xlfn.ANCHORARRAY('Leauge_table '!$I$5),,0)</f>
        <v>42</v>
      </c>
      <c r="C23" s="38">
        <f t="shared" si="0"/>
        <v>15</v>
      </c>
      <c r="D23" s="38" cm="1">
        <f t="array" ref="D23">_xlfn.XLOOKUP(A23,_xlfn.ANCHORARRAY('Leauge_table '!$A$5),_xlfn.ANCHORARRAY('Leauge_table '!$C$5),,0)</f>
        <v>54</v>
      </c>
      <c r="E23" s="38" cm="1">
        <f t="array" ref="E23">_xlfn.XLOOKUP(A23,_xlfn.ANCHORARRAY('Leauge_table '!$A$5),_xlfn.ANCHORARRAY('Leauge_table '!$D$5),,0)</f>
        <v>69</v>
      </c>
      <c r="F23" s="38">
        <f t="shared" si="1"/>
        <v>-15</v>
      </c>
      <c r="G23" s="31" cm="1">
        <f t="array" ref="G23">_xlfn.XLOOKUP(A23,_xlfn.ANCHORARRAY('Leauge_table '!$A$5),_xlfn.ANCHORARRAY('Leauge_table '!$F$5),,0)</f>
        <v>12</v>
      </c>
      <c r="H23" s="85"/>
      <c r="I23" s="84"/>
      <c r="J23" s="84"/>
      <c r="K23" s="84"/>
      <c r="L23" s="84"/>
      <c r="M23" s="84"/>
      <c r="N23" s="84"/>
      <c r="O23" s="84"/>
    </row>
    <row r="24" spans="1:15" ht="34.049999999999997" customHeight="1" x14ac:dyDescent="0.3">
      <c r="A24" s="41" t="str">
        <v>Liverpool</v>
      </c>
      <c r="B24" s="42" cm="1">
        <f t="array" ref="B24">_xlfn.XLOOKUP(A24,_xlfn.ANCHORARRAY('Leauge_table '!$A$5),_xlfn.ANCHORARRAY('Leauge_table '!$I$5),,0)</f>
        <v>84</v>
      </c>
      <c r="C24" s="42">
        <f t="shared" si="0"/>
        <v>1</v>
      </c>
      <c r="D24" s="42" cm="1">
        <f t="array" ref="D24">_xlfn.XLOOKUP(A24,_xlfn.ANCHORARRAY('Leauge_table '!$A$5),_xlfn.ANCHORARRAY('Leauge_table '!$C$5),,0)</f>
        <v>86</v>
      </c>
      <c r="E24" s="42" cm="1">
        <f t="array" ref="E24">_xlfn.XLOOKUP(A24,_xlfn.ANCHORARRAY('Leauge_table '!$A$5),_xlfn.ANCHORARRAY('Leauge_table '!$D$5),,0)</f>
        <v>41</v>
      </c>
      <c r="F24" s="42">
        <f t="shared" si="1"/>
        <v>45</v>
      </c>
      <c r="G24" s="33" cm="1">
        <f t="array" ref="G24">_xlfn.XLOOKUP(A24,_xlfn.ANCHORARRAY('Leauge_table '!$A$5),_xlfn.ANCHORARRAY('Leauge_table '!$F$5),,0)</f>
        <v>25</v>
      </c>
      <c r="H24" s="85"/>
      <c r="I24" s="84"/>
      <c r="J24" s="84"/>
      <c r="K24" s="84"/>
      <c r="L24" s="84"/>
      <c r="M24" s="84"/>
      <c r="N24" s="84"/>
      <c r="O24" s="84"/>
    </row>
  </sheetData>
  <mergeCells count="7">
    <mergeCell ref="A3:O3"/>
    <mergeCell ref="H4:H24"/>
    <mergeCell ref="I10:K10"/>
    <mergeCell ref="L4:L24"/>
    <mergeCell ref="I18:K24"/>
    <mergeCell ref="M4:O7"/>
    <mergeCell ref="M13:O24"/>
  </mergeCells>
  <conditionalFormatting sqref="J6:J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9">
    <cfRule type="containsText" dxfId="2" priority="1" operator="containsText" text="Str">
      <formula>NOT(ISERROR(SEARCH("Str",K6)))</formula>
    </cfRule>
    <cfRule type="containsText" dxfId="1" priority="3" operator="containsText" text="W">
      <formula>NOT(ISERROR(SEARCH("W",K6)))</formula>
    </cfRule>
    <cfRule type="containsText" dxfId="0" priority="4" operator="containsText" text="Strong impact">
      <formula>NOT(ISERROR(SEARCH("Strong impact",K6)))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F0F5-978B-43D8-BFCE-CCF97D4DC962}">
  <dimension ref="A3:O30"/>
  <sheetViews>
    <sheetView zoomScale="78" workbookViewId="0">
      <selection activeCell="L4" sqref="L4:N6"/>
    </sheetView>
  </sheetViews>
  <sheetFormatPr defaultColWidth="18.33203125" defaultRowHeight="28.05" customHeight="1" x14ac:dyDescent="0.3"/>
  <sheetData>
    <row r="3" spans="1:15" ht="28.05" customHeight="1" x14ac:dyDescent="0.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28.05" customHeight="1" x14ac:dyDescent="0.3">
      <c r="A4" s="84"/>
      <c r="B4" s="84"/>
      <c r="C4" s="84"/>
      <c r="D4" s="84"/>
      <c r="E4" s="84"/>
      <c r="K4" s="84"/>
      <c r="L4" s="84"/>
      <c r="M4" s="84"/>
      <c r="N4" s="84"/>
      <c r="O4" s="84"/>
    </row>
    <row r="5" spans="1:15" ht="28.05" customHeight="1" x14ac:dyDescent="0.3">
      <c r="A5" s="84"/>
      <c r="B5" s="84"/>
      <c r="C5" s="84"/>
      <c r="D5" s="84"/>
      <c r="E5" s="84"/>
      <c r="K5" s="84"/>
      <c r="L5" s="84"/>
      <c r="M5" s="84"/>
      <c r="N5" s="84"/>
      <c r="O5" s="84"/>
    </row>
    <row r="6" spans="1:15" ht="28.05" customHeight="1" x14ac:dyDescent="0.3">
      <c r="A6" s="84"/>
      <c r="B6" s="84"/>
      <c r="C6" s="84"/>
      <c r="D6" s="84"/>
      <c r="E6" s="84"/>
      <c r="K6" s="84"/>
      <c r="L6" s="84"/>
      <c r="M6" s="84"/>
      <c r="N6" s="84"/>
      <c r="O6" s="84"/>
    </row>
    <row r="7" spans="1:15" ht="28.05" customHeight="1" x14ac:dyDescent="0.3">
      <c r="E7" s="84"/>
      <c r="K7" s="84"/>
      <c r="O7" s="84"/>
    </row>
    <row r="8" spans="1:15" ht="28.05" customHeight="1" x14ac:dyDescent="0.3">
      <c r="E8" s="84"/>
      <c r="K8" s="84"/>
      <c r="O8" s="84"/>
    </row>
    <row r="9" spans="1:15" ht="35.4" customHeight="1" x14ac:dyDescent="0.3">
      <c r="A9" s="21" t="s">
        <v>271</v>
      </c>
      <c r="B9" s="22" t="s">
        <v>272</v>
      </c>
      <c r="C9" s="23" t="s">
        <v>273</v>
      </c>
      <c r="D9" s="43" t="s">
        <v>274</v>
      </c>
      <c r="E9" s="84"/>
      <c r="K9" s="84"/>
      <c r="L9" s="8" t="s">
        <v>251</v>
      </c>
      <c r="M9" s="8" t="s">
        <v>275</v>
      </c>
      <c r="N9" s="8" t="s">
        <v>276</v>
      </c>
      <c r="O9" s="84"/>
    </row>
    <row r="10" spans="1:15" ht="28.05" customHeight="1" x14ac:dyDescent="0.3">
      <c r="A10" s="44" cm="1">
        <f t="array" ref="A10:A29">(Metric_Impact_Analysis!D5:D24-MIN(Metric_Impact_Analysis!D5:D24))/(MAX(Metric_Impact_Analysis!D5:D24)-MIN(Metric_Impact_Analysis!D5:D24))</f>
        <v>0.3</v>
      </c>
      <c r="B10" s="45" cm="1">
        <f t="array" ref="B10:B29">(MAX(Metric_Impact_Analysis!E5:E24)-Metric_Impact_Analysis!E5:E24)/(MAX(Metric_Impact_Analysis!E5:E24)-MIN(Metric_Impact_Analysis!E5:E24))</f>
        <v>0.61538461538461542</v>
      </c>
      <c r="C10" s="45" cm="1">
        <f t="array" ref="C10:C29">(Metric_Impact_Analysis!F5:F24-MIN(Metric_Impact_Analysis!F5:F24))/(MAX(Metric_Impact_Analysis!F5:F24)-MIN(Metric_Impact_Analysis!F5:F24))</f>
        <v>0.47619047619047616</v>
      </c>
      <c r="D10" s="46" cm="1">
        <f t="array" ref="D10:D29">(Metric_Impact_Analysis!G5:G24-MIN(Metric_Impact_Analysis!G5:G24))/(MAX(Metric_Impact_Analysis!G5:G24)-MIN(Metric_Impact_Analysis!G5:G24))</f>
        <v>0.39130434782608697</v>
      </c>
      <c r="E10" s="84"/>
      <c r="K10" s="84"/>
      <c r="L10" s="9" t="str" cm="1">
        <f t="array" ref="L10:L29">_xlfn.ANCHORARRAY(Metric_Impact_Analysis!A5)</f>
        <v>Man United</v>
      </c>
      <c r="M10" s="45">
        <f t="shared" ref="M10:M29" si="0">0.4*C10+0.3*D10+0.2*A10+0.1*B10</f>
        <v>0.42940595636247808</v>
      </c>
      <c r="N10" s="9" cm="1">
        <f t="array" ref="N10:N29">_xlfn.RANK.EQ(M10:M29,M10:M29,0)</f>
        <v>15</v>
      </c>
      <c r="O10" s="84"/>
    </row>
    <row r="11" spans="1:15" ht="28.05" customHeight="1" x14ac:dyDescent="0.3">
      <c r="A11" s="47">
        <v>0.16666666666666666</v>
      </c>
      <c r="B11" s="48">
        <v>7.6923076923076927E-2</v>
      </c>
      <c r="C11" s="48">
        <v>0.13333333333333333</v>
      </c>
      <c r="D11" s="49">
        <v>8.6956521739130432E-2</v>
      </c>
      <c r="E11" s="84"/>
      <c r="K11" s="84"/>
      <c r="L11" s="4" t="str">
        <v>Ipswich</v>
      </c>
      <c r="M11" s="48">
        <f t="shared" si="0"/>
        <v>0.12044593088071348</v>
      </c>
      <c r="N11" s="4">
        <v>19</v>
      </c>
      <c r="O11" s="84"/>
    </row>
    <row r="12" spans="1:15" ht="28.05" customHeight="1" x14ac:dyDescent="0.3">
      <c r="A12" s="44">
        <v>0.71666666666666667</v>
      </c>
      <c r="B12" s="45">
        <v>1</v>
      </c>
      <c r="C12" s="45">
        <v>0.90476190476190477</v>
      </c>
      <c r="D12" s="46">
        <v>0.78260869565217395</v>
      </c>
      <c r="E12" s="84"/>
      <c r="K12" s="84"/>
      <c r="L12" s="9" t="str">
        <v>Arsenal</v>
      </c>
      <c r="M12" s="45">
        <f t="shared" si="0"/>
        <v>0.84002070393374739</v>
      </c>
      <c r="N12" s="9">
        <v>2</v>
      </c>
      <c r="O12" s="84"/>
    </row>
    <row r="13" spans="1:15" ht="28.05" customHeight="1" x14ac:dyDescent="0.3">
      <c r="A13" s="47">
        <v>0.26666666666666666</v>
      </c>
      <c r="B13" s="48">
        <v>0.80769230769230771</v>
      </c>
      <c r="C13" s="48">
        <v>0.55238095238095242</v>
      </c>
      <c r="D13" s="49">
        <v>0.39130434782608697</v>
      </c>
      <c r="E13" s="84"/>
      <c r="K13" s="84"/>
      <c r="L13" s="4" t="str">
        <v>Everton</v>
      </c>
      <c r="M13" s="48">
        <f t="shared" si="0"/>
        <v>0.47244624940277119</v>
      </c>
      <c r="N13" s="4">
        <v>14</v>
      </c>
      <c r="O13" s="84"/>
    </row>
    <row r="14" spans="1:15" ht="28.05" customHeight="1" x14ac:dyDescent="0.3">
      <c r="A14" s="44">
        <v>0.7</v>
      </c>
      <c r="B14" s="45">
        <v>0.75</v>
      </c>
      <c r="C14" s="45">
        <v>0.77142857142857146</v>
      </c>
      <c r="D14" s="46">
        <v>0.78260869565217395</v>
      </c>
      <c r="E14" s="84"/>
      <c r="K14" s="84"/>
      <c r="L14" s="9" t="str">
        <v>Newcastle</v>
      </c>
      <c r="M14" s="45">
        <f t="shared" si="0"/>
        <v>0.75835403726708073</v>
      </c>
      <c r="N14" s="9">
        <v>4</v>
      </c>
      <c r="O14" s="84"/>
    </row>
    <row r="15" spans="1:15" ht="28.05" customHeight="1" x14ac:dyDescent="0.3">
      <c r="A15" s="47">
        <v>0.53333333333333333</v>
      </c>
      <c r="B15" s="48">
        <v>0.76923076923076927</v>
      </c>
      <c r="C15" s="48">
        <v>0.68571428571428572</v>
      </c>
      <c r="D15" s="49">
        <v>0.73913043478260865</v>
      </c>
      <c r="E15" s="84"/>
      <c r="K15" s="84"/>
      <c r="L15" s="4" t="str">
        <v>Nott'm Forest</v>
      </c>
      <c r="M15" s="48">
        <f t="shared" si="0"/>
        <v>0.67961458831024046</v>
      </c>
      <c r="N15" s="4">
        <v>6</v>
      </c>
      <c r="O15" s="84"/>
    </row>
    <row r="16" spans="1:15" ht="28.05" customHeight="1" x14ac:dyDescent="0.3">
      <c r="A16" s="44">
        <v>0.33333333333333331</v>
      </c>
      <c r="B16" s="45">
        <v>0.46153846153846156</v>
      </c>
      <c r="C16" s="45">
        <v>0.41904761904761906</v>
      </c>
      <c r="D16" s="46">
        <v>0.39130434782608697</v>
      </c>
      <c r="E16" s="84"/>
      <c r="K16" s="84"/>
      <c r="L16" s="9" t="str">
        <v>West Ham</v>
      </c>
      <c r="M16" s="45">
        <f t="shared" si="0"/>
        <v>0.39783086478738655</v>
      </c>
      <c r="N16" s="9">
        <v>17</v>
      </c>
      <c r="O16" s="84"/>
    </row>
    <row r="17" spans="1:15" ht="28.05" customHeight="1" x14ac:dyDescent="0.3">
      <c r="A17" s="47">
        <v>0.66666666666666663</v>
      </c>
      <c r="B17" s="48">
        <v>0.55769230769230771</v>
      </c>
      <c r="C17" s="48">
        <v>0.65714285714285714</v>
      </c>
      <c r="D17" s="49">
        <v>0.60869565217391308</v>
      </c>
      <c r="E17" s="84"/>
      <c r="F17" s="84"/>
      <c r="G17" s="84"/>
      <c r="H17" s="84"/>
      <c r="I17" s="84"/>
      <c r="J17" s="84"/>
      <c r="K17" s="84"/>
      <c r="L17" s="4" t="str">
        <v>Brentford</v>
      </c>
      <c r="M17" s="48">
        <f t="shared" si="0"/>
        <v>0.63456840261188086</v>
      </c>
      <c r="N17" s="4">
        <v>8</v>
      </c>
      <c r="O17" s="84"/>
    </row>
    <row r="18" spans="1:15" ht="28.05" customHeight="1" x14ac:dyDescent="0.3">
      <c r="A18" s="44">
        <v>0.6333333333333333</v>
      </c>
      <c r="B18" s="45">
        <v>0.82692307692307687</v>
      </c>
      <c r="C18" s="45">
        <v>0.77142857142857146</v>
      </c>
      <c r="D18" s="46">
        <v>0.78260869565217395</v>
      </c>
      <c r="E18" s="84"/>
      <c r="F18" s="84"/>
      <c r="G18" s="84"/>
      <c r="H18" s="84"/>
      <c r="I18" s="84"/>
      <c r="J18" s="84"/>
      <c r="K18" s="84"/>
      <c r="L18" s="9" t="str">
        <v>Chelsea</v>
      </c>
      <c r="M18" s="45">
        <f t="shared" si="0"/>
        <v>0.7527130116260552</v>
      </c>
      <c r="N18" s="9">
        <v>5</v>
      </c>
      <c r="O18" s="84"/>
    </row>
    <row r="19" spans="1:15" ht="28.05" customHeight="1" x14ac:dyDescent="0.3">
      <c r="A19" s="47">
        <v>0.11666666666666667</v>
      </c>
      <c r="B19" s="48">
        <v>0.11538461538461539</v>
      </c>
      <c r="C19" s="48">
        <v>0.12380952380952381</v>
      </c>
      <c r="D19" s="49">
        <v>0.17391304347826086</v>
      </c>
      <c r="E19" s="84"/>
      <c r="K19" s="84"/>
      <c r="L19" s="4" t="str">
        <v>Leicester</v>
      </c>
      <c r="M19" s="48">
        <f t="shared" si="0"/>
        <v>0.13656951743908269</v>
      </c>
      <c r="N19" s="4">
        <v>18</v>
      </c>
      <c r="O19" s="84"/>
    </row>
    <row r="20" spans="1:15" ht="28.05" customHeight="1" x14ac:dyDescent="0.3">
      <c r="A20" s="44">
        <v>0.66666666666666663</v>
      </c>
      <c r="B20" s="45">
        <v>0.51923076923076927</v>
      </c>
      <c r="C20" s="45">
        <v>0.63809523809523805</v>
      </c>
      <c r="D20" s="46">
        <v>0.60869565217391308</v>
      </c>
      <c r="E20" s="84"/>
      <c r="K20" s="84"/>
      <c r="L20" s="9" t="str">
        <v>Brighton</v>
      </c>
      <c r="M20" s="45">
        <f t="shared" si="0"/>
        <v>0.62310320114667939</v>
      </c>
      <c r="N20" s="9">
        <v>10</v>
      </c>
      <c r="O20" s="84"/>
    </row>
    <row r="21" spans="1:15" ht="28.05" customHeight="1" x14ac:dyDescent="0.3">
      <c r="A21" s="47">
        <v>0.41666666666666669</v>
      </c>
      <c r="B21" s="48">
        <v>0.67307692307692313</v>
      </c>
      <c r="C21" s="48">
        <v>0.5714285714285714</v>
      </c>
      <c r="D21" s="49">
        <v>0.47826086956521741</v>
      </c>
      <c r="E21" s="84"/>
      <c r="K21" s="84"/>
      <c r="L21" s="4" t="str">
        <v>Crystal Palace</v>
      </c>
      <c r="M21" s="48">
        <f t="shared" si="0"/>
        <v>0.52269071508201947</v>
      </c>
      <c r="N21" s="4">
        <v>12</v>
      </c>
      <c r="O21" s="84"/>
    </row>
    <row r="22" spans="1:15" ht="28.05" customHeight="1" x14ac:dyDescent="0.3">
      <c r="A22" s="44">
        <v>0.46666666666666667</v>
      </c>
      <c r="B22" s="45">
        <v>0.61538461538461542</v>
      </c>
      <c r="C22" s="45">
        <v>0.5714285714285714</v>
      </c>
      <c r="D22" s="46">
        <v>0.56521739130434778</v>
      </c>
      <c r="E22" s="84"/>
      <c r="K22" s="84"/>
      <c r="L22" s="9" t="str">
        <v>Fulham</v>
      </c>
      <c r="M22" s="45">
        <f t="shared" si="0"/>
        <v>0.55300844083452771</v>
      </c>
      <c r="N22" s="9">
        <v>11</v>
      </c>
      <c r="O22" s="84"/>
    </row>
    <row r="23" spans="1:15" ht="28.05" customHeight="1" x14ac:dyDescent="0.3">
      <c r="A23" s="47">
        <v>0.76666666666666672</v>
      </c>
      <c r="B23" s="48">
        <v>0.80769230769230771</v>
      </c>
      <c r="C23" s="48">
        <v>0.83809523809523812</v>
      </c>
      <c r="D23" s="49">
        <v>0.82608695652173914</v>
      </c>
      <c r="E23" s="84"/>
      <c r="K23" s="84"/>
      <c r="L23" s="4" t="str">
        <v>Man City</v>
      </c>
      <c r="M23" s="48">
        <f t="shared" si="0"/>
        <v>0.81716674629718111</v>
      </c>
      <c r="N23" s="4">
        <v>3</v>
      </c>
      <c r="O23" s="84"/>
    </row>
    <row r="24" spans="1:15" ht="28.05" customHeight="1" x14ac:dyDescent="0.3">
      <c r="A24" s="44">
        <v>0</v>
      </c>
      <c r="B24" s="45">
        <v>0</v>
      </c>
      <c r="C24" s="45">
        <v>0</v>
      </c>
      <c r="D24" s="46">
        <v>0</v>
      </c>
      <c r="E24" s="84"/>
      <c r="K24" s="84"/>
      <c r="L24" s="9" t="str">
        <v>Southampton</v>
      </c>
      <c r="M24" s="45">
        <f t="shared" si="0"/>
        <v>0</v>
      </c>
      <c r="N24" s="9">
        <v>20</v>
      </c>
      <c r="O24" s="84"/>
    </row>
    <row r="25" spans="1:15" ht="28.05" customHeight="1" x14ac:dyDescent="0.3">
      <c r="A25" s="47">
        <v>0.6333333333333333</v>
      </c>
      <c r="B25" s="48">
        <v>0.40384615384615385</v>
      </c>
      <c r="C25" s="48">
        <v>0.56190476190476191</v>
      </c>
      <c r="D25" s="49">
        <v>0.39130434782608697</v>
      </c>
      <c r="E25" s="84"/>
      <c r="K25" s="84"/>
      <c r="L25" s="4" t="str">
        <v>Tottenham</v>
      </c>
      <c r="M25" s="48">
        <f t="shared" si="0"/>
        <v>0.50920449116101285</v>
      </c>
      <c r="N25" s="4">
        <v>13</v>
      </c>
      <c r="O25" s="84"/>
    </row>
    <row r="26" spans="1:15" ht="28.05" customHeight="1" x14ac:dyDescent="0.3">
      <c r="A26" s="44">
        <v>0.53333333333333333</v>
      </c>
      <c r="B26" s="45">
        <v>0.67307692307692313</v>
      </c>
      <c r="C26" s="45">
        <v>0.63809523809523805</v>
      </c>
      <c r="D26" s="46">
        <v>0.73913043478260865</v>
      </c>
      <c r="E26" s="84"/>
      <c r="K26" s="84"/>
      <c r="L26" s="9" t="str">
        <v>Aston Villa</v>
      </c>
      <c r="M26" s="45">
        <f t="shared" si="0"/>
        <v>0.65095158464723679</v>
      </c>
      <c r="N26" s="9">
        <v>7</v>
      </c>
      <c r="O26" s="84"/>
    </row>
    <row r="27" spans="1:15" ht="28.05" customHeight="1" x14ac:dyDescent="0.3">
      <c r="A27" s="47">
        <v>0.53333333333333333</v>
      </c>
      <c r="B27" s="48">
        <v>0.76923076923076927</v>
      </c>
      <c r="C27" s="48">
        <v>0.68571428571428572</v>
      </c>
      <c r="D27" s="49">
        <v>0.56521739130434778</v>
      </c>
      <c r="E27" s="84"/>
      <c r="K27" s="84"/>
      <c r="L27" s="4" t="str">
        <v>Bournemouth</v>
      </c>
      <c r="M27" s="48">
        <f t="shared" si="0"/>
        <v>0.62744067526676228</v>
      </c>
      <c r="N27" s="4">
        <v>9</v>
      </c>
      <c r="O27" s="84"/>
    </row>
    <row r="28" spans="1:15" ht="28.05" customHeight="1" x14ac:dyDescent="0.3">
      <c r="A28" s="44">
        <v>0.46666666666666667</v>
      </c>
      <c r="B28" s="45">
        <v>0.32692307692307693</v>
      </c>
      <c r="C28" s="45">
        <v>0.42857142857142855</v>
      </c>
      <c r="D28" s="46">
        <v>0.43478260869565216</v>
      </c>
      <c r="E28" s="84"/>
      <c r="K28" s="84"/>
      <c r="L28" s="9" t="str">
        <v>Wolves</v>
      </c>
      <c r="M28" s="45">
        <f t="shared" si="0"/>
        <v>0.42788899506290806</v>
      </c>
      <c r="N28" s="9">
        <v>16</v>
      </c>
      <c r="O28" s="84"/>
    </row>
    <row r="29" spans="1:15" ht="28.05" customHeight="1" x14ac:dyDescent="0.3">
      <c r="A29" s="50">
        <v>1</v>
      </c>
      <c r="B29" s="51">
        <v>0.86538461538461542</v>
      </c>
      <c r="C29" s="51">
        <v>1</v>
      </c>
      <c r="D29" s="52">
        <v>1</v>
      </c>
      <c r="E29" s="84"/>
      <c r="K29" s="84"/>
      <c r="L29" s="4" t="str">
        <v>Liverpool</v>
      </c>
      <c r="M29" s="48">
        <f t="shared" si="0"/>
        <v>0.98653846153846148</v>
      </c>
      <c r="N29" s="4">
        <v>1</v>
      </c>
      <c r="O29" s="84"/>
    </row>
    <row r="30" spans="1:15" ht="28.05" customHeight="1" x14ac:dyDescent="0.3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</row>
  </sheetData>
  <mergeCells count="8">
    <mergeCell ref="O4:O30"/>
    <mergeCell ref="A3:O3"/>
    <mergeCell ref="E4:E29"/>
    <mergeCell ref="K4:K29"/>
    <mergeCell ref="F17:J18"/>
    <mergeCell ref="A4:D6"/>
    <mergeCell ref="L4:N6"/>
    <mergeCell ref="A30:N30"/>
  </mergeCells>
  <conditionalFormatting sqref="A10:A2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{D1A3AB26-DECA-4B8B-9994-EA28062FA71D}</x14:id>
        </ext>
      </extLst>
    </cfRule>
  </conditionalFormatting>
  <conditionalFormatting sqref="A10:D2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{5B74472E-F0E0-4324-BE85-8CD639837A7F}</x14:id>
        </ext>
      </extLst>
    </cfRule>
  </conditionalFormatting>
  <conditionalFormatting sqref="B10:B2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{9BF68F15-AD97-4F23-856D-40C6212E1F13}</x14:id>
        </ext>
      </extLst>
    </cfRule>
  </conditionalFormatting>
  <conditionalFormatting sqref="C10:C2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{0E861C2F-5DB2-4ACD-A3DA-D113645105FD}</x14:id>
        </ext>
      </extLst>
    </cfRule>
  </conditionalFormatting>
  <conditionalFormatting sqref="D10:D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{5EFE8825-0A22-4C17-9159-96D3255D2E0E}</x14:id>
        </ext>
      </extLst>
    </cfRule>
  </conditionalFormatting>
  <conditionalFormatting sqref="M10:M2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{0DF9B7F2-3C4C-4BA8-BA4B-7C927A75B87E}</x14:id>
        </ext>
      </extLst>
    </cfRule>
  </conditionalFormatting>
  <conditionalFormatting sqref="N10:N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A3AB26-DECA-4B8B-9994-EA28062FA7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A10:A29</xm:sqref>
        </x14:conditionalFormatting>
        <x14:conditionalFormatting xmlns:xm="http://schemas.microsoft.com/office/excel/2006/main">
          <x14:cfRule type="dataBar" id="{5B74472E-F0E0-4324-BE85-8CD639837A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A10:D29</xm:sqref>
        </x14:conditionalFormatting>
        <x14:conditionalFormatting xmlns:xm="http://schemas.microsoft.com/office/excel/2006/main">
          <x14:cfRule type="dataBar" id="{9BF68F15-AD97-4F23-856D-40C6212E1F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B10:B29</xm:sqref>
        </x14:conditionalFormatting>
        <x14:conditionalFormatting xmlns:xm="http://schemas.microsoft.com/office/excel/2006/main">
          <x14:cfRule type="dataBar" id="{0E861C2F-5DB2-4ACD-A3DA-D113645105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C10:C29</xm:sqref>
        </x14:conditionalFormatting>
        <x14:conditionalFormatting xmlns:xm="http://schemas.microsoft.com/office/excel/2006/main">
          <x14:cfRule type="dataBar" id="{5EFE8825-0A22-4C17-9159-96D3255D2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D10:D29</xm:sqref>
        </x14:conditionalFormatting>
        <x14:conditionalFormatting xmlns:xm="http://schemas.microsoft.com/office/excel/2006/main">
          <x14:cfRule type="dataBar" id="{0DF9B7F2-3C4C-4BA8-BA4B-7C927A75B8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M10:M29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3B34-2A7D-4C52-A991-2B5A56E9416B}">
  <dimension ref="A3:J24"/>
  <sheetViews>
    <sheetView zoomScale="94" workbookViewId="0">
      <selection activeCell="C4" activeCellId="2" sqref="A4:A24 B4:B24 C4:C24"/>
    </sheetView>
  </sheetViews>
  <sheetFormatPr defaultColWidth="20.77734375" defaultRowHeight="34.049999999999997" customHeight="1" x14ac:dyDescent="0.3"/>
  <cols>
    <col min="8" max="8" width="32.6640625" customWidth="1"/>
  </cols>
  <sheetData>
    <row r="3" spans="1:10" ht="34.049999999999997" customHeight="1" x14ac:dyDescent="0.3">
      <c r="A3" s="84"/>
      <c r="B3" s="84"/>
      <c r="C3" s="84"/>
      <c r="D3" s="84"/>
      <c r="E3" s="84"/>
      <c r="F3" s="84"/>
      <c r="G3" s="84"/>
      <c r="H3" s="84"/>
      <c r="I3" s="84"/>
      <c r="J3" s="84"/>
    </row>
    <row r="4" spans="1:10" ht="34.049999999999997" customHeight="1" x14ac:dyDescent="0.45">
      <c r="A4" s="68" t="s">
        <v>251</v>
      </c>
      <c r="B4" s="69" t="s">
        <v>277</v>
      </c>
      <c r="C4" s="69" t="s">
        <v>278</v>
      </c>
      <c r="D4" s="69" t="s">
        <v>279</v>
      </c>
      <c r="E4" s="70" t="s">
        <v>280</v>
      </c>
      <c r="F4" s="85"/>
      <c r="G4" s="71" t="s">
        <v>280</v>
      </c>
      <c r="H4" s="72" t="s">
        <v>263</v>
      </c>
      <c r="I4" s="84"/>
      <c r="J4" s="84"/>
    </row>
    <row r="5" spans="1:10" ht="34.049999999999997" customHeight="1" x14ac:dyDescent="0.3">
      <c r="A5" s="57" t="str" cm="1">
        <f t="array" ref="A5:A24">_xlfn.ANCHORARRAY('Leauge_table '!A5)</f>
        <v>Man United</v>
      </c>
      <c r="B5" s="58" cm="1">
        <f t="array" ref="B5:B24">SUMIFS(Team_Match_Data!$J$5:$J$764,Team_Match_Data!$B$5:$B$764,_xlfn.ANCHORARRAY(Home_Away_Analysis!A5),Team_Match_Data!$I$5:$I$764,"Home")</f>
        <v>24</v>
      </c>
      <c r="C5" s="58" cm="1">
        <f t="array" ref="C5:C24">SUMIFS(Team_Match_Data!$J$5:$J$764,Team_Match_Data!$B$5:$B$764,_xlfn.ANCHORARRAY(Home_Away_Analysis!$A$5),Team_Match_Data!$I$5:$I$764,"Away")</f>
        <v>18</v>
      </c>
      <c r="D5" s="58">
        <f>B5+C5</f>
        <v>42</v>
      </c>
      <c r="E5" s="59">
        <f>B5/D5</f>
        <v>0.5714285714285714</v>
      </c>
      <c r="F5" s="85"/>
      <c r="G5" s="53" t="s">
        <v>281</v>
      </c>
      <c r="H5" s="54" t="s">
        <v>282</v>
      </c>
      <c r="I5" s="84"/>
      <c r="J5" s="84"/>
    </row>
    <row r="6" spans="1:10" ht="34.049999999999997" customHeight="1" x14ac:dyDescent="0.3">
      <c r="A6" s="60" t="str">
        <v>Ipswich</v>
      </c>
      <c r="B6" s="61">
        <v>7</v>
      </c>
      <c r="C6" s="61">
        <v>15</v>
      </c>
      <c r="D6" s="61">
        <f t="shared" ref="D6:D24" si="0">B6+C6</f>
        <v>22</v>
      </c>
      <c r="E6" s="62">
        <f t="shared" ref="E6:E24" si="1">B6/D6</f>
        <v>0.31818181818181818</v>
      </c>
      <c r="F6" s="85"/>
      <c r="G6" s="55" t="s">
        <v>283</v>
      </c>
      <c r="H6" s="56" t="s">
        <v>284</v>
      </c>
      <c r="I6" s="84"/>
      <c r="J6" s="84"/>
    </row>
    <row r="7" spans="1:10" ht="34.049999999999997" customHeight="1" x14ac:dyDescent="0.3">
      <c r="A7" s="57" t="str">
        <v>Arsenal</v>
      </c>
      <c r="B7" s="58">
        <v>39</v>
      </c>
      <c r="C7" s="58">
        <v>35</v>
      </c>
      <c r="D7" s="58">
        <f t="shared" si="0"/>
        <v>74</v>
      </c>
      <c r="E7" s="59">
        <f t="shared" si="1"/>
        <v>0.52702702702702697</v>
      </c>
      <c r="F7" s="85"/>
      <c r="G7" s="66" t="s">
        <v>285</v>
      </c>
      <c r="H7" s="67" t="s">
        <v>286</v>
      </c>
      <c r="I7" s="84"/>
      <c r="J7" s="84"/>
    </row>
    <row r="8" spans="1:10" ht="34.049999999999997" customHeight="1" x14ac:dyDescent="0.3">
      <c r="A8" s="60" t="str">
        <v>Everton</v>
      </c>
      <c r="B8" s="61">
        <v>24</v>
      </c>
      <c r="C8" s="61">
        <v>24</v>
      </c>
      <c r="D8" s="61">
        <f t="shared" si="0"/>
        <v>48</v>
      </c>
      <c r="E8" s="62">
        <f t="shared" si="1"/>
        <v>0.5</v>
      </c>
      <c r="F8" s="85"/>
      <c r="G8" s="86"/>
      <c r="H8" s="86"/>
      <c r="I8" s="84"/>
      <c r="J8" s="84"/>
    </row>
    <row r="9" spans="1:10" ht="34.049999999999997" customHeight="1" x14ac:dyDescent="0.3">
      <c r="A9" s="57" t="str">
        <v>Newcastle</v>
      </c>
      <c r="B9" s="58">
        <v>38</v>
      </c>
      <c r="C9" s="58">
        <v>28</v>
      </c>
      <c r="D9" s="58">
        <f t="shared" si="0"/>
        <v>66</v>
      </c>
      <c r="E9" s="59">
        <f t="shared" si="1"/>
        <v>0.5757575757575758</v>
      </c>
      <c r="F9" s="85"/>
      <c r="G9" s="84"/>
      <c r="H9" s="84"/>
      <c r="I9" s="84"/>
      <c r="J9" s="84"/>
    </row>
    <row r="10" spans="1:10" ht="34.049999999999997" customHeight="1" x14ac:dyDescent="0.3">
      <c r="A10" s="60" t="str">
        <v>Nott'm Forest</v>
      </c>
      <c r="B10" s="61">
        <v>32</v>
      </c>
      <c r="C10" s="61">
        <v>33</v>
      </c>
      <c r="D10" s="61">
        <f t="shared" si="0"/>
        <v>65</v>
      </c>
      <c r="E10" s="62">
        <f t="shared" si="1"/>
        <v>0.49230769230769234</v>
      </c>
      <c r="F10" s="85"/>
      <c r="I10" s="84"/>
      <c r="J10" s="84"/>
    </row>
    <row r="11" spans="1:10" ht="34.049999999999997" customHeight="1" x14ac:dyDescent="0.3">
      <c r="A11" s="57" t="str">
        <v>West Ham</v>
      </c>
      <c r="B11" s="58">
        <v>20</v>
      </c>
      <c r="C11" s="58">
        <v>23</v>
      </c>
      <c r="D11" s="58">
        <f t="shared" si="0"/>
        <v>43</v>
      </c>
      <c r="E11" s="59">
        <f t="shared" si="1"/>
        <v>0.46511627906976744</v>
      </c>
      <c r="F11" s="85"/>
      <c r="I11" s="84"/>
      <c r="J11" s="84"/>
    </row>
    <row r="12" spans="1:10" ht="34.049999999999997" customHeight="1" x14ac:dyDescent="0.3">
      <c r="A12" s="60" t="str">
        <v>Brentford</v>
      </c>
      <c r="B12" s="61">
        <v>31</v>
      </c>
      <c r="C12" s="61">
        <v>25</v>
      </c>
      <c r="D12" s="61">
        <f t="shared" si="0"/>
        <v>56</v>
      </c>
      <c r="E12" s="62">
        <f t="shared" si="1"/>
        <v>0.5535714285714286</v>
      </c>
      <c r="F12" s="85"/>
      <c r="I12" s="84"/>
      <c r="J12" s="84"/>
    </row>
    <row r="13" spans="1:10" ht="34.049999999999997" customHeight="1" x14ac:dyDescent="0.3">
      <c r="A13" s="57" t="str">
        <v>Chelsea</v>
      </c>
      <c r="B13" s="58">
        <v>41</v>
      </c>
      <c r="C13" s="58">
        <v>28</v>
      </c>
      <c r="D13" s="58">
        <f t="shared" si="0"/>
        <v>69</v>
      </c>
      <c r="E13" s="59">
        <f t="shared" si="1"/>
        <v>0.59420289855072461</v>
      </c>
      <c r="F13" s="85"/>
      <c r="I13" s="84"/>
      <c r="J13" s="84"/>
    </row>
    <row r="14" spans="1:10" ht="34.049999999999997" customHeight="1" x14ac:dyDescent="0.3">
      <c r="A14" s="60" t="str">
        <v>Leicester</v>
      </c>
      <c r="B14" s="61">
        <v>15</v>
      </c>
      <c r="C14" s="61">
        <v>10</v>
      </c>
      <c r="D14" s="61">
        <f t="shared" si="0"/>
        <v>25</v>
      </c>
      <c r="E14" s="62">
        <f t="shared" si="1"/>
        <v>0.6</v>
      </c>
      <c r="F14" s="85"/>
      <c r="I14" s="84"/>
      <c r="J14" s="84"/>
    </row>
    <row r="15" spans="1:10" ht="34.049999999999997" customHeight="1" x14ac:dyDescent="0.3">
      <c r="A15" s="57" t="str">
        <v>Brighton</v>
      </c>
      <c r="B15" s="58">
        <v>32</v>
      </c>
      <c r="C15" s="58">
        <v>29</v>
      </c>
      <c r="D15" s="58">
        <f t="shared" si="0"/>
        <v>61</v>
      </c>
      <c r="E15" s="59">
        <f t="shared" si="1"/>
        <v>0.52459016393442626</v>
      </c>
      <c r="F15" s="85"/>
      <c r="I15" s="84"/>
      <c r="J15" s="84"/>
    </row>
    <row r="16" spans="1:10" ht="34.049999999999997" customHeight="1" x14ac:dyDescent="0.3">
      <c r="A16" s="60" t="str">
        <v>Crystal Palace</v>
      </c>
      <c r="B16" s="61">
        <v>25</v>
      </c>
      <c r="C16" s="61">
        <v>28</v>
      </c>
      <c r="D16" s="61">
        <f t="shared" si="0"/>
        <v>53</v>
      </c>
      <c r="E16" s="62">
        <f t="shared" si="1"/>
        <v>0.47169811320754718</v>
      </c>
      <c r="F16" s="85"/>
      <c r="I16" s="84"/>
      <c r="J16" s="84"/>
    </row>
    <row r="17" spans="1:10" ht="34.049999999999997" customHeight="1" x14ac:dyDescent="0.3">
      <c r="A17" s="57" t="str">
        <v>Fulham</v>
      </c>
      <c r="B17" s="58">
        <v>26</v>
      </c>
      <c r="C17" s="58">
        <v>28</v>
      </c>
      <c r="D17" s="58">
        <f t="shared" si="0"/>
        <v>54</v>
      </c>
      <c r="E17" s="59">
        <f t="shared" si="1"/>
        <v>0.48148148148148145</v>
      </c>
      <c r="F17" s="85"/>
      <c r="I17" s="84"/>
      <c r="J17" s="84"/>
    </row>
    <row r="18" spans="1:10" ht="34.049999999999997" customHeight="1" x14ac:dyDescent="0.3">
      <c r="A18" s="60" t="str">
        <v>Man City</v>
      </c>
      <c r="B18" s="61">
        <v>42</v>
      </c>
      <c r="C18" s="61">
        <v>29</v>
      </c>
      <c r="D18" s="61">
        <f t="shared" si="0"/>
        <v>71</v>
      </c>
      <c r="E18" s="62">
        <f t="shared" si="1"/>
        <v>0.59154929577464788</v>
      </c>
      <c r="F18" s="85"/>
      <c r="I18" s="84"/>
      <c r="J18" s="84"/>
    </row>
    <row r="19" spans="1:10" ht="34.049999999999997" customHeight="1" x14ac:dyDescent="0.3">
      <c r="A19" s="57" t="str">
        <v>Southampton</v>
      </c>
      <c r="B19" s="58">
        <v>6</v>
      </c>
      <c r="C19" s="58">
        <v>6</v>
      </c>
      <c r="D19" s="58">
        <f t="shared" si="0"/>
        <v>12</v>
      </c>
      <c r="E19" s="59">
        <f t="shared" si="1"/>
        <v>0.5</v>
      </c>
      <c r="F19" s="85"/>
      <c r="I19" s="84"/>
      <c r="J19" s="84"/>
    </row>
    <row r="20" spans="1:10" ht="34.049999999999997" customHeight="1" x14ac:dyDescent="0.3">
      <c r="A20" s="60" t="str">
        <v>Tottenham</v>
      </c>
      <c r="B20" s="61">
        <v>21</v>
      </c>
      <c r="C20" s="61">
        <v>17</v>
      </c>
      <c r="D20" s="61">
        <f t="shared" si="0"/>
        <v>38</v>
      </c>
      <c r="E20" s="62">
        <f t="shared" si="1"/>
        <v>0.55263157894736847</v>
      </c>
      <c r="F20" s="85"/>
      <c r="I20" s="84"/>
      <c r="J20" s="84"/>
    </row>
    <row r="21" spans="1:10" ht="34.049999999999997" customHeight="1" x14ac:dyDescent="0.3">
      <c r="A21" s="57" t="str">
        <v>Aston Villa</v>
      </c>
      <c r="B21" s="58">
        <v>40</v>
      </c>
      <c r="C21" s="58">
        <v>26</v>
      </c>
      <c r="D21" s="58">
        <f t="shared" si="0"/>
        <v>66</v>
      </c>
      <c r="E21" s="59">
        <f t="shared" si="1"/>
        <v>0.60606060606060608</v>
      </c>
      <c r="F21" s="85"/>
      <c r="G21" s="84"/>
      <c r="H21" s="84"/>
      <c r="I21" s="84"/>
      <c r="J21" s="84"/>
    </row>
    <row r="22" spans="1:10" ht="34.049999999999997" customHeight="1" x14ac:dyDescent="0.3">
      <c r="A22" s="60" t="str">
        <v>Bournemouth</v>
      </c>
      <c r="B22" s="61">
        <v>28</v>
      </c>
      <c r="C22" s="61">
        <v>28</v>
      </c>
      <c r="D22" s="61">
        <f t="shared" si="0"/>
        <v>56</v>
      </c>
      <c r="E22" s="62">
        <f t="shared" si="1"/>
        <v>0.5</v>
      </c>
      <c r="F22" s="85"/>
      <c r="G22" s="84"/>
      <c r="H22" s="84"/>
      <c r="I22" s="84"/>
      <c r="J22" s="84"/>
    </row>
    <row r="23" spans="1:10" ht="34.049999999999997" customHeight="1" x14ac:dyDescent="0.3">
      <c r="A23" s="57" t="str">
        <v>Wolves</v>
      </c>
      <c r="B23" s="58">
        <v>21</v>
      </c>
      <c r="C23" s="58">
        <v>21</v>
      </c>
      <c r="D23" s="58">
        <f t="shared" si="0"/>
        <v>42</v>
      </c>
      <c r="E23" s="59">
        <f t="shared" si="1"/>
        <v>0.5</v>
      </c>
      <c r="F23" s="85"/>
      <c r="G23" s="84"/>
      <c r="H23" s="84"/>
      <c r="I23" s="84"/>
      <c r="J23" s="84"/>
    </row>
    <row r="24" spans="1:10" ht="34.049999999999997" customHeight="1" x14ac:dyDescent="0.3">
      <c r="A24" s="63" t="str">
        <v>Liverpool</v>
      </c>
      <c r="B24" s="64">
        <v>46</v>
      </c>
      <c r="C24" s="64">
        <v>38</v>
      </c>
      <c r="D24" s="64">
        <f t="shared" si="0"/>
        <v>84</v>
      </c>
      <c r="E24" s="65">
        <f t="shared" si="1"/>
        <v>0.54761904761904767</v>
      </c>
      <c r="F24" s="85"/>
      <c r="G24" s="84"/>
      <c r="H24" s="84"/>
      <c r="I24" s="84"/>
      <c r="J24" s="84"/>
    </row>
  </sheetData>
  <mergeCells count="5">
    <mergeCell ref="A3:J3"/>
    <mergeCell ref="F4:F24"/>
    <mergeCell ref="I4:J24"/>
    <mergeCell ref="G8:H9"/>
    <mergeCell ref="G21:H24"/>
  </mergeCells>
  <conditionalFormatting sqref="E5:E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1442-BA15-4EE3-864E-E31261199709}">
  <dimension ref="A5:Y78"/>
  <sheetViews>
    <sheetView zoomScale="88" workbookViewId="0">
      <selection activeCell="Z12" sqref="Z12"/>
    </sheetView>
  </sheetViews>
  <sheetFormatPr defaultRowHeight="14.4" x14ac:dyDescent="0.3"/>
  <cols>
    <col min="22" max="22" width="12.33203125" customWidth="1"/>
  </cols>
  <sheetData>
    <row r="5" spans="1:25" ht="39.6" customHeight="1" x14ac:dyDescent="0.3">
      <c r="A5" s="87" t="s">
        <v>295</v>
      </c>
      <c r="B5" s="87"/>
      <c r="C5" s="87"/>
      <c r="D5" s="87"/>
      <c r="E5" s="93"/>
      <c r="F5" s="87" t="s">
        <v>294</v>
      </c>
      <c r="G5" s="87"/>
      <c r="H5" s="87"/>
      <c r="I5" s="87"/>
      <c r="J5" s="93"/>
      <c r="K5" s="87" t="s">
        <v>296</v>
      </c>
      <c r="L5" s="87"/>
      <c r="M5" s="87"/>
      <c r="N5" s="87"/>
      <c r="O5" s="93"/>
      <c r="P5" s="87" t="s">
        <v>297</v>
      </c>
      <c r="Q5" s="87"/>
      <c r="R5" s="87"/>
      <c r="S5" s="87"/>
      <c r="T5" s="93"/>
      <c r="U5" s="91" t="s">
        <v>298</v>
      </c>
      <c r="V5" s="91"/>
      <c r="W5" s="91"/>
      <c r="X5" s="91"/>
      <c r="Y5" s="74"/>
    </row>
    <row r="6" spans="1:25" ht="26.4" customHeight="1" x14ac:dyDescent="0.6">
      <c r="A6" s="88" t="str">
        <f>INDEX(_xlfn.ANCHORARRAY(sports_analytics_01!$L$10),MATCH(1,_xlfn.ANCHORARRAY(sports_analytics_01!$N$10),0))</f>
        <v>Liverpool</v>
      </c>
      <c r="B6" s="88"/>
      <c r="C6" s="88"/>
      <c r="D6" s="88"/>
      <c r="E6" s="93"/>
      <c r="F6" s="89">
        <f>MAX(_xlfn.ANCHORARRAY('Leauge_table '!I5))</f>
        <v>84</v>
      </c>
      <c r="G6" s="89"/>
      <c r="H6" s="89"/>
      <c r="I6" s="89"/>
      <c r="J6" s="93"/>
      <c r="K6" s="89">
        <f>MAX(_xlfn.ANCHORARRAY('Leauge_table '!C5))</f>
        <v>86</v>
      </c>
      <c r="L6" s="89"/>
      <c r="M6" s="89"/>
      <c r="N6" s="89"/>
      <c r="O6" s="93"/>
      <c r="P6" s="89">
        <f>MIN(_xlfn.ANCHORARRAY('Leauge_table '!D5))</f>
        <v>34</v>
      </c>
      <c r="Q6" s="89"/>
      <c r="R6" s="89"/>
      <c r="S6" s="89"/>
      <c r="T6" s="93"/>
      <c r="U6" s="92">
        <f>MAX(sports_analytics_01!M10:M29)</f>
        <v>0.98653846153846148</v>
      </c>
      <c r="V6" s="92"/>
      <c r="W6" s="92"/>
      <c r="X6" s="92"/>
      <c r="Y6" s="74"/>
    </row>
    <row r="7" spans="1:25" ht="28.8" customHeight="1" x14ac:dyDescent="0.5">
      <c r="A7" s="88"/>
      <c r="B7" s="88"/>
      <c r="C7" s="88"/>
      <c r="D7" s="88"/>
      <c r="E7" s="93"/>
      <c r="F7" s="90" t="str">
        <f>INDEX(_xlfn.ANCHORARRAY('Leauge_table '!$A$5),MATCH(MAX(_xlfn.ANCHORARRAY('Leauge_table '!$I$5)),_xlfn.ANCHORARRAY('Leauge_table '!$I$5),0))</f>
        <v>Liverpool</v>
      </c>
      <c r="G7" s="90"/>
      <c r="H7" s="90"/>
      <c r="I7" s="90"/>
      <c r="J7" s="93"/>
      <c r="K7" s="90" t="str">
        <f>INDEX(_xlfn.ANCHORARRAY('Leauge_table '!$A$5),MATCH(MAX(_xlfn.ANCHORARRAY('Leauge_table '!$C$5)),_xlfn.ANCHORARRAY('Leauge_table '!$C$5),0))</f>
        <v>Liverpool</v>
      </c>
      <c r="L7" s="90"/>
      <c r="M7" s="90"/>
      <c r="N7" s="90"/>
      <c r="O7" s="93"/>
      <c r="P7" s="90" t="str">
        <f>INDEX(_xlfn.ANCHORARRAY('Leauge_table '!$A$5),MATCH(MIN(_xlfn.ANCHORARRAY('Leauge_table '!$D$5)),_xlfn.ANCHORARRAY('Leauge_table '!$D$5),0))</f>
        <v>Arsenal</v>
      </c>
      <c r="Q7" s="90"/>
      <c r="R7" s="90"/>
      <c r="S7" s="90"/>
      <c r="T7" s="93"/>
      <c r="U7" s="90" t="str">
        <f>INDEX(_xlfn.ANCHORARRAY(sports_analytics_01!$L$10),MATCH(MAX(sports_analytics_01!$M$10:$M$29),sports_analytics_01!$M$10:$M$29,0))</f>
        <v>Liverpool</v>
      </c>
      <c r="V7" s="90"/>
      <c r="W7" s="90"/>
      <c r="X7" s="90"/>
      <c r="Y7" s="74"/>
    </row>
    <row r="8" spans="1:25" x14ac:dyDescent="0.3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74"/>
    </row>
    <row r="9" spans="1:25" ht="34.799999999999997" x14ac:dyDescent="0.3">
      <c r="J9" s="93"/>
      <c r="K9" s="93"/>
      <c r="U9" s="94"/>
      <c r="V9" s="73" t="s">
        <v>239</v>
      </c>
      <c r="W9" s="23" t="s">
        <v>299</v>
      </c>
      <c r="X9" s="43" t="s">
        <v>300</v>
      </c>
      <c r="Y9" s="74"/>
    </row>
    <row r="10" spans="1:25" x14ac:dyDescent="0.3">
      <c r="J10" s="93"/>
      <c r="K10" s="93"/>
      <c r="U10" s="94"/>
      <c r="V10" s="75" t="str" cm="1">
        <f t="array" ref="V10:V29">_xlfn.ANCHORARRAY('Leauge_table '!A5)</f>
        <v>Man United</v>
      </c>
      <c r="W10" s="76" cm="1">
        <f t="array" ref="W10">_xlfn.XLOOKUP(V10,_xlfn.ANCHORARRAY('Leauge_table '!$A$5),'Leauge_table '!$J$5:$J$24,,0)</f>
        <v>15</v>
      </c>
      <c r="X10" s="77" cm="1">
        <f t="array" ref="X10:X29">_xlfn.ANCHORARRAY(sports_analytics_01!N10)</f>
        <v>15</v>
      </c>
      <c r="Y10" s="74"/>
    </row>
    <row r="11" spans="1:25" x14ac:dyDescent="0.3">
      <c r="J11" s="93"/>
      <c r="K11" s="93"/>
      <c r="U11" s="94"/>
      <c r="V11" s="78" t="str">
        <v>Ipswich</v>
      </c>
      <c r="W11" s="79" cm="1">
        <f t="array" ref="W11">_xlfn.XLOOKUP(V11,_xlfn.ANCHORARRAY('Leauge_table '!$A$5),'Leauge_table '!$J$5:$J$24,,0)</f>
        <v>19</v>
      </c>
      <c r="X11" s="80">
        <v>19</v>
      </c>
      <c r="Y11" s="74"/>
    </row>
    <row r="12" spans="1:25" x14ac:dyDescent="0.3">
      <c r="J12" s="93"/>
      <c r="K12" s="93"/>
      <c r="U12" s="94"/>
      <c r="V12" s="75" t="str">
        <v>Arsenal</v>
      </c>
      <c r="W12" s="76" cm="1">
        <f t="array" ref="W12">_xlfn.XLOOKUP(V12,_xlfn.ANCHORARRAY('Leauge_table '!$A$5),'Leauge_table '!$J$5:$J$24,,0)</f>
        <v>2</v>
      </c>
      <c r="X12" s="77">
        <v>2</v>
      </c>
      <c r="Y12" s="74"/>
    </row>
    <row r="13" spans="1:25" x14ac:dyDescent="0.3">
      <c r="J13" s="93"/>
      <c r="K13" s="93"/>
      <c r="U13" s="94"/>
      <c r="V13" s="78" t="str">
        <v>Everton</v>
      </c>
      <c r="W13" s="79" cm="1">
        <f t="array" ref="W13">_xlfn.XLOOKUP(V13,_xlfn.ANCHORARRAY('Leauge_table '!$A$5),'Leauge_table '!$J$5:$J$24,,0)</f>
        <v>13</v>
      </c>
      <c r="X13" s="80">
        <v>14</v>
      </c>
      <c r="Y13" s="74"/>
    </row>
    <row r="14" spans="1:25" x14ac:dyDescent="0.3">
      <c r="J14" s="93"/>
      <c r="K14" s="93"/>
      <c r="U14" s="94"/>
      <c r="V14" s="75" t="str">
        <v>Newcastle</v>
      </c>
      <c r="W14" s="76" cm="1">
        <f t="array" ref="W14">_xlfn.XLOOKUP(V14,_xlfn.ANCHORARRAY('Leauge_table '!$A$5),'Leauge_table '!$J$5:$J$24,,0)</f>
        <v>5</v>
      </c>
      <c r="X14" s="77">
        <v>4</v>
      </c>
      <c r="Y14" s="74"/>
    </row>
    <row r="15" spans="1:25" x14ac:dyDescent="0.3">
      <c r="J15" s="93"/>
      <c r="K15" s="93"/>
      <c r="U15" s="94"/>
      <c r="V15" s="78" t="str">
        <v>Nott'm Forest</v>
      </c>
      <c r="W15" s="79" cm="1">
        <f t="array" ref="W15">_xlfn.XLOOKUP(V15,_xlfn.ANCHORARRAY('Leauge_table '!$A$5),'Leauge_table '!$J$5:$J$24,,0)</f>
        <v>7</v>
      </c>
      <c r="X15" s="80">
        <v>6</v>
      </c>
      <c r="Y15" s="74"/>
    </row>
    <row r="16" spans="1:25" x14ac:dyDescent="0.3">
      <c r="J16" s="93"/>
      <c r="K16" s="93"/>
      <c r="U16" s="94"/>
      <c r="V16" s="75" t="str">
        <v>West Ham</v>
      </c>
      <c r="W16" s="76" cm="1">
        <f t="array" ref="W16">_xlfn.XLOOKUP(V16,_xlfn.ANCHORARRAY('Leauge_table '!$A$5),'Leauge_table '!$J$5:$J$24,,0)</f>
        <v>14</v>
      </c>
      <c r="X16" s="77">
        <v>17</v>
      </c>
      <c r="Y16" s="74"/>
    </row>
    <row r="17" spans="1:25" x14ac:dyDescent="0.3">
      <c r="J17" s="93"/>
      <c r="K17" s="93"/>
      <c r="U17" s="94"/>
      <c r="V17" s="78" t="str">
        <v>Brentford</v>
      </c>
      <c r="W17" s="79" cm="1">
        <f t="array" ref="W17">_xlfn.XLOOKUP(V17,_xlfn.ANCHORARRAY('Leauge_table '!$A$5),'Leauge_table '!$J$5:$J$24,,0)</f>
        <v>9</v>
      </c>
      <c r="X17" s="80">
        <v>8</v>
      </c>
      <c r="Y17" s="74"/>
    </row>
    <row r="18" spans="1:25" x14ac:dyDescent="0.3">
      <c r="J18" s="93"/>
      <c r="K18" s="93"/>
      <c r="U18" s="94"/>
      <c r="V18" s="75" t="str">
        <v>Chelsea</v>
      </c>
      <c r="W18" s="76" cm="1">
        <f t="array" ref="W18">_xlfn.XLOOKUP(V18,_xlfn.ANCHORARRAY('Leauge_table '!$A$5),'Leauge_table '!$J$5:$J$24,,0)</f>
        <v>4</v>
      </c>
      <c r="X18" s="77">
        <v>5</v>
      </c>
      <c r="Y18" s="74"/>
    </row>
    <row r="19" spans="1:25" x14ac:dyDescent="0.3">
      <c r="J19" s="93"/>
      <c r="K19" s="93"/>
      <c r="U19" s="94"/>
      <c r="V19" s="78" t="str">
        <v>Leicester</v>
      </c>
      <c r="W19" s="79" cm="1">
        <f t="array" ref="W19">_xlfn.XLOOKUP(V19,_xlfn.ANCHORARRAY('Leauge_table '!$A$5),'Leauge_table '!$J$5:$J$24,,0)</f>
        <v>18</v>
      </c>
      <c r="X19" s="80">
        <v>18</v>
      </c>
      <c r="Y19" s="74"/>
    </row>
    <row r="20" spans="1:25" x14ac:dyDescent="0.3">
      <c r="J20" s="93"/>
      <c r="K20" s="93"/>
      <c r="U20" s="94"/>
      <c r="V20" s="75" t="str">
        <v>Brighton</v>
      </c>
      <c r="W20" s="76" cm="1">
        <f t="array" ref="W20">_xlfn.XLOOKUP(V20,_xlfn.ANCHORARRAY('Leauge_table '!$A$5),'Leauge_table '!$J$5:$J$24,,0)</f>
        <v>8</v>
      </c>
      <c r="X20" s="77">
        <v>10</v>
      </c>
      <c r="Y20" s="74"/>
    </row>
    <row r="21" spans="1:25" x14ac:dyDescent="0.3">
      <c r="J21" s="93"/>
      <c r="K21" s="93"/>
      <c r="U21" s="94"/>
      <c r="V21" s="78" t="str">
        <v>Crystal Palace</v>
      </c>
      <c r="W21" s="79" cm="1">
        <f t="array" ref="W21">_xlfn.XLOOKUP(V21,_xlfn.ANCHORARRAY('Leauge_table '!$A$5),'Leauge_table '!$J$5:$J$24,,0)</f>
        <v>12</v>
      </c>
      <c r="X21" s="80">
        <v>12</v>
      </c>
      <c r="Y21" s="74"/>
    </row>
    <row r="22" spans="1:25" x14ac:dyDescent="0.3">
      <c r="J22" s="93"/>
      <c r="K22" s="93"/>
      <c r="U22" s="94"/>
      <c r="V22" s="75" t="str">
        <v>Fulham</v>
      </c>
      <c r="W22" s="76" cm="1">
        <f t="array" ref="W22">_xlfn.XLOOKUP(V22,_xlfn.ANCHORARRAY('Leauge_table '!$A$5),'Leauge_table '!$J$5:$J$24,,0)</f>
        <v>11</v>
      </c>
      <c r="X22" s="77">
        <v>11</v>
      </c>
      <c r="Y22" s="74"/>
    </row>
    <row r="23" spans="1:25" x14ac:dyDescent="0.3">
      <c r="J23" s="93"/>
      <c r="K23" s="93"/>
      <c r="U23" s="94"/>
      <c r="V23" s="78" t="str">
        <v>Man City</v>
      </c>
      <c r="W23" s="79" cm="1">
        <f t="array" ref="W23">_xlfn.XLOOKUP(V23,_xlfn.ANCHORARRAY('Leauge_table '!$A$5),'Leauge_table '!$J$5:$J$24,,0)</f>
        <v>3</v>
      </c>
      <c r="X23" s="80">
        <v>3</v>
      </c>
      <c r="Y23" s="74"/>
    </row>
    <row r="24" spans="1:25" x14ac:dyDescent="0.3">
      <c r="J24" s="93"/>
      <c r="K24" s="93"/>
      <c r="U24" s="94"/>
      <c r="V24" s="75" t="str">
        <v>Southampton</v>
      </c>
      <c r="W24" s="76" cm="1">
        <f t="array" ref="W24">_xlfn.XLOOKUP(V24,_xlfn.ANCHORARRAY('Leauge_table '!$A$5),'Leauge_table '!$J$5:$J$24,,0)</f>
        <v>20</v>
      </c>
      <c r="X24" s="77">
        <v>20</v>
      </c>
      <c r="Y24" s="74"/>
    </row>
    <row r="25" spans="1:25" x14ac:dyDescent="0.3">
      <c r="J25" s="93"/>
      <c r="K25" s="93"/>
      <c r="U25" s="94"/>
      <c r="V25" s="78" t="str">
        <v>Tottenham</v>
      </c>
      <c r="W25" s="79" cm="1">
        <f t="array" ref="W25">_xlfn.XLOOKUP(V25,_xlfn.ANCHORARRAY('Leauge_table '!$A$5),'Leauge_table '!$J$5:$J$24,,0)</f>
        <v>17</v>
      </c>
      <c r="X25" s="80">
        <v>13</v>
      </c>
      <c r="Y25" s="74"/>
    </row>
    <row r="26" spans="1:25" x14ac:dyDescent="0.3">
      <c r="J26" s="93"/>
      <c r="K26" s="93"/>
      <c r="U26" s="94"/>
      <c r="V26" s="75" t="str">
        <v>Aston Villa</v>
      </c>
      <c r="W26" s="76" cm="1">
        <f t="array" ref="W26">_xlfn.XLOOKUP(V26,_xlfn.ANCHORARRAY('Leauge_table '!$A$5),'Leauge_table '!$J$5:$J$24,,0)</f>
        <v>5</v>
      </c>
      <c r="X26" s="77">
        <v>7</v>
      </c>
      <c r="Y26" s="74"/>
    </row>
    <row r="27" spans="1:25" x14ac:dyDescent="0.3">
      <c r="J27" s="93"/>
      <c r="K27" s="93"/>
      <c r="U27" s="94"/>
      <c r="V27" s="78" t="str">
        <v>Bournemouth</v>
      </c>
      <c r="W27" s="79" cm="1">
        <f t="array" ref="W27">_xlfn.XLOOKUP(V27,_xlfn.ANCHORARRAY('Leauge_table '!$A$5),'Leauge_table '!$J$5:$J$24,,0)</f>
        <v>9</v>
      </c>
      <c r="X27" s="80">
        <v>9</v>
      </c>
      <c r="Y27" s="74"/>
    </row>
    <row r="28" spans="1:25" x14ac:dyDescent="0.3">
      <c r="J28" s="93"/>
      <c r="K28" s="93"/>
      <c r="U28" s="94"/>
      <c r="V28" s="75" t="str">
        <v>Wolves</v>
      </c>
      <c r="W28" s="76" cm="1">
        <f t="array" ref="W28">_xlfn.XLOOKUP(V28,_xlfn.ANCHORARRAY('Leauge_table '!$A$5),'Leauge_table '!$J$5:$J$24,,0)</f>
        <v>15</v>
      </c>
      <c r="X28" s="77">
        <v>16</v>
      </c>
      <c r="Y28" s="74"/>
    </row>
    <row r="29" spans="1:25" x14ac:dyDescent="0.3">
      <c r="J29" s="93"/>
      <c r="K29" s="93"/>
      <c r="U29" s="94"/>
      <c r="V29" s="81" t="str">
        <v>Liverpool</v>
      </c>
      <c r="W29" s="82" cm="1">
        <f t="array" ref="W29">_xlfn.XLOOKUP(V29,_xlfn.ANCHORARRAY('Leauge_table '!$A$5),'Leauge_table '!$J$5:$J$24,,0)</f>
        <v>1</v>
      </c>
      <c r="X29" s="83">
        <v>1</v>
      </c>
      <c r="Y29" s="74"/>
    </row>
    <row r="30" spans="1:25" x14ac:dyDescent="0.3">
      <c r="A30" s="93"/>
      <c r="B30" s="93"/>
      <c r="C30" s="93"/>
      <c r="D30" s="93"/>
      <c r="E30" s="93"/>
      <c r="F30" s="93"/>
      <c r="G30" s="93"/>
      <c r="H30" s="93"/>
      <c r="I30" s="93"/>
      <c r="J30" s="74"/>
      <c r="K30" s="74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74"/>
    </row>
    <row r="31" spans="1:25" x14ac:dyDescent="0.3">
      <c r="A31" s="93"/>
      <c r="B31" s="93"/>
      <c r="C31" s="93"/>
      <c r="D31" s="93"/>
      <c r="E31" s="93"/>
      <c r="F31" s="93"/>
      <c r="G31" s="93"/>
      <c r="H31" s="93"/>
      <c r="I31" s="93"/>
      <c r="J31" s="74"/>
      <c r="K31" s="74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74"/>
    </row>
    <row r="32" spans="1:25" x14ac:dyDescent="0.3">
      <c r="J32" s="93"/>
      <c r="K32" s="93"/>
      <c r="U32" s="74"/>
      <c r="Y32" s="74"/>
    </row>
    <row r="33" spans="10:25" x14ac:dyDescent="0.3">
      <c r="J33" s="93"/>
      <c r="K33" s="93"/>
      <c r="U33" s="74"/>
      <c r="Y33" s="74"/>
    </row>
    <row r="34" spans="10:25" x14ac:dyDescent="0.3">
      <c r="J34" s="93"/>
      <c r="K34" s="93"/>
      <c r="U34" s="74"/>
      <c r="Y34" s="74"/>
    </row>
    <row r="35" spans="10:25" x14ac:dyDescent="0.3">
      <c r="J35" s="93"/>
      <c r="K35" s="93"/>
      <c r="U35" s="74"/>
      <c r="Y35" s="74"/>
    </row>
    <row r="36" spans="10:25" x14ac:dyDescent="0.3">
      <c r="J36" s="93"/>
      <c r="K36" s="93"/>
      <c r="U36" s="74"/>
      <c r="Y36" s="74"/>
    </row>
    <row r="37" spans="10:25" x14ac:dyDescent="0.3">
      <c r="J37" s="93"/>
      <c r="K37" s="93"/>
      <c r="U37" s="74"/>
      <c r="Y37" s="74"/>
    </row>
    <row r="38" spans="10:25" x14ac:dyDescent="0.3">
      <c r="J38" s="93"/>
      <c r="K38" s="93"/>
      <c r="U38" s="74"/>
      <c r="Y38" s="74"/>
    </row>
    <row r="39" spans="10:25" x14ac:dyDescent="0.3">
      <c r="J39" s="93"/>
      <c r="K39" s="93"/>
      <c r="U39" s="74"/>
      <c r="Y39" s="74"/>
    </row>
    <row r="40" spans="10:25" x14ac:dyDescent="0.3">
      <c r="J40" s="93"/>
      <c r="K40" s="93"/>
      <c r="U40" s="74"/>
      <c r="Y40" s="74"/>
    </row>
    <row r="41" spans="10:25" x14ac:dyDescent="0.3">
      <c r="J41" s="93"/>
      <c r="K41" s="93"/>
      <c r="U41" s="74"/>
      <c r="Y41" s="74"/>
    </row>
    <row r="42" spans="10:25" x14ac:dyDescent="0.3">
      <c r="J42" s="93"/>
      <c r="K42" s="93"/>
      <c r="U42" s="74"/>
      <c r="Y42" s="74"/>
    </row>
    <row r="43" spans="10:25" x14ac:dyDescent="0.3">
      <c r="J43" s="93"/>
      <c r="K43" s="93"/>
      <c r="U43" s="74"/>
      <c r="Y43" s="74"/>
    </row>
    <row r="44" spans="10:25" x14ac:dyDescent="0.3">
      <c r="J44" s="93"/>
      <c r="K44" s="93"/>
      <c r="U44" s="74"/>
      <c r="Y44" s="74"/>
    </row>
    <row r="45" spans="10:25" x14ac:dyDescent="0.3">
      <c r="J45" s="93"/>
      <c r="K45" s="93"/>
      <c r="U45" s="74"/>
      <c r="Y45" s="74"/>
    </row>
    <row r="46" spans="10:25" x14ac:dyDescent="0.3">
      <c r="J46" s="93"/>
      <c r="K46" s="93"/>
      <c r="U46" s="74"/>
      <c r="Y46" s="74"/>
    </row>
    <row r="47" spans="10:25" x14ac:dyDescent="0.3">
      <c r="J47" s="93"/>
      <c r="K47" s="93"/>
      <c r="U47" s="74"/>
      <c r="Y47" s="74"/>
    </row>
    <row r="48" spans="10:25" x14ac:dyDescent="0.3">
      <c r="J48" s="93"/>
      <c r="K48" s="93"/>
      <c r="U48" s="74"/>
      <c r="Y48" s="74"/>
    </row>
    <row r="49" spans="1:25" x14ac:dyDescent="0.3">
      <c r="J49" s="93"/>
      <c r="K49" s="93"/>
      <c r="U49" s="74"/>
      <c r="Y49" s="74"/>
    </row>
    <row r="50" spans="1:25" x14ac:dyDescent="0.3">
      <c r="J50" s="93"/>
      <c r="K50" s="93"/>
      <c r="U50" s="74"/>
      <c r="Y50" s="74"/>
    </row>
    <row r="51" spans="1:25" x14ac:dyDescent="0.3">
      <c r="J51" s="93"/>
      <c r="K51" s="93"/>
      <c r="U51" s="74"/>
      <c r="Y51" s="74"/>
    </row>
    <row r="52" spans="1:25" x14ac:dyDescent="0.3">
      <c r="J52" s="93"/>
      <c r="K52" s="93"/>
      <c r="U52" s="74"/>
      <c r="Y52" s="74"/>
    </row>
    <row r="53" spans="1:25" x14ac:dyDescent="0.3">
      <c r="J53" s="93"/>
      <c r="K53" s="93"/>
      <c r="U53" s="74"/>
      <c r="Y53" s="74"/>
    </row>
    <row r="54" spans="1:25" x14ac:dyDescent="0.3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74"/>
      <c r="Y54" s="74"/>
    </row>
    <row r="55" spans="1:25" x14ac:dyDescent="0.3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74"/>
      <c r="V55" s="74"/>
      <c r="W55" s="74"/>
      <c r="X55" s="74"/>
      <c r="Y55" s="74"/>
    </row>
    <row r="56" spans="1:25" x14ac:dyDescent="0.3">
      <c r="J56" s="93"/>
      <c r="K56" s="93"/>
      <c r="U56" s="74"/>
      <c r="Y56" s="74"/>
    </row>
    <row r="57" spans="1:25" x14ac:dyDescent="0.3">
      <c r="J57" s="93"/>
      <c r="K57" s="93"/>
      <c r="U57" s="74"/>
      <c r="Y57" s="74"/>
    </row>
    <row r="58" spans="1:25" x14ac:dyDescent="0.3">
      <c r="J58" s="93"/>
      <c r="K58" s="93"/>
      <c r="U58" s="74"/>
      <c r="Y58" s="74"/>
    </row>
    <row r="59" spans="1:25" x14ac:dyDescent="0.3">
      <c r="J59" s="93"/>
      <c r="K59" s="93"/>
      <c r="U59" s="74"/>
      <c r="Y59" s="74"/>
    </row>
    <row r="60" spans="1:25" x14ac:dyDescent="0.3">
      <c r="J60" s="93"/>
      <c r="K60" s="93"/>
      <c r="U60" s="74"/>
      <c r="Y60" s="74"/>
    </row>
    <row r="61" spans="1:25" x14ac:dyDescent="0.3">
      <c r="J61" s="93"/>
      <c r="K61" s="93"/>
      <c r="U61" s="74"/>
      <c r="Y61" s="74"/>
    </row>
    <row r="62" spans="1:25" x14ac:dyDescent="0.3">
      <c r="J62" s="93"/>
      <c r="K62" s="93"/>
      <c r="U62" s="74"/>
      <c r="Y62" s="74"/>
    </row>
    <row r="63" spans="1:25" x14ac:dyDescent="0.3">
      <c r="J63" s="93"/>
      <c r="K63" s="93"/>
      <c r="U63" s="74"/>
      <c r="Y63" s="74"/>
    </row>
    <row r="64" spans="1:25" x14ac:dyDescent="0.3">
      <c r="J64" s="93"/>
      <c r="K64" s="93"/>
      <c r="U64" s="74"/>
      <c r="Y64" s="74"/>
    </row>
    <row r="65" spans="10:25" x14ac:dyDescent="0.3">
      <c r="J65" s="93"/>
      <c r="K65" s="93"/>
      <c r="U65" s="74"/>
      <c r="Y65" s="74"/>
    </row>
    <row r="66" spans="10:25" x14ac:dyDescent="0.3">
      <c r="J66" s="93"/>
      <c r="K66" s="93"/>
      <c r="U66" s="74"/>
      <c r="Y66" s="74"/>
    </row>
    <row r="67" spans="10:25" x14ac:dyDescent="0.3">
      <c r="J67" s="93"/>
      <c r="K67" s="93"/>
      <c r="U67" s="74"/>
      <c r="Y67" s="74"/>
    </row>
    <row r="68" spans="10:25" x14ac:dyDescent="0.3">
      <c r="J68" s="93"/>
      <c r="K68" s="93"/>
      <c r="U68" s="74"/>
      <c r="Y68" s="74"/>
    </row>
    <row r="69" spans="10:25" x14ac:dyDescent="0.3">
      <c r="J69" s="93"/>
      <c r="K69" s="93"/>
      <c r="U69" s="74"/>
      <c r="Y69" s="74"/>
    </row>
    <row r="70" spans="10:25" x14ac:dyDescent="0.3">
      <c r="J70" s="93"/>
      <c r="K70" s="93"/>
      <c r="U70" s="74"/>
      <c r="Y70" s="74"/>
    </row>
    <row r="71" spans="10:25" x14ac:dyDescent="0.3">
      <c r="J71" s="93"/>
      <c r="K71" s="93"/>
      <c r="U71" s="74"/>
      <c r="Y71" s="74"/>
    </row>
    <row r="72" spans="10:25" x14ac:dyDescent="0.3">
      <c r="J72" s="93"/>
      <c r="K72" s="93"/>
      <c r="U72" s="74"/>
      <c r="Y72" s="74"/>
    </row>
    <row r="73" spans="10:25" x14ac:dyDescent="0.3">
      <c r="J73" s="93"/>
      <c r="K73" s="93"/>
      <c r="U73" s="74"/>
      <c r="Y73" s="74"/>
    </row>
    <row r="74" spans="10:25" x14ac:dyDescent="0.3">
      <c r="J74" s="93"/>
      <c r="K74" s="93"/>
      <c r="U74" s="74"/>
      <c r="Y74" s="74"/>
    </row>
    <row r="75" spans="10:25" x14ac:dyDescent="0.3">
      <c r="J75" s="93"/>
      <c r="K75" s="93"/>
      <c r="U75" s="74"/>
      <c r="Y75" s="74"/>
    </row>
    <row r="76" spans="10:25" x14ac:dyDescent="0.3">
      <c r="J76" s="93"/>
      <c r="K76" s="93"/>
      <c r="U76" s="74"/>
      <c r="Y76" s="74"/>
    </row>
    <row r="77" spans="10:25" x14ac:dyDescent="0.3">
      <c r="J77" s="93"/>
      <c r="K77" s="93"/>
      <c r="U77" s="74"/>
      <c r="Y77" s="74"/>
    </row>
    <row r="78" spans="10:25" x14ac:dyDescent="0.3">
      <c r="J78" s="93"/>
      <c r="K78" s="93"/>
      <c r="U78" s="74"/>
      <c r="Y78" s="74"/>
    </row>
  </sheetData>
  <mergeCells count="27">
    <mergeCell ref="U9:U29"/>
    <mergeCell ref="A8:X8"/>
    <mergeCell ref="U30:X31"/>
    <mergeCell ref="J32:K78"/>
    <mergeCell ref="J9:K29"/>
    <mergeCell ref="A30:I31"/>
    <mergeCell ref="L30:T31"/>
    <mergeCell ref="A54:I55"/>
    <mergeCell ref="L54:T55"/>
    <mergeCell ref="U5:X5"/>
    <mergeCell ref="U6:X6"/>
    <mergeCell ref="U7:X7"/>
    <mergeCell ref="E5:E7"/>
    <mergeCell ref="J5:J7"/>
    <mergeCell ref="O5:O7"/>
    <mergeCell ref="T5:T7"/>
    <mergeCell ref="K5:N5"/>
    <mergeCell ref="K6:N6"/>
    <mergeCell ref="K7:N7"/>
    <mergeCell ref="P5:S5"/>
    <mergeCell ref="P6:S6"/>
    <mergeCell ref="P7:S7"/>
    <mergeCell ref="A5:D5"/>
    <mergeCell ref="F5:I5"/>
    <mergeCell ref="A6:D7"/>
    <mergeCell ref="F6:I6"/>
    <mergeCell ref="F7:I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CA5F10-CD2A-4FAA-A962-5CA43F0B4E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E0</vt:lpstr>
      <vt:lpstr>Raw_data </vt:lpstr>
      <vt:lpstr>Team_Match_Data</vt:lpstr>
      <vt:lpstr>Leauge_table </vt:lpstr>
      <vt:lpstr>Metric_Impact_Analysis</vt:lpstr>
      <vt:lpstr>sports_analytics_01</vt:lpstr>
      <vt:lpstr>Home_Away_Analysis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abhishek anandkar</cp:lastModifiedBy>
  <dcterms:created xsi:type="dcterms:W3CDTF">2025-12-20T15:12:18Z</dcterms:created>
  <dcterms:modified xsi:type="dcterms:W3CDTF">2025-12-24T17:55:00Z</dcterms:modified>
</cp:coreProperties>
</file>