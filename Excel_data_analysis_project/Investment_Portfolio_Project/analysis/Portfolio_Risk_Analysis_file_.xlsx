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imelines/timeline1.xml" ContentType="application/vnd.ms-excel.timelin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8.xml" ContentType="application/vnd.openxmlformats-officedocument.drawing+xml"/>
  <Override PartName="/xl/tables/table1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Gather_all_data\analysis\"/>
    </mc:Choice>
  </mc:AlternateContent>
  <xr:revisionPtr revIDLastSave="0" documentId="8_{6F549810-75A2-49BB-8A10-2803F25201E7}" xr6:coauthVersionLast="47" xr6:coauthVersionMax="47" xr10:uidLastSave="{00000000-0000-0000-0000-000000000000}"/>
  <bookViews>
    <workbookView xWindow="840" yWindow="0" windowWidth="22200" windowHeight="13680" xr2:uid="{55A7B7AD-1110-4FC5-A45F-EDDE6CA95532}"/>
  </bookViews>
  <sheets>
    <sheet name="Raw_Prices" sheetId="1" r:id="rId1"/>
    <sheet name="Monthly_Returns" sheetId="2" r:id="rId2"/>
    <sheet name="Asset_Risk_Return" sheetId="3" r:id="rId3"/>
    <sheet name="Returns_Matrix" sheetId="4" r:id="rId4"/>
    <sheet name="Correlation" sheetId="7" r:id="rId5"/>
    <sheet name="RISK ANALYSIS" sheetId="9" r:id="rId6"/>
    <sheet name="Portfolio_Analysis" sheetId="5" r:id="rId7"/>
    <sheet name="Dashboard" sheetId="6" r:id="rId8"/>
  </sheets>
  <definedNames>
    <definedName name="ExternalData_1" localSheetId="1" hidden="1">Monthly_Returns!$A$7:$C$367</definedName>
    <definedName name="ExternalData_1" localSheetId="0" hidden="1">Raw_Prices!$A$7:$C$367</definedName>
    <definedName name="NativeTimeline_Dates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 a="1"/>
  <c r="D6" i="3" s="1"/>
  <c r="E6" i="3" s="1"/>
  <c r="C6" i="3"/>
  <c r="B5" i="5"/>
  <c r="B15" i="5"/>
  <c r="C15" i="5"/>
  <c r="D15" i="5"/>
  <c r="E15" i="5" s="1"/>
  <c r="J9" i="9"/>
  <c r="K9" i="9" s="1"/>
  <c r="B7" i="5" s="1"/>
  <c r="J7" i="9"/>
  <c r="D67" i="2"/>
  <c r="D127" i="2"/>
  <c r="D187" i="2"/>
  <c r="D247" i="2"/>
  <c r="D307" i="2"/>
  <c r="D367" i="2"/>
  <c r="D66" i="2"/>
  <c r="D126" i="2"/>
  <c r="D186" i="2"/>
  <c r="D246" i="2"/>
  <c r="D306" i="2"/>
  <c r="D366" i="2"/>
  <c r="D65" i="2"/>
  <c r="D125" i="2"/>
  <c r="D185" i="2"/>
  <c r="D245" i="2"/>
  <c r="D305" i="2"/>
  <c r="D365" i="2"/>
  <c r="D64" i="2"/>
  <c r="D124" i="2"/>
  <c r="D184" i="2"/>
  <c r="D244" i="2"/>
  <c r="D304" i="2"/>
  <c r="D364" i="2"/>
  <c r="D63" i="2"/>
  <c r="D123" i="2"/>
  <c r="D183" i="2"/>
  <c r="D243" i="2"/>
  <c r="D303" i="2"/>
  <c r="D363" i="2"/>
  <c r="D62" i="2"/>
  <c r="D122" i="2"/>
  <c r="D182" i="2"/>
  <c r="D242" i="2"/>
  <c r="D302" i="2"/>
  <c r="D362" i="2"/>
  <c r="D61" i="2"/>
  <c r="D121" i="2"/>
  <c r="D181" i="2"/>
  <c r="D241" i="2"/>
  <c r="D301" i="2"/>
  <c r="D361" i="2"/>
  <c r="D60" i="2"/>
  <c r="D120" i="2"/>
  <c r="D180" i="2"/>
  <c r="D240" i="2"/>
  <c r="D300" i="2"/>
  <c r="D360" i="2"/>
  <c r="D59" i="2"/>
  <c r="D119" i="2"/>
  <c r="D179" i="2"/>
  <c r="D239" i="2"/>
  <c r="D299" i="2"/>
  <c r="D359" i="2"/>
  <c r="D58" i="2"/>
  <c r="D118" i="2"/>
  <c r="D178" i="2"/>
  <c r="D238" i="2"/>
  <c r="D298" i="2"/>
  <c r="D358" i="2"/>
  <c r="D57" i="2"/>
  <c r="D117" i="2"/>
  <c r="D177" i="2"/>
  <c r="D237" i="2"/>
  <c r="D297" i="2"/>
  <c r="D357" i="2"/>
  <c r="D56" i="2"/>
  <c r="D116" i="2"/>
  <c r="D176" i="2"/>
  <c r="D236" i="2"/>
  <c r="D296" i="2"/>
  <c r="D356" i="2"/>
  <c r="D55" i="2"/>
  <c r="D115" i="2"/>
  <c r="D175" i="2"/>
  <c r="D235" i="2"/>
  <c r="D295" i="2"/>
  <c r="D355" i="2"/>
  <c r="D54" i="2"/>
  <c r="D114" i="2"/>
  <c r="D174" i="2"/>
  <c r="D234" i="2"/>
  <c r="D294" i="2"/>
  <c r="D354" i="2"/>
  <c r="D53" i="2"/>
  <c r="D113" i="2"/>
  <c r="D173" i="2"/>
  <c r="D233" i="2"/>
  <c r="D293" i="2"/>
  <c r="D353" i="2"/>
  <c r="D52" i="2"/>
  <c r="D112" i="2"/>
  <c r="D172" i="2"/>
  <c r="D232" i="2"/>
  <c r="D292" i="2"/>
  <c r="D352" i="2"/>
  <c r="D51" i="2"/>
  <c r="D111" i="2"/>
  <c r="D171" i="2"/>
  <c r="D231" i="2"/>
  <c r="D291" i="2"/>
  <c r="D351" i="2"/>
  <c r="D50" i="2"/>
  <c r="D110" i="2"/>
  <c r="D170" i="2"/>
  <c r="D230" i="2"/>
  <c r="D290" i="2"/>
  <c r="D350" i="2"/>
  <c r="D49" i="2"/>
  <c r="D109" i="2"/>
  <c r="D169" i="2"/>
  <c r="D229" i="2"/>
  <c r="D289" i="2"/>
  <c r="D349" i="2"/>
  <c r="D48" i="2"/>
  <c r="D108" i="2"/>
  <c r="D168" i="2"/>
  <c r="D228" i="2"/>
  <c r="D288" i="2"/>
  <c r="D348" i="2"/>
  <c r="D47" i="2"/>
  <c r="D107" i="2"/>
  <c r="D167" i="2"/>
  <c r="D227" i="2"/>
  <c r="D287" i="2"/>
  <c r="D347" i="2"/>
  <c r="D46" i="2"/>
  <c r="D106" i="2"/>
  <c r="D166" i="2"/>
  <c r="D226" i="2"/>
  <c r="D286" i="2"/>
  <c r="D346" i="2"/>
  <c r="D45" i="2"/>
  <c r="D105" i="2"/>
  <c r="D165" i="2"/>
  <c r="D225" i="2"/>
  <c r="D285" i="2"/>
  <c r="D345" i="2"/>
  <c r="D44" i="2"/>
  <c r="D104" i="2"/>
  <c r="D164" i="2"/>
  <c r="D224" i="2"/>
  <c r="D284" i="2"/>
  <c r="D344" i="2"/>
  <c r="D43" i="2"/>
  <c r="D103" i="2"/>
  <c r="D163" i="2"/>
  <c r="D223" i="2"/>
  <c r="D283" i="2"/>
  <c r="D343" i="2"/>
  <c r="D42" i="2"/>
  <c r="D102" i="2"/>
  <c r="D162" i="2"/>
  <c r="D222" i="2"/>
  <c r="D282" i="2"/>
  <c r="D342" i="2"/>
  <c r="D41" i="2"/>
  <c r="D101" i="2"/>
  <c r="D161" i="2"/>
  <c r="D221" i="2"/>
  <c r="D281" i="2"/>
  <c r="D341" i="2"/>
  <c r="D40" i="2"/>
  <c r="D100" i="2"/>
  <c r="D160" i="2"/>
  <c r="D220" i="2"/>
  <c r="D280" i="2"/>
  <c r="D340" i="2"/>
  <c r="D39" i="2"/>
  <c r="D99" i="2"/>
  <c r="D159" i="2"/>
  <c r="D219" i="2"/>
  <c r="D279" i="2"/>
  <c r="D339" i="2"/>
  <c r="D38" i="2"/>
  <c r="D98" i="2"/>
  <c r="D158" i="2"/>
  <c r="D218" i="2"/>
  <c r="D278" i="2"/>
  <c r="D338" i="2"/>
  <c r="D37" i="2"/>
  <c r="D97" i="2"/>
  <c r="D157" i="2"/>
  <c r="D217" i="2"/>
  <c r="D277" i="2"/>
  <c r="D337" i="2"/>
  <c r="D36" i="2"/>
  <c r="D96" i="2"/>
  <c r="D156" i="2"/>
  <c r="D216" i="2"/>
  <c r="D276" i="2"/>
  <c r="D336" i="2"/>
  <c r="D35" i="2"/>
  <c r="D95" i="2"/>
  <c r="D155" i="2"/>
  <c r="D215" i="2"/>
  <c r="D275" i="2"/>
  <c r="D335" i="2"/>
  <c r="D34" i="2"/>
  <c r="D94" i="2"/>
  <c r="D154" i="2"/>
  <c r="D214" i="2"/>
  <c r="D274" i="2"/>
  <c r="D334" i="2"/>
  <c r="D33" i="2"/>
  <c r="D93" i="2"/>
  <c r="D153" i="2"/>
  <c r="D213" i="2"/>
  <c r="D273" i="2"/>
  <c r="D333" i="2"/>
  <c r="D32" i="2"/>
  <c r="D92" i="2"/>
  <c r="D152" i="2"/>
  <c r="D212" i="2"/>
  <c r="D272" i="2"/>
  <c r="D332" i="2"/>
  <c r="D31" i="2"/>
  <c r="D91" i="2"/>
  <c r="D151" i="2"/>
  <c r="D211" i="2"/>
  <c r="D271" i="2"/>
  <c r="D331" i="2"/>
  <c r="D30" i="2"/>
  <c r="D90" i="2"/>
  <c r="D150" i="2"/>
  <c r="D210" i="2"/>
  <c r="D270" i="2"/>
  <c r="D330" i="2"/>
  <c r="D29" i="2"/>
  <c r="D89" i="2"/>
  <c r="D149" i="2"/>
  <c r="D209" i="2"/>
  <c r="D269" i="2"/>
  <c r="D329" i="2"/>
  <c r="D28" i="2"/>
  <c r="D88" i="2"/>
  <c r="D148" i="2"/>
  <c r="D208" i="2"/>
  <c r="D268" i="2"/>
  <c r="D328" i="2"/>
  <c r="D27" i="2"/>
  <c r="D87" i="2"/>
  <c r="D147" i="2"/>
  <c r="D207" i="2"/>
  <c r="D267" i="2"/>
  <c r="D327" i="2"/>
  <c r="D26" i="2"/>
  <c r="D86" i="2"/>
  <c r="D146" i="2"/>
  <c r="D206" i="2"/>
  <c r="D266" i="2"/>
  <c r="D326" i="2"/>
  <c r="D25" i="2"/>
  <c r="D85" i="2"/>
  <c r="D145" i="2"/>
  <c r="D205" i="2"/>
  <c r="D265" i="2"/>
  <c r="D325" i="2"/>
  <c r="D24" i="2"/>
  <c r="D84" i="2"/>
  <c r="D144" i="2"/>
  <c r="D204" i="2"/>
  <c r="D264" i="2"/>
  <c r="D324" i="2"/>
  <c r="D23" i="2"/>
  <c r="D83" i="2"/>
  <c r="D143" i="2"/>
  <c r="D203" i="2"/>
  <c r="D263" i="2"/>
  <c r="D323" i="2"/>
  <c r="D22" i="2"/>
  <c r="D82" i="2"/>
  <c r="D142" i="2"/>
  <c r="D202" i="2"/>
  <c r="D262" i="2"/>
  <c r="D322" i="2"/>
  <c r="D21" i="2"/>
  <c r="D81" i="2"/>
  <c r="D141" i="2"/>
  <c r="D201" i="2"/>
  <c r="D261" i="2"/>
  <c r="D321" i="2"/>
  <c r="D20" i="2"/>
  <c r="D80" i="2"/>
  <c r="D140" i="2"/>
  <c r="D200" i="2"/>
  <c r="D260" i="2"/>
  <c r="D320" i="2"/>
  <c r="D19" i="2"/>
  <c r="D79" i="2"/>
  <c r="D139" i="2"/>
  <c r="D199" i="2"/>
  <c r="D259" i="2"/>
  <c r="D319" i="2"/>
  <c r="D18" i="2"/>
  <c r="D78" i="2"/>
  <c r="D138" i="2"/>
  <c r="D198" i="2"/>
  <c r="D258" i="2"/>
  <c r="D318" i="2"/>
  <c r="D17" i="2"/>
  <c r="D77" i="2"/>
  <c r="D137" i="2"/>
  <c r="D197" i="2"/>
  <c r="D257" i="2"/>
  <c r="D317" i="2"/>
  <c r="D16" i="2"/>
  <c r="D76" i="2"/>
  <c r="D136" i="2"/>
  <c r="D196" i="2"/>
  <c r="D256" i="2"/>
  <c r="D316" i="2"/>
  <c r="D15" i="2"/>
  <c r="D75" i="2"/>
  <c r="D135" i="2"/>
  <c r="D195" i="2"/>
  <c r="D255" i="2"/>
  <c r="D315" i="2"/>
  <c r="D14" i="2"/>
  <c r="D74" i="2"/>
  <c r="D134" i="2"/>
  <c r="D194" i="2"/>
  <c r="D254" i="2"/>
  <c r="D314" i="2"/>
  <c r="D13" i="2"/>
  <c r="D73" i="2"/>
  <c r="D133" i="2"/>
  <c r="D193" i="2"/>
  <c r="D253" i="2"/>
  <c r="D313" i="2"/>
  <c r="D12" i="2"/>
  <c r="D72" i="2"/>
  <c r="D132" i="2"/>
  <c r="D192" i="2"/>
  <c r="D252" i="2"/>
  <c r="D312" i="2"/>
  <c r="D11" i="2"/>
  <c r="D71" i="2"/>
  <c r="D131" i="2"/>
  <c r="D191" i="2"/>
  <c r="D251" i="2"/>
  <c r="D311" i="2"/>
  <c r="D10" i="2"/>
  <c r="D70" i="2"/>
  <c r="D130" i="2"/>
  <c r="D190" i="2"/>
  <c r="D250" i="2"/>
  <c r="D310" i="2"/>
  <c r="D9" i="2"/>
  <c r="D69" i="2"/>
  <c r="D129" i="2"/>
  <c r="D189" i="2"/>
  <c r="D249" i="2"/>
  <c r="D309" i="2"/>
  <c r="D8" i="2"/>
  <c r="D68" i="2"/>
  <c r="D128" i="2"/>
  <c r="C8" i="3" s="1"/>
  <c r="D188" i="2"/>
  <c r="D248" i="2"/>
  <c r="D308" i="2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I23" i="6"/>
  <c r="I24" i="6"/>
  <c r="I25" i="6"/>
  <c r="I26" i="6"/>
  <c r="I27" i="6"/>
  <c r="I28" i="6"/>
  <c r="E24" i="6"/>
  <c r="F24" i="6"/>
  <c r="G24" i="6"/>
  <c r="H24" i="6"/>
  <c r="E25" i="6"/>
  <c r="F25" i="6"/>
  <c r="G25" i="6"/>
  <c r="H25" i="6"/>
  <c r="E26" i="6"/>
  <c r="F26" i="6"/>
  <c r="G26" i="6"/>
  <c r="H26" i="6"/>
  <c r="E27" i="6"/>
  <c r="F27" i="6"/>
  <c r="G27" i="6"/>
  <c r="H27" i="6"/>
  <c r="E28" i="6"/>
  <c r="F28" i="6"/>
  <c r="G28" i="6"/>
  <c r="H28" i="6"/>
  <c r="D28" i="6"/>
  <c r="D27" i="6"/>
  <c r="D26" i="6"/>
  <c r="D25" i="6"/>
  <c r="D24" i="6"/>
  <c r="D23" i="6"/>
  <c r="E23" i="6"/>
  <c r="F23" i="6"/>
  <c r="G23" i="6"/>
  <c r="H23" i="6"/>
  <c r="B10" i="7"/>
  <c r="B8" i="7"/>
  <c r="B7" i="7"/>
  <c r="H7" i="5" a="1"/>
  <c r="H7" i="5" s="1"/>
  <c r="I15" i="5"/>
  <c r="J15" i="5" s="1"/>
  <c r="I18" i="5"/>
  <c r="J18" i="5" s="1"/>
  <c r="E12" i="7"/>
  <c r="I17" i="5"/>
  <c r="J17" i="5" s="1"/>
  <c r="D11" i="7"/>
  <c r="I16" i="5"/>
  <c r="J16" i="5" s="1"/>
  <c r="C11" i="7"/>
  <c r="B11" i="7"/>
  <c r="B20" i="5"/>
  <c r="B19" i="5"/>
  <c r="B18" i="5"/>
  <c r="B17" i="5"/>
  <c r="B16" i="5"/>
  <c r="J12" i="9"/>
  <c r="K12" i="9" s="1"/>
  <c r="B10" i="5" s="1"/>
  <c r="J11" i="9"/>
  <c r="K11" i="9" s="1"/>
  <c r="B9" i="5" s="1"/>
  <c r="J10" i="9"/>
  <c r="K10" i="9" s="1"/>
  <c r="B8" i="5" s="1"/>
  <c r="J8" i="9"/>
  <c r="K8" i="9" s="1"/>
  <c r="B6" i="5" s="1"/>
  <c r="C12" i="7"/>
  <c r="D12" i="7"/>
  <c r="F12" i="7"/>
  <c r="G12" i="7"/>
  <c r="B12" i="7"/>
  <c r="C10" i="7"/>
  <c r="D10" i="7"/>
  <c r="E10" i="7"/>
  <c r="F10" i="7"/>
  <c r="G10" i="7"/>
  <c r="C9" i="7"/>
  <c r="D9" i="7"/>
  <c r="E9" i="7"/>
  <c r="F9" i="7"/>
  <c r="G9" i="7"/>
  <c r="B9" i="7"/>
  <c r="C8" i="7"/>
  <c r="D8" i="7"/>
  <c r="E8" i="7"/>
  <c r="F8" i="7"/>
  <c r="G8" i="7"/>
  <c r="C7" i="7"/>
  <c r="D7" i="7"/>
  <c r="E7" i="7"/>
  <c r="F7" i="7"/>
  <c r="G7" i="7"/>
  <c r="E11" i="7"/>
  <c r="F11" i="7"/>
  <c r="G11" i="7"/>
  <c r="C5" i="5" l="1"/>
  <c r="C18" i="5"/>
  <c r="D18" i="5" s="1"/>
  <c r="E18" i="5" s="1"/>
  <c r="K7" i="9"/>
  <c r="C9" i="5"/>
  <c r="C10" i="5"/>
  <c r="C16" i="5"/>
  <c r="D16" i="5" s="1"/>
  <c r="E16" i="5" s="1"/>
  <c r="C6" i="5"/>
  <c r="C7" i="5"/>
  <c r="C8" i="5"/>
  <c r="S6" i="9"/>
  <c r="L7" i="9" s="1"/>
  <c r="C20" i="5"/>
  <c r="D20" i="5" s="1"/>
  <c r="E20" i="5" s="1"/>
  <c r="C17" i="5"/>
  <c r="D17" i="5" s="1"/>
  <c r="E17" i="5" s="1"/>
  <c r="C19" i="5"/>
  <c r="D19" i="5" s="1"/>
  <c r="E19" i="5" s="1"/>
  <c r="C7" i="3"/>
  <c r="D11" i="3" a="1"/>
  <c r="D11" i="3" s="1"/>
  <c r="E11" i="3" s="1"/>
  <c r="C11" i="3"/>
  <c r="C9" i="3"/>
  <c r="C10" i="3"/>
  <c r="D10" i="3" a="1"/>
  <c r="D10" i="3" s="1"/>
  <c r="E10" i="3" s="1"/>
  <c r="D7" i="3" a="1"/>
  <c r="D7" i="3" s="1"/>
  <c r="E7" i="3" s="1"/>
  <c r="D8" i="3" a="1"/>
  <c r="D8" i="3" s="1"/>
  <c r="E8" i="3" s="1"/>
  <c r="D9" i="3" a="1"/>
  <c r="D9" i="3" s="1"/>
  <c r="E9" i="3" s="1"/>
  <c r="S7" i="9"/>
  <c r="L9" i="9" l="1"/>
  <c r="H6" i="5"/>
  <c r="L10" i="9"/>
  <c r="H5" i="5"/>
  <c r="H8" i="5" s="1"/>
  <c r="L12" i="9"/>
  <c r="L8" i="9"/>
  <c r="L1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3388A-591B-44F3-A877-F73DDB9F435E}" keepAlive="1" name="Query - append_data" description="Connection to the 'append_data' query in the workbook." type="5" refreshedVersion="8" background="1" saveData="1">
    <dbPr connection="Provider=Microsoft.Mashup.OleDb.1;Data Source=$Workbook$;Location=append_data;Extended Properties=&quot;&quot;" command="SELECT * FROM [append_data]"/>
  </connection>
  <connection id="2" xr16:uid="{D9FD72B3-67B4-4927-A802-DE18A834D3E1}" keepAlive="1" name="Query - append_data (2)" description="Connection to the 'append_data (2)' query in the workbook." type="5" refreshedVersion="8" background="1" saveData="1">
    <dbPr connection="Provider=Microsoft.Mashup.OleDb.1;Data Source=$Workbook$;Location=&quot;append_data (2)&quot;;Extended Properties=&quot;&quot;" command="SELECT * FROM [append_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<sst xmlns="http://schemas.openxmlformats.org/spreadsheetml/2006/main" count="854" uniqueCount="51">
  <si>
    <t>Dates</t>
  </si>
  <si>
    <t>Asset</t>
  </si>
  <si>
    <t>Price</t>
  </si>
  <si>
    <t>TCS</t>
  </si>
  <si>
    <t>NIFTY50</t>
  </si>
  <si>
    <t>ITC</t>
  </si>
  <si>
    <t>HDFCBANK</t>
  </si>
  <si>
    <t>GoldBeES</t>
  </si>
  <si>
    <t>Debt_Fund</t>
  </si>
  <si>
    <t>Monthly_Return</t>
  </si>
  <si>
    <t>Avg Monthly Return</t>
  </si>
  <si>
    <t>Risk (Std Dev)</t>
  </si>
  <si>
    <t xml:space="preserve">ASSETS </t>
  </si>
  <si>
    <t>Average of Monthly_Return</t>
  </si>
  <si>
    <t>Monthly Volatility</t>
  </si>
  <si>
    <t>Annual Volatility</t>
  </si>
  <si>
    <t>Risk Category</t>
  </si>
  <si>
    <t>Low_Max</t>
  </si>
  <si>
    <t>Medium_Max</t>
  </si>
  <si>
    <t xml:space="preserve">Asset   </t>
  </si>
  <si>
    <t>Avg Annual Return</t>
  </si>
  <si>
    <t>Asset_01</t>
  </si>
  <si>
    <t>Asset_02</t>
  </si>
  <si>
    <t xml:space="preserve">Correlation </t>
  </si>
  <si>
    <t>Interpretation</t>
  </si>
  <si>
    <t>Weight</t>
  </si>
  <si>
    <t xml:space="preserve">Metric                  </t>
  </si>
  <si>
    <t>Value</t>
  </si>
  <si>
    <t>Expected Annual Return</t>
  </si>
  <si>
    <t xml:space="preserve">Portfolio Risk Level </t>
  </si>
  <si>
    <t>Benchmark (NIFTY50)</t>
  </si>
  <si>
    <t xml:space="preserve">Outperformance Status   </t>
  </si>
  <si>
    <t>Weighted Volatility</t>
  </si>
  <si>
    <t>Column1</t>
  </si>
  <si>
    <t>Risk Score</t>
  </si>
  <si>
    <t>Year</t>
  </si>
  <si>
    <t>Month</t>
  </si>
  <si>
    <t>Grand Total</t>
  </si>
  <si>
    <t>Average of Price</t>
  </si>
  <si>
    <t>Check</t>
  </si>
  <si>
    <t>ASSET *ASSET</t>
  </si>
  <si>
    <t>COLOR</t>
  </si>
  <si>
    <t>MEANING</t>
  </si>
  <si>
    <t xml:space="preserve">Green </t>
  </si>
  <si>
    <t>White</t>
  </si>
  <si>
    <t>Red</t>
  </si>
  <si>
    <t>Strong Positive</t>
  </si>
  <si>
    <t>Neutral</t>
  </si>
  <si>
    <t>Negative</t>
  </si>
  <si>
    <t>Criteria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</si>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</sst>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1"/>
      <name val="Impact"/>
      <family val="2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rgb="FFFFFFFF"/>
      <name val="Impact"/>
      <family val="2"/>
    </font>
    <font>
      <b/>
      <sz val="12"/>
      <color rgb="FFFFFFFF"/>
      <name val="Calibri"/>
      <family val="2"/>
      <scheme val="minor"/>
    </font>
    <font>
      <b/>
      <sz val="14"/>
      <color theme="1"/>
      <name val="Arial Black"/>
      <family val="2"/>
    </font>
    <font>
      <sz val="11"/>
      <color theme="1"/>
      <name val="Arial Black"/>
      <family val="2"/>
    </font>
    <font>
      <b/>
      <sz val="12"/>
      <name val="Calibri"/>
      <family val="2"/>
      <scheme val="minor"/>
    </font>
    <font>
      <b/>
      <sz val="12"/>
      <color theme="1"/>
      <name val="Arial Black"/>
      <family val="2"/>
    </font>
    <font>
      <b/>
      <sz val="13"/>
      <color theme="1"/>
      <name val="Calibri"/>
      <family val="2"/>
      <scheme val="minor"/>
    </font>
    <font>
      <sz val="13"/>
      <color theme="1"/>
      <name val="Arial Rounded MT Bold"/>
      <family val="2"/>
    </font>
    <font>
      <sz val="14"/>
      <color theme="1"/>
      <name val="Arial Black"/>
      <family val="2"/>
    </font>
    <font>
      <sz val="13"/>
      <color theme="1"/>
      <name val="Arial Black"/>
      <family val="2"/>
    </font>
    <font>
      <b/>
      <sz val="13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2" fontId="10" fillId="0" borderId="0" xfId="0" applyNumberFormat="1" applyFont="1"/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6" fillId="0" borderId="0" xfId="0" applyFont="1"/>
    <xf numFmtId="0" fontId="4" fillId="0" borderId="0" xfId="0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/>
    <xf numFmtId="0" fontId="7" fillId="0" borderId="0" xfId="0" applyFont="1"/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pivotButton="1" applyFont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0" fillId="4" borderId="0" xfId="0" applyFill="1"/>
    <xf numFmtId="10" fontId="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0" fillId="0" borderId="1" xfId="0" pivotButton="1" applyBorder="1"/>
    <xf numFmtId="0" fontId="0" fillId="0" borderId="2" xfId="0" pivotButton="1" applyBorder="1"/>
    <xf numFmtId="0" fontId="0" fillId="0" borderId="2" xfId="0" applyBorder="1"/>
    <xf numFmtId="0" fontId="0" fillId="0" borderId="3" xfId="0" applyBorder="1"/>
    <xf numFmtId="0" fontId="0" fillId="0" borderId="4" xfId="0" pivotButton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0" fillId="6" borderId="0" xfId="0" applyFill="1"/>
    <xf numFmtId="10" fontId="0" fillId="6" borderId="0" xfId="0" applyNumberFormat="1" applyFill="1" applyAlignment="1">
      <alignment horizontal="center"/>
    </xf>
    <xf numFmtId="10" fontId="0" fillId="6" borderId="0" xfId="0" applyNumberForma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246">
    <dxf>
      <font>
        <color rgb="FF00B05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ont>
        <b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</font>
      <numFmt numFmtId="14" formatCode="0.0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numFmt numFmtId="14" formatCode="0.0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13" formatCode="0%"/>
      <alignment horizontal="center" vertical="center" textRotation="0" wrapText="0" indent="0" justifyLastLine="0" shrinkToFit="0" readingOrder="0"/>
    </dxf>
    <dxf>
      <font>
        <b/>
      </font>
      <numFmt numFmtId="14" formatCode="0.0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</dxf>
    <dxf>
      <font>
        <strike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</dxf>
    <dxf>
      <font>
        <b/>
      </font>
      <alignment horizontal="center" vertical="center" textRotation="0" indent="0" justifyLastLine="0" shrinkToFit="0" readingOrder="0"/>
    </dxf>
    <dxf>
      <font>
        <b/>
      </font>
      <alignment horizontal="center" vertical="center" textRotation="0" indent="0" justifyLastLine="0" shrinkToFit="0" readingOrder="0"/>
    </dxf>
    <dxf>
      <font>
        <b/>
      </font>
      <numFmt numFmtId="14" formatCode="0.00%"/>
      <alignment horizontal="center" vertical="center" textRotation="0" indent="0" justifyLastLine="0" shrinkToFit="0" readingOrder="0"/>
    </dxf>
    <dxf>
      <font>
        <b/>
      </font>
      <numFmt numFmtId="14" formatCode="0.00%"/>
      <alignment horizontal="center" vertical="center" textRotation="0" indent="0" justifyLastLine="0" shrinkToFit="0" readingOrder="0"/>
    </dxf>
    <dxf>
      <font>
        <b/>
      </font>
      <alignment horizontal="center" vertical="center" textRotation="0" indent="0" justifyLastLine="0" shrinkToFit="0" readingOrder="0"/>
    </dxf>
    <dxf>
      <font>
        <b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 Black"/>
        <family val="2"/>
        <scheme val="none"/>
      </font>
      <alignment horizontal="center" vertical="center" textRotation="0" indent="0" justifyLastLine="0" shrinkToFit="0" readingOrder="0"/>
    </dxf>
    <dxf>
      <numFmt numFmtId="14" formatCode="0.00%"/>
    </dxf>
    <dxf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4" formatCode="0.00%"/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4" formatCode="0.00%"/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u val="none"/>
        <vertAlign val="baseline"/>
        <sz val="13"/>
        <color theme="1"/>
        <name val="Arial Rounded MT Bold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 Rounded MT Bold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 Rounded MT Bold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 Rounded MT Bold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 Rounded MT Bold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Arial Rounded MT Bold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  <sz val="12"/>
      </font>
    </dxf>
    <dxf>
      <font>
        <b/>
        <sz val="12"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z val="12"/>
      </font>
    </dxf>
    <dxf>
      <font>
        <b/>
        <sz val="12"/>
      </font>
    </dxf>
    <dxf>
      <font>
        <b/>
        <sz val="12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2" defaultPivotStyle="PivotStyleLight16"/>
  <colors>
    <mruColors>
      <color rgb="FF73F070"/>
      <color rgb="FF00FFFF"/>
      <color rgb="FFFFFFFF"/>
      <color rgb="FF8C8888"/>
      <color rgb="FF3333FF"/>
      <color rgb="FF03DCED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ASSET RISK–RETURN </a:t>
            </a:r>
          </a:p>
        </c:rich>
      </c:tx>
      <c:layout>
        <c:manualLayout>
          <c:xMode val="edge"/>
          <c:yMode val="edge"/>
          <c:x val="0.34390521344689817"/>
          <c:y val="6.6526315789473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Asset_Risk_Return!$D$5</c:f>
              <c:strCache>
                <c:ptCount val="1"/>
                <c:pt idx="0">
                  <c:v>Risk (Std Dev)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Asset_Risk_Return!$B$6:$B$11</c:f>
              <c:strCache>
                <c:ptCount val="6"/>
                <c:pt idx="0">
                  <c:v>Debt_Fund</c:v>
                </c:pt>
                <c:pt idx="1">
                  <c:v>GoldBeES</c:v>
                </c:pt>
                <c:pt idx="2">
                  <c:v>HDFCBANK</c:v>
                </c:pt>
                <c:pt idx="3">
                  <c:v>ITC</c:v>
                </c:pt>
                <c:pt idx="4">
                  <c:v>NIFTY50</c:v>
                </c:pt>
                <c:pt idx="5">
                  <c:v>TCS</c:v>
                </c:pt>
              </c:strCache>
            </c:strRef>
          </c:cat>
          <c:val>
            <c:numRef>
              <c:f>Asset_Risk_Return!$D$6:$D$11</c:f>
              <c:numCache>
                <c:formatCode>0.00%</c:formatCode>
                <c:ptCount val="6"/>
                <c:pt idx="0">
                  <c:v>6.7702959203976929E-3</c:v>
                </c:pt>
                <c:pt idx="1">
                  <c:v>4.1972858072973664E-2</c:v>
                </c:pt>
                <c:pt idx="2">
                  <c:v>7.2919616765178441E-2</c:v>
                </c:pt>
                <c:pt idx="3">
                  <c:v>6.8904343847184552E-2</c:v>
                </c:pt>
                <c:pt idx="4">
                  <c:v>5.459361928166586E-2</c:v>
                </c:pt>
                <c:pt idx="5">
                  <c:v>6.1886072437675341E-2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3-4277-B7A8-C8EB316727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76399615"/>
        <c:axId val="1476402975"/>
        <c:axId val="0"/>
      </c:bar3DChart>
      <c:catAx>
        <c:axId val="14763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402975"/>
        <c:crosses val="autoZero"/>
        <c:auto val="1"/>
        <c:lblAlgn val="ctr"/>
        <c:lblOffset val="100"/>
        <c:noMultiLvlLbl val="0"/>
      </c:catAx>
      <c:valAx>
        <c:axId val="147640297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7639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409009594895701"/>
          <c:y val="2.487457436567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'RISK ANALYSIS'!$K$6</c:f>
              <c:strCache>
                <c:ptCount val="1"/>
                <c:pt idx="0">
                  <c:v>Annual Volatility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495-47FF-871B-55CFE10E072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495-47FF-871B-55CFE10E072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495-47FF-871B-55CFE10E072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495-47FF-871B-55CFE10E0725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495-47FF-871B-55CFE10E0725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495-47FF-871B-55CFE10E0725}"/>
              </c:ext>
            </c:extLst>
          </c:dPt>
          <c:cat>
            <c:strRef>
              <c:f>'RISK ANALYSIS'!$I$7:$I$12</c:f>
              <c:strCache>
                <c:ptCount val="6"/>
                <c:pt idx="0">
                  <c:v>Debt_Fund</c:v>
                </c:pt>
                <c:pt idx="1">
                  <c:v>GoldBeES</c:v>
                </c:pt>
                <c:pt idx="2">
                  <c:v>HDFCBANK</c:v>
                </c:pt>
                <c:pt idx="3">
                  <c:v>ITC</c:v>
                </c:pt>
                <c:pt idx="4">
                  <c:v>NIFTY50</c:v>
                </c:pt>
                <c:pt idx="5">
                  <c:v>TCS</c:v>
                </c:pt>
              </c:strCache>
            </c:strRef>
          </c:cat>
          <c:val>
            <c:numRef>
              <c:f>'RISK ANALYSIS'!$K$7:$K$12</c:f>
              <c:numCache>
                <c:formatCode>0.00%</c:formatCode>
                <c:ptCount val="6"/>
                <c:pt idx="0">
                  <c:v>2.3452993032810197E-2</c:v>
                </c:pt>
                <c:pt idx="1">
                  <c:v>0.1453982454425358</c:v>
                </c:pt>
                <c:pt idx="2">
                  <c:v>0.25260096221148071</c:v>
                </c:pt>
                <c:pt idx="3">
                  <c:v>0.23869164881103919</c:v>
                </c:pt>
                <c:pt idx="4">
                  <c:v>0.18911784472983437</c:v>
                </c:pt>
                <c:pt idx="5">
                  <c:v>0.2143796434858832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2-4694-88DF-9798F6A69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6994912"/>
        <c:axId val="1556995392"/>
        <c:axId val="0"/>
      </c:bar3DChart>
      <c:catAx>
        <c:axId val="15569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95392"/>
        <c:crosses val="autoZero"/>
        <c:auto val="1"/>
        <c:lblAlgn val="ctr"/>
        <c:lblOffset val="100"/>
        <c:noMultiLvlLbl val="0"/>
      </c:catAx>
      <c:valAx>
        <c:axId val="15569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9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Portfolio_Analysis!$C$45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Portfolio_Analysis!$B$4</c:f>
              <c:strCache>
                <c:ptCount val="1"/>
                <c:pt idx="0">
                  <c:v>Weight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6E-4FF8-ADA1-158C0D73EA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6E-4FF8-ADA1-158C0D73EAD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6E-4FF8-ADA1-158C0D73EAD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6E-4FF8-ADA1-158C0D73EAD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D6E-4FF8-ADA1-158C0D73EAD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D6E-4FF8-ADA1-158C0D73EADA}"/>
              </c:ext>
            </c:extLst>
          </c:dPt>
          <c:dLbls>
            <c:dLbl>
              <c:idx val="0"/>
              <c:layout>
                <c:manualLayout>
                  <c:x val="9.0277777777777679E-2"/>
                  <c:y val="-0.1342592592592592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6E-4FF8-ADA1-158C0D73EADA}"/>
                </c:ext>
              </c:extLst>
            </c:dLbl>
            <c:dLbl>
              <c:idx val="1"/>
              <c:layout>
                <c:manualLayout>
                  <c:x val="0.13472222222222224"/>
                  <c:y val="6.01851851851851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6E-4FF8-ADA1-158C0D73EADA}"/>
                </c:ext>
              </c:extLst>
            </c:dLbl>
            <c:dLbl>
              <c:idx val="2"/>
              <c:layout>
                <c:manualLayout>
                  <c:x val="-1.1111111111111162E-2"/>
                  <c:y val="9.259259259259258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6E-4FF8-ADA1-158C0D73EADA}"/>
                </c:ext>
              </c:extLst>
            </c:dLbl>
            <c:dLbl>
              <c:idx val="3"/>
              <c:layout>
                <c:manualLayout>
                  <c:x val="-0.17777777777777778"/>
                  <c:y val="-2.314814814814814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6E-4FF8-ADA1-158C0D73EADA}"/>
                </c:ext>
              </c:extLst>
            </c:dLbl>
            <c:dLbl>
              <c:idx val="4"/>
              <c:layout>
                <c:manualLayout>
                  <c:x val="-0.14166666666666669"/>
                  <c:y val="-8.4875562720133283E-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6E-4FF8-ADA1-158C0D73EADA}"/>
                </c:ext>
              </c:extLst>
            </c:dLbl>
            <c:dLbl>
              <c:idx val="5"/>
              <c:layout>
                <c:manualLayout>
                  <c:x val="-0.10277777777777779"/>
                  <c:y val="-7.63888888888889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D6E-4FF8-ADA1-158C0D73EA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Portfolio_Analysis!$A$5:$A$10</c:f>
              <c:strCache>
                <c:ptCount val="6"/>
                <c:pt idx="0">
                  <c:v>Debt_Fund</c:v>
                </c:pt>
                <c:pt idx="1">
                  <c:v>GoldBeES</c:v>
                </c:pt>
                <c:pt idx="2">
                  <c:v>HDFCBANK</c:v>
                </c:pt>
                <c:pt idx="3">
                  <c:v>ITC</c:v>
                </c:pt>
                <c:pt idx="4">
                  <c:v>NIFTY50</c:v>
                </c:pt>
                <c:pt idx="5">
                  <c:v>TCS</c:v>
                </c:pt>
              </c:strCache>
            </c:strRef>
          </c:cat>
          <c:val>
            <c:numRef>
              <c:f>Portfolio_Analysis!$B$5:$B$10</c:f>
              <c:numCache>
                <c:formatCode>0.00%</c:formatCode>
                <c:ptCount val="6"/>
                <c:pt idx="0">
                  <c:v>0.25309401393437958</c:v>
                </c:pt>
                <c:pt idx="1">
                  <c:v>0.18640116970497611</c:v>
                </c:pt>
                <c:pt idx="2">
                  <c:v>9.7399037788519299E-2</c:v>
                </c:pt>
                <c:pt idx="3">
                  <c:v>0.11130835118896082</c:v>
                </c:pt>
                <c:pt idx="4">
                  <c:v>0.15725477018011041</c:v>
                </c:pt>
                <c:pt idx="5">
                  <c:v>0.1356203565141168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6E-4FF8-ADA1-158C0D73EA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Portfolio_Analysis!$C$33</c:f>
          <c:strCache>
            <c:ptCount val="1"/>
          </c:strCache>
        </c:strRef>
      </c:tx>
      <c:layout>
        <c:manualLayout>
          <c:xMode val="edge"/>
          <c:yMode val="edge"/>
          <c:x val="0.3572430008748906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Portfolio_Analysis!$B$14</c:f>
              <c:strCache>
                <c:ptCount val="1"/>
                <c:pt idx="0">
                  <c:v>Avg Annual Return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Portfolio_Analysis!$A$15:$A$20</c:f>
              <c:strCache>
                <c:ptCount val="6"/>
                <c:pt idx="0">
                  <c:v>Debt_Fund</c:v>
                </c:pt>
                <c:pt idx="1">
                  <c:v>GoldBeES</c:v>
                </c:pt>
                <c:pt idx="2">
                  <c:v>HDFCBANK</c:v>
                </c:pt>
                <c:pt idx="3">
                  <c:v>ITC</c:v>
                </c:pt>
                <c:pt idx="4">
                  <c:v>NIFTY50</c:v>
                </c:pt>
                <c:pt idx="5">
                  <c:v>TCS</c:v>
                </c:pt>
              </c:strCache>
            </c:strRef>
          </c:xVal>
          <c:yVal>
            <c:numRef>
              <c:f>Portfolio_Analysis!$B$15:$B$20</c:f>
              <c:numCache>
                <c:formatCode>0.00%</c:formatCode>
                <c:ptCount val="6"/>
                <c:pt idx="0">
                  <c:v>7.0282754355553576E-2</c:v>
                </c:pt>
                <c:pt idx="1">
                  <c:v>0.1277521054485963</c:v>
                </c:pt>
                <c:pt idx="2">
                  <c:v>0.11570072652732172</c:v>
                </c:pt>
                <c:pt idx="3">
                  <c:v>0.22001361145144144</c:v>
                </c:pt>
                <c:pt idx="4">
                  <c:v>0.15771356590159857</c:v>
                </c:pt>
                <c:pt idx="5">
                  <c:v>0.18079157036421728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1-4130-A651-B88F01AE72CA}"/>
            </c:ext>
          </c:extLst>
        </c:ser>
        <c:ser>
          <c:idx val="1"/>
          <c:order val="1"/>
          <c:tx>
            <c:strRef>
              <c:f>Portfolio_Analysis!$C$14</c:f>
              <c:strCache>
                <c:ptCount val="1"/>
                <c:pt idx="0">
                  <c:v>Annual Volatility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1.9444444444444445E-2"/>
                  <c:y val="-1.3888888888888888E-2"/>
                </c:manualLayout>
              </c:layout>
              <c:tx>
                <c:rich>
                  <a:bodyPr/>
                  <a:lstStyle/>
                  <a:p>
                    <a:fld id="{361EF684-3C53-4FAF-95A6-32D6D4D1508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EB36A43-C7F7-4F36-85FA-831EDE79C8B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331-4130-A651-B88F01AE72CA}"/>
                </c:ext>
              </c:extLst>
            </c:dLbl>
            <c:dLbl>
              <c:idx val="1"/>
              <c:layout>
                <c:manualLayout>
                  <c:x val="-0.19444444444444445"/>
                  <c:y val="-0.1481481481481482"/>
                </c:manualLayout>
              </c:layout>
              <c:tx>
                <c:rich>
                  <a:bodyPr/>
                  <a:lstStyle/>
                  <a:p>
                    <a:fld id="{39F852DC-4553-40CF-B466-BA15F9D0222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05F5D7C-16DC-40DD-B0DE-821E3BC3446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331-4130-A651-B88F01AE72CA}"/>
                </c:ext>
              </c:extLst>
            </c:dLbl>
            <c:dLbl>
              <c:idx val="2"/>
              <c:layout>
                <c:manualLayout>
                  <c:x val="-0.17777777777777778"/>
                  <c:y val="-2.7777777777777801E-2"/>
                </c:manualLayout>
              </c:layout>
              <c:tx>
                <c:rich>
                  <a:bodyPr/>
                  <a:lstStyle/>
                  <a:p>
                    <a:fld id="{1F2AE783-1E23-4E31-87A7-DD1980E2197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74DF26E-9756-4BEB-97B4-4C598A53F76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331-4130-A651-B88F01AE72CA}"/>
                </c:ext>
              </c:extLst>
            </c:dLbl>
            <c:dLbl>
              <c:idx val="3"/>
              <c:layout>
                <c:manualLayout>
                  <c:x val="8.3333333333333332E-3"/>
                  <c:y val="-7.870370370370372E-2"/>
                </c:manualLayout>
              </c:layout>
              <c:tx>
                <c:rich>
                  <a:bodyPr/>
                  <a:lstStyle/>
                  <a:p>
                    <a:fld id="{C28D8E03-4888-4FDC-9A7A-8B6806A7B75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51CB9EF-7C2D-454F-885A-812176E6CA9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331-4130-A651-B88F01AE72CA}"/>
                </c:ext>
              </c:extLst>
            </c:dLbl>
            <c:dLbl>
              <c:idx val="4"/>
              <c:layout>
                <c:manualLayout>
                  <c:x val="-4.1666666666666657E-2"/>
                  <c:y val="0.17592592592592593"/>
                </c:manualLayout>
              </c:layout>
              <c:tx>
                <c:rich>
                  <a:bodyPr/>
                  <a:lstStyle/>
                  <a:p>
                    <a:fld id="{066DC11E-6866-4992-A690-5298E4ADDA4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504151B-BCEF-419A-851E-3B99E514E7C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331-4130-A651-B88F01AE72CA}"/>
                </c:ext>
              </c:extLst>
            </c:dLbl>
            <c:dLbl>
              <c:idx val="5"/>
              <c:layout>
                <c:manualLayout>
                  <c:x val="-1.6666666666666767E-2"/>
                  <c:y val="-0.10416666666666666"/>
                </c:manualLayout>
              </c:layout>
              <c:tx>
                <c:rich>
                  <a:bodyPr/>
                  <a:lstStyle/>
                  <a:p>
                    <a:fld id="{1AFA3517-A6C4-4C8B-A26F-1B99AB8304C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B537D26-C59D-4FB0-A31E-BD55480E342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331-4130-A651-B88F01AE72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Portfolio_Analysis!$A$15:$A$20</c:f>
              <c:strCache>
                <c:ptCount val="6"/>
                <c:pt idx="0">
                  <c:v>Debt_Fund</c:v>
                </c:pt>
                <c:pt idx="1">
                  <c:v>GoldBeES</c:v>
                </c:pt>
                <c:pt idx="2">
                  <c:v>HDFCBANK</c:v>
                </c:pt>
                <c:pt idx="3">
                  <c:v>ITC</c:v>
                </c:pt>
                <c:pt idx="4">
                  <c:v>NIFTY50</c:v>
                </c:pt>
                <c:pt idx="5">
                  <c:v>TCS</c:v>
                </c:pt>
              </c:strCache>
            </c:strRef>
          </c:xVal>
          <c:yVal>
            <c:numRef>
              <c:f>Portfolio_Analysis!$C$15:$C$20</c:f>
              <c:numCache>
                <c:formatCode>0.00%</c:formatCode>
                <c:ptCount val="6"/>
                <c:pt idx="0">
                  <c:v>2.3452993032810197E-2</c:v>
                </c:pt>
                <c:pt idx="1">
                  <c:v>0.1453982454425358</c:v>
                </c:pt>
                <c:pt idx="2">
                  <c:v>0.25260096221148071</c:v>
                </c:pt>
                <c:pt idx="3">
                  <c:v>0.23869164881103919</c:v>
                </c:pt>
                <c:pt idx="4">
                  <c:v>0.18911784472983437</c:v>
                </c:pt>
                <c:pt idx="5">
                  <c:v>0.2143796434858832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Portfolio_Analysis!$A$15:$A$20</c15:f>
                <c15:dlblRangeCache>
                  <c:ptCount val="6"/>
                  <c:pt idx="0">
                    <c:v>Debt_Fund</c:v>
                  </c:pt>
                  <c:pt idx="1">
                    <c:v>GoldBeES</c:v>
                  </c:pt>
                  <c:pt idx="2">
                    <c:v>HDFCBANK</c:v>
                  </c:pt>
                  <c:pt idx="3">
                    <c:v>ITC</c:v>
                  </c:pt>
                  <c:pt idx="4">
                    <c:v>NIFTY50</c:v>
                  </c:pt>
                  <c:pt idx="5">
                    <c:v>TCS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331-4130-A651-B88F01AE7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228431"/>
        <c:axId val="2065229391"/>
      </c:scatterChart>
      <c:valAx>
        <c:axId val="206522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229391"/>
        <c:crosses val="autoZero"/>
        <c:crossBetween val="midCat"/>
      </c:valAx>
      <c:valAx>
        <c:axId val="20652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228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Asset Risk Category</a:t>
            </a:r>
          </a:p>
        </c:rich>
      </c:tx>
      <c:layout>
        <c:manualLayout>
          <c:xMode val="edge"/>
          <c:yMode val="edge"/>
          <c:x val="0.2912152230971128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Portfolio_Analysis!$E$14</c:f>
              <c:strCache>
                <c:ptCount val="1"/>
                <c:pt idx="0">
                  <c:v>Risk Score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E08D-426B-9A08-27C377B10F2A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08D-426B-9A08-27C377B10F2A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08D-426B-9A08-27C377B10F2A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08D-426B-9A08-27C377B10F2A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08D-426B-9A08-27C377B10F2A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08D-426B-9A08-27C377B10F2A}"/>
              </c:ext>
            </c:extLst>
          </c:dPt>
          <c:dLbls>
            <c:delete val="1"/>
          </c:dLbls>
          <c:cat>
            <c:strRef>
              <c:f>Portfolio_Analysis!$A$15:$A$20</c:f>
              <c:strCache>
                <c:ptCount val="6"/>
                <c:pt idx="0">
                  <c:v>Debt_Fund</c:v>
                </c:pt>
                <c:pt idx="1">
                  <c:v>GoldBeES</c:v>
                </c:pt>
                <c:pt idx="2">
                  <c:v>HDFCBANK</c:v>
                </c:pt>
                <c:pt idx="3">
                  <c:v>ITC</c:v>
                </c:pt>
                <c:pt idx="4">
                  <c:v>NIFTY50</c:v>
                </c:pt>
                <c:pt idx="5">
                  <c:v>TCS</c:v>
                </c:pt>
              </c:strCache>
            </c:strRef>
          </c:cat>
          <c:val>
            <c:numRef>
              <c:f>Portfolio_Analysis!$E$15:$E$20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E08D-426B-9A08-27C377B10F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41769391"/>
        <c:axId val="441769871"/>
        <c:axId val="0"/>
      </c:bar3DChart>
      <c:catAx>
        <c:axId val="441769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1769871"/>
        <c:crosses val="autoZero"/>
        <c:auto val="1"/>
        <c:lblAlgn val="ctr"/>
        <c:lblOffset val="100"/>
        <c:noMultiLvlLbl val="0"/>
      </c:catAx>
      <c:valAx>
        <c:axId val="44176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6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3DCED"/>
                </a:solidFill>
                <a:effectLst>
                  <a:outerShdw blurRad="50800" dist="38100" dir="5400000" algn="t" rotWithShape="0">
                    <a:srgbClr val="00B0F0">
                      <a:alpha val="4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3DCED"/>
                </a:solidFill>
                <a:effectLst>
                  <a:outerShdw blurRad="50800" dist="38100" dir="5400000" algn="t" rotWithShape="0">
                    <a:srgbClr val="00B0F0">
                      <a:alpha val="40000"/>
                    </a:srgbClr>
                  </a:outerShdw>
                </a:effectLst>
              </a:rPr>
              <a:t>Asset Risk </a:t>
            </a:r>
            <a:r>
              <a:rPr lang="en-US" baseline="0">
                <a:solidFill>
                  <a:srgbClr val="03DCED"/>
                </a:solidFill>
                <a:effectLst>
                  <a:outerShdw blurRad="50800" dist="38100" dir="5400000" algn="t" rotWithShape="0">
                    <a:srgbClr val="00B0F0">
                      <a:alpha val="40000"/>
                    </a:srgbClr>
                  </a:outerShdw>
                </a:effectLst>
              </a:rPr>
              <a:t>Category</a:t>
            </a:r>
          </a:p>
        </c:rich>
      </c:tx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3DCED"/>
              </a:solidFill>
              <a:effectLst>
                <a:outerShdw blurRad="50800" dist="38100" dir="5400000" algn="t" rotWithShape="0">
                  <a:srgbClr val="00B0F0">
                    <a:alpha val="4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959985497200369E-2"/>
          <c:y val="0.15869846780856348"/>
          <c:w val="0.89645364512017134"/>
          <c:h val="0.7117034470055154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Portfolio_Analysis!$E$14</c:f>
              <c:strCache>
                <c:ptCount val="1"/>
                <c:pt idx="0">
                  <c:v>Risk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Portfolio_Analysis!$A$15:$A$20</c:f>
              <c:strCache>
                <c:ptCount val="6"/>
                <c:pt idx="0">
                  <c:v>Debt_Fund</c:v>
                </c:pt>
                <c:pt idx="1">
                  <c:v>GoldBeES</c:v>
                </c:pt>
                <c:pt idx="2">
                  <c:v>HDFCBANK</c:v>
                </c:pt>
                <c:pt idx="3">
                  <c:v>ITC</c:v>
                </c:pt>
                <c:pt idx="4">
                  <c:v>NIFTY50</c:v>
                </c:pt>
                <c:pt idx="5">
                  <c:v>TCS</c:v>
                </c:pt>
              </c:strCache>
            </c:strRef>
          </c:cat>
          <c:val>
            <c:numRef>
              <c:f>Portfolio_Analysis!$E$15:$E$20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F-4678-AEF8-0FA9DD4402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74744528"/>
        <c:axId val="1274745008"/>
        <c:axId val="0"/>
      </c:bar3DChart>
      <c:catAx>
        <c:axId val="12747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accent4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45008"/>
        <c:crosses val="autoZero"/>
        <c:auto val="1"/>
        <c:lblAlgn val="ctr"/>
        <c:lblOffset val="100"/>
        <c:noMultiLvlLbl val="0"/>
      </c:catAx>
      <c:valAx>
        <c:axId val="127474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4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10808</xdr:rowOff>
    </xdr:from>
    <xdr:to>
      <xdr:col>6</xdr:col>
      <xdr:colOff>28574</xdr:colOff>
      <xdr:row>6</xdr:row>
      <xdr:rowOff>42332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3923F1-E8C9-B349-00BC-45113B5F062B}"/>
            </a:ext>
          </a:extLst>
        </xdr:cNvPr>
        <xdr:cNvSpPr txBox="1"/>
      </xdr:nvSpPr>
      <xdr:spPr>
        <a:xfrm>
          <a:off x="0" y="1323141"/>
          <a:ext cx="6950074" cy="687691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Arial Black" panose="020B0A04020102020204" pitchFamily="34" charset="0"/>
            </a:rPr>
            <a:t>Master Dataset </a:t>
          </a:r>
        </a:p>
      </xdr:txBody>
    </xdr:sp>
    <xdr:clientData/>
  </xdr:twoCellAnchor>
  <xdr:twoCellAnchor editAs="oneCell">
    <xdr:from>
      <xdr:col>7</xdr:col>
      <xdr:colOff>27875</xdr:colOff>
      <xdr:row>16</xdr:row>
      <xdr:rowOff>328352</xdr:rowOff>
    </xdr:from>
    <xdr:to>
      <xdr:col>13</xdr:col>
      <xdr:colOff>560663</xdr:colOff>
      <xdr:row>23</xdr:row>
      <xdr:rowOff>202739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9" name="Dates">
              <a:extLst>
                <a:ext uri="{FF2B5EF4-FFF2-40B4-BE49-F238E27FC236}">
                  <a16:creationId xmlns:a16="http://schemas.microsoft.com/office/drawing/2014/main" id="{184C7A70-B8FF-1749-6E63-930492C96E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6438" y="5458437"/>
              <a:ext cx="4761352" cy="22033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14</xdr:col>
      <xdr:colOff>1145802</xdr:colOff>
      <xdr:row>6</xdr:row>
      <xdr:rowOff>5203</xdr:rowOff>
    </xdr:from>
    <xdr:to>
      <xdr:col>19</xdr:col>
      <xdr:colOff>1137633</xdr:colOff>
      <xdr:row>28</xdr:row>
      <xdr:rowOff>45807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357A45A-2558-F12B-A32E-438BA06F27D4}"/>
            </a:ext>
          </a:extLst>
        </xdr:cNvPr>
        <xdr:cNvSpPr txBox="1"/>
      </xdr:nvSpPr>
      <xdr:spPr>
        <a:xfrm>
          <a:off x="13981746" y="2001428"/>
          <a:ext cx="5733662" cy="7081055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                                </a:t>
          </a:r>
          <a:r>
            <a:rPr lang="en-IN" sz="1400" b="1"/>
            <a:t>RAW PRICE DATA – SHEET DESCRIPTION</a:t>
          </a:r>
        </a:p>
        <a:p>
          <a:endParaRPr lang="en-IN" sz="1600"/>
        </a:p>
        <a:p>
          <a:pPr algn="l"/>
          <a:r>
            <a:rPr lang="en-IN" sz="1600" b="1" u="sng">
              <a:solidFill>
                <a:srgbClr val="FFFFFF"/>
              </a:solidFill>
            </a:rPr>
            <a:t>Purpose of this Sheet</a:t>
          </a:r>
          <a:br>
            <a:rPr lang="en-IN"/>
          </a:br>
          <a:r>
            <a:rPr lang="en-IN" sz="1300" b="1"/>
            <a:t>This sheet contains the historical monthly price / NAV data for all assets used in the portfolio analysis. It serves as the primary input (source data) for calculating returns, volatility, correlation, and portfolio performance.</a:t>
          </a:r>
        </a:p>
        <a:p>
          <a:endParaRPr lang="en-IN" b="0"/>
        </a:p>
        <a:p>
          <a:r>
            <a:rPr lang="en-IN" sz="1600" b="1" u="sng">
              <a:solidFill>
                <a:srgbClr val="FFFFFF"/>
              </a:solidFill>
            </a:rPr>
            <a:t>Data Structure</a:t>
          </a:r>
        </a:p>
        <a:p>
          <a:r>
            <a:rPr lang="en-IN" sz="1300" b="1"/>
            <a:t>Date → Month-end date of price/NAV(01/01/2020 - 31/12/2024)</a:t>
          </a:r>
        </a:p>
        <a:p>
          <a:r>
            <a:rPr lang="en-IN" sz="1300" b="1"/>
            <a:t>Asset → Name of financial instrument (Equity, Index, ETF, Debt Fund)</a:t>
          </a:r>
        </a:p>
        <a:p>
          <a:r>
            <a:rPr lang="en-IN" sz="1300" b="1"/>
            <a:t>Price → Closing price or NAV for the respective month</a:t>
          </a:r>
        </a:p>
        <a:p>
          <a:endParaRPr lang="en-IN" sz="1200"/>
        </a:p>
        <a:p>
          <a:r>
            <a:rPr lang="en-IN" sz="1600" b="1" u="sng">
              <a:solidFill>
                <a:srgbClr val="FFFFFF"/>
              </a:solidFill>
            </a:rPr>
            <a:t>Assets Included</a:t>
          </a:r>
        </a:p>
        <a:p>
          <a:pPr algn="l"/>
          <a:r>
            <a:rPr lang="en-IN" sz="1600" b="1" u="none">
              <a:solidFill>
                <a:srgbClr val="FFFFFF"/>
              </a:solidFill>
            </a:rPr>
            <a:t>1.</a:t>
          </a:r>
          <a:r>
            <a:rPr lang="en-IN" sz="1400" b="1" u="none"/>
            <a:t>Debt Fund</a:t>
          </a:r>
        </a:p>
        <a:p>
          <a:r>
            <a:rPr lang="en-IN" sz="1600" b="1" u="non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N" sz="1600" b="1" u="none"/>
            <a:t> </a:t>
          </a:r>
          <a:r>
            <a:rPr lang="en-IN" sz="1400" b="1" u="none"/>
            <a:t>GoldBeES</a:t>
          </a:r>
        </a:p>
        <a:p>
          <a:r>
            <a:rPr lang="en-IN" sz="1600" b="1" u="non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N" sz="1600" b="1" u="none"/>
            <a:t> </a:t>
          </a:r>
          <a:r>
            <a:rPr lang="en-IN" sz="1400" b="1" u="none"/>
            <a:t>HDFCBANK</a:t>
          </a:r>
        </a:p>
        <a:p>
          <a:r>
            <a:rPr lang="en-IN" sz="1600" b="1" u="non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N" sz="1600" b="1" u="none"/>
            <a:t> </a:t>
          </a:r>
          <a:r>
            <a:rPr lang="en-IN" sz="1400" b="1" u="none"/>
            <a:t>ITC</a:t>
          </a:r>
        </a:p>
        <a:p>
          <a:r>
            <a:rPr lang="en-IN" sz="1600" b="1" u="non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N" sz="1600" b="1" u="none"/>
            <a:t> </a:t>
          </a:r>
          <a:r>
            <a:rPr lang="en-IN" sz="1400" b="1" u="none"/>
            <a:t>NIFTY50</a:t>
          </a:r>
        </a:p>
        <a:p>
          <a:r>
            <a:rPr lang="en-IN" sz="1600" b="1" u="non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N" sz="1600" b="1" u="none"/>
            <a:t> </a:t>
          </a:r>
          <a:r>
            <a:rPr lang="en-IN" sz="1400" b="1" u="none"/>
            <a:t>TCS</a:t>
          </a:r>
        </a:p>
        <a:p>
          <a:endParaRPr lang="en-IN"/>
        </a:p>
        <a:p>
          <a:r>
            <a:rPr lang="en-IN" sz="1600" b="1" u="sng">
              <a:solidFill>
                <a:srgbClr val="FFFFFF"/>
              </a:solidFill>
            </a:rPr>
            <a:t>Usage in Project</a:t>
          </a:r>
          <a:br>
            <a:rPr lang="en-IN"/>
          </a:br>
          <a:r>
            <a:rPr lang="en-IN" sz="1300" b="1"/>
            <a:t>This sheet is used to:</a:t>
          </a:r>
        </a:p>
        <a:p>
          <a:r>
            <a:rPr lang="en-IN" sz="1300" b="1"/>
            <a:t>-Calculate monthly returns</a:t>
          </a:r>
        </a:p>
        <a:p>
          <a:r>
            <a:rPr lang="en-IN" sz="1300" b="1"/>
            <a:t>-Derive annualized returns</a:t>
          </a:r>
        </a:p>
        <a:p>
          <a:r>
            <a:rPr lang="en-IN" sz="1300" b="1"/>
            <a:t>-Compute volatility (risk)</a:t>
          </a:r>
        </a:p>
        <a:p>
          <a:r>
            <a:rPr lang="en-IN" sz="1300" b="1"/>
            <a:t>-Build correlation matrix</a:t>
          </a:r>
        </a:p>
        <a:p>
          <a:r>
            <a:rPr lang="en-IN" sz="1300" b="1"/>
            <a:t>-Support portfolio-level analysis and dashboard</a:t>
          </a:r>
        </a:p>
        <a:p>
          <a:endParaRPr lang="en-IN" b="0"/>
        </a:p>
        <a:p>
          <a:r>
            <a:rPr lang="en-IN" sz="1600" b="1" u="sng">
              <a:solidFill>
                <a:srgbClr val="FFFFFF"/>
              </a:solidFill>
            </a:rPr>
            <a:t>Data Integrity Rules</a:t>
          </a:r>
          <a:endParaRPr lang="en-IN" sz="1600" u="sng">
            <a:solidFill>
              <a:srgbClr val="FFFFFF"/>
            </a:solidFill>
          </a:endParaRPr>
        </a:p>
        <a:p>
          <a:r>
            <a:rPr lang="en-IN" sz="1300" b="1"/>
            <a:t>Prices are positive numeric values</a:t>
          </a:r>
        </a:p>
        <a:p>
          <a:r>
            <a:rPr lang="en-IN" sz="1300" b="1"/>
            <a:t>No missing dates within an asset series</a:t>
          </a:r>
        </a:p>
        <a:p>
          <a:r>
            <a:rPr lang="en-IN" sz="1300" b="1"/>
            <a:t>No calculations are performed directly on this sheet</a:t>
          </a:r>
        </a:p>
        <a:p>
          <a:endParaRPr lang="en-IN" b="0"/>
        </a:p>
      </xdr:txBody>
    </xdr:sp>
    <xdr:clientData/>
  </xdr:twoCellAnchor>
  <xdr:twoCellAnchor>
    <xdr:from>
      <xdr:col>0</xdr:col>
      <xdr:colOff>28574</xdr:colOff>
      <xdr:row>0</xdr:row>
      <xdr:rowOff>0</xdr:rowOff>
    </xdr:from>
    <xdr:to>
      <xdr:col>20</xdr:col>
      <xdr:colOff>1</xdr:colOff>
      <xdr:row>3</xdr:row>
      <xdr:rowOff>21166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0E85B0F-7841-71CF-B1A8-B7301A08FFD0}"/>
            </a:ext>
          </a:extLst>
        </xdr:cNvPr>
        <xdr:cNvSpPr txBox="1"/>
      </xdr:nvSpPr>
      <xdr:spPr>
        <a:xfrm>
          <a:off x="28574" y="0"/>
          <a:ext cx="19698760" cy="1005416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800">
              <a:solidFill>
                <a:srgbClr val="FFFFFF"/>
              </a:solidFill>
              <a:latin typeface="Algerian" panose="04020705040A02060702" pitchFamily="82" charset="0"/>
            </a:rPr>
            <a:t>Raw</a:t>
          </a:r>
          <a:r>
            <a:rPr lang="en-IN" sz="4800" baseline="0">
              <a:solidFill>
                <a:srgbClr val="FFFFFF"/>
              </a:solidFill>
              <a:latin typeface="Algerian" panose="04020705040A02060702" pitchFamily="82" charset="0"/>
            </a:rPr>
            <a:t> Prices Analysis</a:t>
          </a:r>
          <a:endParaRPr lang="en-IN" sz="4800">
            <a:solidFill>
              <a:srgbClr val="FFFFFF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7</xdr:col>
      <xdr:colOff>10733</xdr:colOff>
      <xdr:row>15</xdr:row>
      <xdr:rowOff>21465</xdr:rowOff>
    </xdr:from>
    <xdr:to>
      <xdr:col>14</xdr:col>
      <xdr:colOff>21464</xdr:colOff>
      <xdr:row>16</xdr:row>
      <xdr:rowOff>317187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1380CC4-174B-3B2F-6C2E-3BC65FC4C180}"/>
            </a:ext>
          </a:extLst>
        </xdr:cNvPr>
        <xdr:cNvSpPr txBox="1"/>
      </xdr:nvSpPr>
      <xdr:spPr>
        <a:xfrm>
          <a:off x="8049296" y="4732986"/>
          <a:ext cx="4808112" cy="628426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ysClr val="windowText" lastClr="000000"/>
              </a:solidFill>
              <a:latin typeface="Arial Black" panose="020B0A04020102020204" pitchFamily="34" charset="0"/>
              <a:ea typeface="Segoe UI Black" panose="020B0A02040204020203" pitchFamily="34" charset="0"/>
            </a:rPr>
            <a:t>Timeline</a:t>
          </a:r>
        </a:p>
      </xdr:txBody>
    </xdr:sp>
    <xdr:clientData/>
  </xdr:twoCellAnchor>
  <xdr:twoCellAnchor>
    <xdr:from>
      <xdr:col>7</xdr:col>
      <xdr:colOff>0</xdr:colOff>
      <xdr:row>4</xdr:row>
      <xdr:rowOff>10732</xdr:rowOff>
    </xdr:from>
    <xdr:to>
      <xdr:col>13</xdr:col>
      <xdr:colOff>558084</xdr:colOff>
      <xdr:row>6</xdr:row>
      <xdr:rowOff>10733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821CACC-1955-5FC1-A2D7-E0F52AFB6813}"/>
            </a:ext>
          </a:extLst>
        </xdr:cNvPr>
        <xdr:cNvSpPr txBox="1"/>
      </xdr:nvSpPr>
      <xdr:spPr>
        <a:xfrm>
          <a:off x="8038563" y="1341549"/>
          <a:ext cx="4786648" cy="665409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600">
              <a:solidFill>
                <a:sysClr val="windowText" lastClr="000000"/>
              </a:solidFill>
              <a:latin typeface="Arial Black" panose="020B0A04020102020204" pitchFamily="34" charset="0"/>
              <a:ea typeface="Segoe UI Black" panose="020B0A02040204020203" pitchFamily="34" charset="0"/>
            </a:rPr>
            <a:t>Dataset Summary</a:t>
          </a:r>
        </a:p>
      </xdr:txBody>
    </xdr:sp>
    <xdr:clientData/>
  </xdr:twoCellAnchor>
  <xdr:twoCellAnchor>
    <xdr:from>
      <xdr:col>14</xdr:col>
      <xdr:colOff>1116169</xdr:colOff>
      <xdr:row>4</xdr:row>
      <xdr:rowOff>21465</xdr:rowOff>
    </xdr:from>
    <xdr:to>
      <xdr:col>19</xdr:col>
      <xdr:colOff>1116169</xdr:colOff>
      <xdr:row>5</xdr:row>
      <xdr:rowOff>321972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A86640-7F32-EA07-A70D-E617C90EEE7B}"/>
            </a:ext>
          </a:extLst>
        </xdr:cNvPr>
        <xdr:cNvSpPr txBox="1"/>
      </xdr:nvSpPr>
      <xdr:spPr>
        <a:xfrm>
          <a:off x="13952113" y="1352282"/>
          <a:ext cx="5741831" cy="633211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000">
              <a:solidFill>
                <a:schemeClr val="tx1"/>
              </a:solidFill>
              <a:latin typeface="Arial Black" panose="020B0A04020102020204" pitchFamily="34" charset="0"/>
            </a:rPr>
            <a:t>Interpretation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EFA9B4-D3AC-673F-EC7B-302999C6D3E6}"/>
            </a:ext>
          </a:extLst>
        </xdr:cNvPr>
        <xdr:cNvSpPr txBox="1"/>
      </xdr:nvSpPr>
      <xdr:spPr>
        <a:xfrm>
          <a:off x="0" y="0"/>
          <a:ext cx="19801563" cy="970767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900">
              <a:latin typeface="Algerian" panose="04020705040A02060702" pitchFamily="82" charset="0"/>
            </a:rPr>
            <a:t>      </a:t>
          </a:r>
          <a:r>
            <a:rPr lang="en-IN" sz="3900">
              <a:solidFill>
                <a:srgbClr val="FFFFFF"/>
              </a:solidFill>
              <a:latin typeface="Algerian" panose="04020705040A02060702" pitchFamily="82" charset="0"/>
            </a:rPr>
            <a:t>MONTHLY RETURNS ANALYSIS</a:t>
          </a:r>
        </a:p>
        <a:p>
          <a:pPr algn="ctr"/>
          <a:r>
            <a:rPr lang="en-IN" sz="1200">
              <a:solidFill>
                <a:schemeClr val="bg1"/>
              </a:solidFill>
              <a:latin typeface="Arial Black" panose="020B0A04020102020204" pitchFamily="34" charset="0"/>
            </a:rPr>
            <a:t>(“This sheet presents asset-wise monthly returns derived from historical price data. These returns are used for volatility, correlation, and portfolio performance analysis.”)</a:t>
          </a:r>
        </a:p>
      </xdr:txBody>
    </xdr:sp>
    <xdr:clientData/>
  </xdr:twoCellAnchor>
  <xdr:twoCellAnchor>
    <xdr:from>
      <xdr:col>4</xdr:col>
      <xdr:colOff>784092</xdr:colOff>
      <xdr:row>19</xdr:row>
      <xdr:rowOff>71525</xdr:rowOff>
    </xdr:from>
    <xdr:to>
      <xdr:col>9</xdr:col>
      <xdr:colOff>688932</xdr:colOff>
      <xdr:row>29</xdr:row>
      <xdr:rowOff>8203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BBD123A7-6265-82EA-AFF2-25ED005150CE}"/>
            </a:ext>
          </a:extLst>
        </xdr:cNvPr>
        <xdr:cNvSpPr/>
      </xdr:nvSpPr>
      <xdr:spPr>
        <a:xfrm>
          <a:off x="5658804" y="6219717"/>
          <a:ext cx="5645936" cy="3172568"/>
        </a:xfrm>
        <a:prstGeom prst="rightArrow">
          <a:avLst/>
        </a:prstGeom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773045</xdr:colOff>
      <xdr:row>21</xdr:row>
      <xdr:rowOff>198784</xdr:rowOff>
    </xdr:from>
    <xdr:to>
      <xdr:col>8</xdr:col>
      <xdr:colOff>242958</xdr:colOff>
      <xdr:row>26</xdr:row>
      <xdr:rowOff>176696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6A599D-FB19-76B7-4EF3-B4BA88591BF8}"/>
            </a:ext>
          </a:extLst>
        </xdr:cNvPr>
        <xdr:cNvSpPr txBox="1"/>
      </xdr:nvSpPr>
      <xdr:spPr>
        <a:xfrm>
          <a:off x="5654262" y="7156175"/>
          <a:ext cx="4064000" cy="1634434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>
              <a:solidFill>
                <a:srgbClr val="FFFFFF"/>
              </a:solidFill>
              <a:latin typeface="Arial Black" panose="020B0A04020102020204" pitchFamily="34" charset="0"/>
            </a:rPr>
            <a:t>Table  Interpretation</a:t>
          </a:r>
        </a:p>
      </xdr:txBody>
    </xdr:sp>
    <xdr:clientData/>
  </xdr:twoCellAnchor>
  <xdr:twoCellAnchor>
    <xdr:from>
      <xdr:col>10</xdr:col>
      <xdr:colOff>42429</xdr:colOff>
      <xdr:row>6</xdr:row>
      <xdr:rowOff>10440</xdr:rowOff>
    </xdr:from>
    <xdr:to>
      <xdr:col>15</xdr:col>
      <xdr:colOff>1137781</xdr:colOff>
      <xdr:row>41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593C026-4F5C-9C56-290E-489DE147E365}"/>
                </a:ext>
              </a:extLst>
            </xdr:cNvPr>
            <xdr:cNvSpPr txBox="1"/>
          </xdr:nvSpPr>
          <xdr:spPr>
            <a:xfrm>
              <a:off x="11806456" y="1951974"/>
              <a:ext cx="6836448" cy="11315177"/>
            </a:xfrm>
            <a:prstGeom prst="rect">
              <a:avLst/>
            </a:prstGeom>
            <a:ln/>
            <a:scene3d>
              <a:camera prst="obliqueTopLeft"/>
              <a:lightRig rig="threePt" dir="t"/>
            </a:scene3d>
            <a:sp3d>
              <a:bevelT w="165100" prst="coolSlant"/>
            </a:sp3d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400" b="1"/>
                <a:t>MONTHLY RETURN DATA – SHEET DESCRIPTION</a:t>
              </a:r>
            </a:p>
            <a:p>
              <a:pPr algn="ctr"/>
              <a:endParaRPr lang="en-IN" sz="1200" b="1"/>
            </a:p>
            <a:p>
              <a:pPr algn="l"/>
              <a:r>
                <a:rPr lang="en-IN" sz="1800" b="1" u="sng">
                  <a:solidFill>
                    <a:srgbClr val="FFFFFF"/>
                  </a:solidFill>
                </a:rPr>
                <a:t>Purpose of this Sheet</a:t>
              </a:r>
              <a:br>
                <a:rPr lang="en-IN" sz="1200"/>
              </a:br>
              <a:r>
                <a:rPr lang="en-IN" sz="1400"/>
                <a:t>This sheet calculates the </a:t>
              </a:r>
              <a:r>
                <a:rPr lang="en-IN" sz="1400" b="1"/>
                <a:t>month-over-month percentage return</a:t>
              </a:r>
              <a:r>
                <a:rPr lang="en-IN" sz="1400"/>
                <a:t> for each asset based on historical price/NAV data. It acts as the </a:t>
              </a:r>
              <a:r>
                <a:rPr lang="en-IN" sz="1400" b="1"/>
                <a:t>foundation for risk, correlation, and portfolio performance analysis</a:t>
              </a:r>
              <a:r>
                <a:rPr lang="en-IN" sz="1400"/>
                <a:t>.</a:t>
              </a:r>
            </a:p>
            <a:p>
              <a:pPr algn="l"/>
              <a:endParaRPr lang="en-IN" sz="1200"/>
            </a:p>
            <a:p>
              <a:pPr algn="l"/>
              <a:endParaRPr lang="en-IN" sz="1200" b="1"/>
            </a:p>
            <a:p>
              <a:r>
                <a:rPr lang="en-IN" sz="1600" b="1" u="sng">
                  <a:solidFill>
                    <a:srgbClr val="FFFFFF"/>
                  </a:solidFill>
                </a:rPr>
                <a:t>Return Calculation Logic</a:t>
              </a:r>
              <a:br>
                <a:rPr lang="en-IN" sz="1200"/>
              </a:br>
              <a:r>
                <a:rPr lang="en-IN" sz="1400"/>
                <a:t>Monthly Return is calculated using the standard financial formula: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sz="1800" b="1"/>
                      <m:t>Monthly</m:t>
                    </m:r>
                    <m:r>
                      <m:rPr>
                        <m:nor/>
                      </m:rPr>
                      <a:rPr lang="en-IN" sz="1800" b="1" i="1"/>
                      <m:t> </m:t>
                    </m:r>
                    <m:r>
                      <m:rPr>
                        <m:nor/>
                      </m:rPr>
                      <a:rPr lang="en-IN" sz="1800" b="1" i="1"/>
                      <m:t>Return</m:t>
                    </m:r>
                    <m:r>
                      <a:rPr lang="en-IN" sz="1800" b="1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8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Current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Month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Price</m:t>
                        </m:r>
                        <m:r>
                          <a:rPr lang="en-IN" sz="1800" b="1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Previous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Month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Price</m:t>
                        </m:r>
                      </m:num>
                      <m:den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Previous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Month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800" b="1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Price</m:t>
                        </m:r>
                      </m:den>
                    </m:f>
                  </m:oMath>
                </m:oMathPara>
              </a14:m>
              <a:endParaRPr lang="ar-AE" sz="1800" b="1"/>
            </a:p>
            <a:p>
              <a:r>
                <a:rPr lang="en-IN" sz="1400"/>
                <a:t>This measures the </a:t>
              </a:r>
              <a:r>
                <a:rPr lang="en-IN" sz="1400" b="1"/>
                <a:t>percentage gain or loss</a:t>
              </a:r>
              <a:r>
                <a:rPr lang="en-IN" sz="1400"/>
                <a:t> of an asset from one month to the next.</a:t>
              </a:r>
            </a:p>
            <a:p>
              <a:pPr algn="l"/>
              <a:endParaRPr lang="en-IN" sz="1400" b="1"/>
            </a:p>
            <a:p>
              <a:pPr algn="l"/>
              <a:endParaRPr lang="en-IN" sz="1200" b="1" u="sng"/>
            </a:p>
            <a:p>
              <a:r>
                <a:rPr lang="en-IN" sz="1600" b="1" u="sng">
                  <a:solidFill>
                    <a:srgbClr val="FFFFFF"/>
                  </a:solidFill>
                </a:rPr>
                <a:t>Data Structure</a:t>
              </a:r>
            </a:p>
            <a:p>
              <a:r>
                <a:rPr lang="en-IN" sz="1400" b="1"/>
                <a:t>Rows</a:t>
              </a:r>
              <a:r>
                <a:rPr lang="en-IN" sz="1400"/>
                <a:t> → Month-end dates</a:t>
              </a:r>
            </a:p>
            <a:p>
              <a:r>
                <a:rPr lang="en-IN" sz="1400" b="1"/>
                <a:t>Columns</a:t>
              </a:r>
              <a:r>
                <a:rPr lang="en-IN" sz="1400"/>
                <a:t> → Individual assets</a:t>
              </a:r>
            </a:p>
            <a:p>
              <a:r>
                <a:rPr lang="en-IN" sz="1400" b="1"/>
                <a:t>Values</a:t>
              </a:r>
              <a:r>
                <a:rPr lang="en-IN" sz="1400"/>
                <a:t> → Monthly return (%)</a:t>
              </a:r>
            </a:p>
            <a:p>
              <a:r>
                <a:rPr lang="en-IN" sz="1400"/>
                <a:t>Each cell represents the </a:t>
              </a:r>
              <a:r>
                <a:rPr lang="en-IN" sz="1400" b="1"/>
                <a:t>return of one asset for one month</a:t>
              </a:r>
              <a:r>
                <a:rPr lang="en-IN" sz="1400"/>
                <a:t>.</a:t>
              </a:r>
            </a:p>
            <a:p>
              <a:endParaRPr lang="en-IN" sz="1200"/>
            </a:p>
            <a:p>
              <a:endParaRPr lang="en-IN" sz="1600" b="1">
                <a:solidFill>
                  <a:srgbClr val="FFFFFF"/>
                </a:solidFill>
              </a:endParaRPr>
            </a:p>
            <a:p>
              <a:r>
                <a:rPr lang="en-IN" sz="1600" b="1" u="sng">
                  <a:solidFill>
                    <a:srgbClr val="FFFFFF"/>
                  </a:solidFill>
                </a:rPr>
                <a:t>Handling of First Month</a:t>
              </a:r>
              <a:br>
                <a:rPr lang="en-IN" sz="1200"/>
              </a:br>
              <a:r>
                <a:rPr lang="en-IN" sz="1400"/>
                <a:t>The first available month for each asset shows </a:t>
              </a:r>
              <a:r>
                <a:rPr lang="en-IN" sz="1400" b="1"/>
                <a:t>#DIV/0! or blank</a:t>
              </a:r>
              <a:r>
                <a:rPr lang="en-IN" sz="1400"/>
                <a:t> because no previous month price exists. This is expected behavior and does not affect analysis.</a:t>
              </a:r>
            </a:p>
            <a:p>
              <a:endParaRPr lang="en-IN" sz="1200"/>
            </a:p>
            <a:p>
              <a:endParaRPr lang="en-IN" sz="1400" u="sng"/>
            </a:p>
            <a:p>
              <a:r>
                <a:rPr lang="en-IN" sz="1600" b="1" u="sng">
                  <a:solidFill>
                    <a:srgbClr val="FFFFFF"/>
                  </a:solidFill>
                </a:rPr>
                <a:t>Time Period Covered</a:t>
              </a:r>
              <a:br>
                <a:rPr lang="en-IN" sz="1200"/>
              </a:br>
              <a:r>
                <a:rPr lang="en-IN" sz="1400"/>
                <a:t>January 2020 to December 2024 (Monthly frequency)</a:t>
              </a:r>
            </a:p>
            <a:p>
              <a:endParaRPr lang="en-IN" sz="1200"/>
            </a:p>
            <a:p>
              <a:endParaRPr lang="en-IN" sz="1200"/>
            </a:p>
            <a:p>
              <a:r>
                <a:rPr lang="en-IN" sz="1600" b="1" u="sng">
                  <a:solidFill>
                    <a:srgbClr val="FFFFFF"/>
                  </a:solidFill>
                </a:rPr>
                <a:t>Assets Covered</a:t>
              </a:r>
            </a:p>
            <a:p>
              <a:r>
                <a:rPr lang="en-IN" sz="1400" b="1"/>
                <a:t>Debt Fund</a:t>
              </a:r>
            </a:p>
            <a:p>
              <a:r>
                <a:rPr lang="en-IN" sz="1400" b="1"/>
                <a:t>GoldBeES</a:t>
              </a:r>
            </a:p>
            <a:p>
              <a:r>
                <a:rPr lang="en-IN" sz="1400" b="1"/>
                <a:t>HDFCBANK</a:t>
              </a:r>
            </a:p>
            <a:p>
              <a:r>
                <a:rPr lang="en-IN" sz="1400" b="1"/>
                <a:t>ITC</a:t>
              </a:r>
            </a:p>
            <a:p>
              <a:r>
                <a:rPr lang="en-IN" sz="1400" b="1"/>
                <a:t>NIFTY50</a:t>
              </a:r>
            </a:p>
            <a:p>
              <a:r>
                <a:rPr lang="en-IN" sz="1400" b="1"/>
                <a:t>TCS</a:t>
              </a:r>
            </a:p>
            <a:p>
              <a:endParaRPr lang="en-IN" sz="1200"/>
            </a:p>
            <a:p>
              <a:endParaRPr lang="en-IN" sz="1200"/>
            </a:p>
            <a:p>
              <a:r>
                <a:rPr lang="en-IN" sz="1600" b="1">
                  <a:solidFill>
                    <a:srgbClr val="FFFFFF"/>
                  </a:solidFill>
                </a:rPr>
                <a:t>Usage in Project</a:t>
              </a:r>
              <a:br>
                <a:rPr lang="en-IN" sz="1200"/>
              </a:br>
              <a:r>
                <a:rPr lang="en-IN" sz="1400"/>
                <a:t>This sheet is used to:</a:t>
              </a:r>
            </a:p>
            <a:p>
              <a:r>
                <a:rPr lang="en-IN" sz="1400"/>
                <a:t>Calculate </a:t>
              </a:r>
              <a:r>
                <a:rPr lang="en-IN" sz="1400" b="1"/>
                <a:t>average annual returns</a:t>
              </a:r>
              <a:endParaRPr lang="en-IN" sz="1400"/>
            </a:p>
            <a:p>
              <a:r>
                <a:rPr lang="en-IN" sz="1400"/>
                <a:t>Compute </a:t>
              </a:r>
              <a:r>
                <a:rPr lang="en-IN" sz="1400" b="1"/>
                <a:t>monthly and annual volatility</a:t>
              </a:r>
              <a:endParaRPr lang="en-IN" sz="1400"/>
            </a:p>
            <a:p>
              <a:r>
                <a:rPr lang="en-IN" sz="1400"/>
                <a:t>Generate </a:t>
              </a:r>
              <a:r>
                <a:rPr lang="en-IN" sz="1400" b="1"/>
                <a:t>correlation matrix</a:t>
              </a:r>
              <a:endParaRPr lang="en-IN" sz="1400"/>
            </a:p>
            <a:p>
              <a:r>
                <a:rPr lang="en-IN" sz="1400"/>
                <a:t>Support </a:t>
              </a:r>
              <a:r>
                <a:rPr lang="en-IN" sz="1400" b="1"/>
                <a:t>portfolio return &amp; risk calculations</a:t>
              </a:r>
            </a:p>
            <a:p>
              <a:endParaRPr lang="en-IN" sz="1400" b="1"/>
            </a:p>
            <a:p>
              <a:endParaRPr lang="en-IN" sz="1600" b="1">
                <a:solidFill>
                  <a:srgbClr val="FFFFFF"/>
                </a:solidFill>
              </a:endParaRPr>
            </a:p>
            <a:p>
              <a:r>
                <a:rPr lang="en-IN" sz="1600" b="1">
                  <a:solidFill>
                    <a:srgbClr val="FFFFFF"/>
                  </a:solidFill>
                </a:rPr>
                <a:t>Interpretation Guidelines</a:t>
              </a:r>
              <a:endParaRPr lang="en-IN" sz="1600">
                <a:solidFill>
                  <a:srgbClr val="FFFFFF"/>
                </a:solidFill>
              </a:endParaRPr>
            </a:p>
            <a:p>
              <a:r>
                <a:rPr lang="en-IN" sz="1400"/>
                <a:t>Positive values → Monthly gain</a:t>
              </a:r>
            </a:p>
            <a:p>
              <a:r>
                <a:rPr lang="en-IN" sz="1400"/>
                <a:t>Negative values → Monthly loss</a:t>
              </a:r>
            </a:p>
            <a:p>
              <a:r>
                <a:rPr lang="en-IN" sz="1400"/>
                <a:t>Higher fluctuations → Higher volatility (risk)</a:t>
              </a:r>
            </a:p>
            <a:p>
              <a:endParaRPr lang="en-IN" sz="1400"/>
            </a:p>
            <a:p>
              <a:endParaRPr lang="en-IN" sz="1200"/>
            </a:p>
            <a:p>
              <a:endParaRPr lang="en-IN" sz="1200"/>
            </a:p>
            <a:p>
              <a:endParaRPr lang="en-IN" sz="1200"/>
            </a:p>
            <a:p>
              <a:endParaRPr lang="en-IN" sz="1200"/>
            </a:p>
            <a:p>
              <a:pPr algn="l"/>
              <a:endParaRPr lang="en-IN" sz="1200" b="1"/>
            </a:p>
            <a:p>
              <a:pPr algn="l"/>
              <a:endParaRPr lang="en-IN" sz="12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593C026-4F5C-9C56-290E-489DE147E365}"/>
                </a:ext>
              </a:extLst>
            </xdr:cNvPr>
            <xdr:cNvSpPr txBox="1"/>
          </xdr:nvSpPr>
          <xdr:spPr>
            <a:xfrm>
              <a:off x="11806456" y="1951974"/>
              <a:ext cx="6836448" cy="11315177"/>
            </a:xfrm>
            <a:prstGeom prst="rect">
              <a:avLst/>
            </a:prstGeom>
            <a:ln/>
            <a:scene3d>
              <a:camera prst="obliqueTopLeft"/>
              <a:lightRig rig="threePt" dir="t"/>
            </a:scene3d>
            <a:sp3d>
              <a:bevelT w="165100" prst="coolSlant"/>
            </a:sp3d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400" b="1"/>
                <a:t>MONTHLY RETURN DATA – SHEET DESCRIPTION</a:t>
              </a:r>
            </a:p>
            <a:p>
              <a:pPr algn="ctr"/>
              <a:endParaRPr lang="en-IN" sz="1200" b="1"/>
            </a:p>
            <a:p>
              <a:pPr algn="l"/>
              <a:r>
                <a:rPr lang="en-IN" sz="1800" b="1" u="sng">
                  <a:solidFill>
                    <a:srgbClr val="FFFFFF"/>
                  </a:solidFill>
                </a:rPr>
                <a:t>Purpose of this Sheet</a:t>
              </a:r>
              <a:br>
                <a:rPr lang="en-IN" sz="1200"/>
              </a:br>
              <a:r>
                <a:rPr lang="en-IN" sz="1400"/>
                <a:t>This sheet calculates the </a:t>
              </a:r>
              <a:r>
                <a:rPr lang="en-IN" sz="1400" b="1"/>
                <a:t>month-over-month percentage return</a:t>
              </a:r>
              <a:r>
                <a:rPr lang="en-IN" sz="1400"/>
                <a:t> for each asset based on historical price/NAV data. It acts as the </a:t>
              </a:r>
              <a:r>
                <a:rPr lang="en-IN" sz="1400" b="1"/>
                <a:t>foundation for risk, correlation, and portfolio performance analysis</a:t>
              </a:r>
              <a:r>
                <a:rPr lang="en-IN" sz="1400"/>
                <a:t>.</a:t>
              </a:r>
            </a:p>
            <a:p>
              <a:pPr algn="l"/>
              <a:endParaRPr lang="en-IN" sz="1200"/>
            </a:p>
            <a:p>
              <a:pPr algn="l"/>
              <a:endParaRPr lang="en-IN" sz="1200" b="1"/>
            </a:p>
            <a:p>
              <a:r>
                <a:rPr lang="en-IN" sz="1600" b="1" u="sng">
                  <a:solidFill>
                    <a:srgbClr val="FFFFFF"/>
                  </a:solidFill>
                </a:rPr>
                <a:t>Return Calculation Logic</a:t>
              </a:r>
              <a:br>
                <a:rPr lang="en-IN" sz="1200"/>
              </a:br>
              <a:r>
                <a:rPr lang="en-IN" sz="1400"/>
                <a:t>Monthly Return is calculated using the standard financial formula:</a:t>
              </a:r>
            </a:p>
            <a:p>
              <a:pPr/>
              <a:r>
                <a:rPr lang="en-IN" sz="1800" b="1" i="0">
                  <a:latin typeface="Cambria Math" panose="02040503050406030204" pitchFamily="18" charset="0"/>
                </a:rPr>
                <a:t>"Monthly Return</a:t>
              </a:r>
              <a:r>
                <a:rPr lang="en-IN" sz="18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"=</a:t>
              </a:r>
              <a:r>
                <a:rPr lang="ar-AE" sz="18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IN" sz="18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"Current Month Price</a:t>
              </a:r>
              <a:r>
                <a:rPr lang="en-IN" sz="18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−</a:t>
              </a:r>
              <a:r>
                <a:rPr lang="en-IN" sz="18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"Previous Month Price</a:t>
              </a:r>
              <a:r>
                <a:rPr lang="en-IN" sz="18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ar-AE" sz="18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IN" sz="18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"Previous Month Price</a:t>
              </a:r>
              <a:r>
                <a:rPr lang="en-IN" sz="1800" b="1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endParaRPr lang="ar-AE" sz="1800" b="1"/>
            </a:p>
            <a:p>
              <a:r>
                <a:rPr lang="en-IN" sz="1400"/>
                <a:t>This measures the </a:t>
              </a:r>
              <a:r>
                <a:rPr lang="en-IN" sz="1400" b="1"/>
                <a:t>percentage gain or loss</a:t>
              </a:r>
              <a:r>
                <a:rPr lang="en-IN" sz="1400"/>
                <a:t> of an asset from one month to the next.</a:t>
              </a:r>
            </a:p>
            <a:p>
              <a:pPr algn="l"/>
              <a:endParaRPr lang="en-IN" sz="1400" b="1"/>
            </a:p>
            <a:p>
              <a:pPr algn="l"/>
              <a:endParaRPr lang="en-IN" sz="1200" b="1" u="sng"/>
            </a:p>
            <a:p>
              <a:r>
                <a:rPr lang="en-IN" sz="1600" b="1" u="sng">
                  <a:solidFill>
                    <a:srgbClr val="FFFFFF"/>
                  </a:solidFill>
                </a:rPr>
                <a:t>Data Structure</a:t>
              </a:r>
            </a:p>
            <a:p>
              <a:r>
                <a:rPr lang="en-IN" sz="1400" b="1"/>
                <a:t>Rows</a:t>
              </a:r>
              <a:r>
                <a:rPr lang="en-IN" sz="1400"/>
                <a:t> → Month-end dates</a:t>
              </a:r>
            </a:p>
            <a:p>
              <a:r>
                <a:rPr lang="en-IN" sz="1400" b="1"/>
                <a:t>Columns</a:t>
              </a:r>
              <a:r>
                <a:rPr lang="en-IN" sz="1400"/>
                <a:t> → Individual assets</a:t>
              </a:r>
            </a:p>
            <a:p>
              <a:r>
                <a:rPr lang="en-IN" sz="1400" b="1"/>
                <a:t>Values</a:t>
              </a:r>
              <a:r>
                <a:rPr lang="en-IN" sz="1400"/>
                <a:t> → Monthly return (%)</a:t>
              </a:r>
            </a:p>
            <a:p>
              <a:r>
                <a:rPr lang="en-IN" sz="1400"/>
                <a:t>Each cell represents the </a:t>
              </a:r>
              <a:r>
                <a:rPr lang="en-IN" sz="1400" b="1"/>
                <a:t>return of one asset for one month</a:t>
              </a:r>
              <a:r>
                <a:rPr lang="en-IN" sz="1400"/>
                <a:t>.</a:t>
              </a:r>
            </a:p>
            <a:p>
              <a:endParaRPr lang="en-IN" sz="1200"/>
            </a:p>
            <a:p>
              <a:endParaRPr lang="en-IN" sz="1600" b="1">
                <a:solidFill>
                  <a:srgbClr val="FFFFFF"/>
                </a:solidFill>
              </a:endParaRPr>
            </a:p>
            <a:p>
              <a:r>
                <a:rPr lang="en-IN" sz="1600" b="1" u="sng">
                  <a:solidFill>
                    <a:srgbClr val="FFFFFF"/>
                  </a:solidFill>
                </a:rPr>
                <a:t>Handling of First Month</a:t>
              </a:r>
              <a:br>
                <a:rPr lang="en-IN" sz="1200"/>
              </a:br>
              <a:r>
                <a:rPr lang="en-IN" sz="1400"/>
                <a:t>The first available month for each asset shows </a:t>
              </a:r>
              <a:r>
                <a:rPr lang="en-IN" sz="1400" b="1"/>
                <a:t>#DIV/0! or blank</a:t>
              </a:r>
              <a:r>
                <a:rPr lang="en-IN" sz="1400"/>
                <a:t> because no previous month price exists. This is expected behavior and does not affect analysis.</a:t>
              </a:r>
            </a:p>
            <a:p>
              <a:endParaRPr lang="en-IN" sz="1200"/>
            </a:p>
            <a:p>
              <a:endParaRPr lang="en-IN" sz="1400" u="sng"/>
            </a:p>
            <a:p>
              <a:r>
                <a:rPr lang="en-IN" sz="1600" b="1" u="sng">
                  <a:solidFill>
                    <a:srgbClr val="FFFFFF"/>
                  </a:solidFill>
                </a:rPr>
                <a:t>Time Period Covered</a:t>
              </a:r>
              <a:br>
                <a:rPr lang="en-IN" sz="1200"/>
              </a:br>
              <a:r>
                <a:rPr lang="en-IN" sz="1400"/>
                <a:t>January 2020 to December 2024 (Monthly frequency)</a:t>
              </a:r>
            </a:p>
            <a:p>
              <a:endParaRPr lang="en-IN" sz="1200"/>
            </a:p>
            <a:p>
              <a:endParaRPr lang="en-IN" sz="1200"/>
            </a:p>
            <a:p>
              <a:r>
                <a:rPr lang="en-IN" sz="1600" b="1" u="sng">
                  <a:solidFill>
                    <a:srgbClr val="FFFFFF"/>
                  </a:solidFill>
                </a:rPr>
                <a:t>Assets Covered</a:t>
              </a:r>
            </a:p>
            <a:p>
              <a:r>
                <a:rPr lang="en-IN" sz="1400" b="1"/>
                <a:t>Debt Fund</a:t>
              </a:r>
            </a:p>
            <a:p>
              <a:r>
                <a:rPr lang="en-IN" sz="1400" b="1"/>
                <a:t>GoldBeES</a:t>
              </a:r>
            </a:p>
            <a:p>
              <a:r>
                <a:rPr lang="en-IN" sz="1400" b="1"/>
                <a:t>HDFCBANK</a:t>
              </a:r>
            </a:p>
            <a:p>
              <a:r>
                <a:rPr lang="en-IN" sz="1400" b="1"/>
                <a:t>ITC</a:t>
              </a:r>
            </a:p>
            <a:p>
              <a:r>
                <a:rPr lang="en-IN" sz="1400" b="1"/>
                <a:t>NIFTY50</a:t>
              </a:r>
            </a:p>
            <a:p>
              <a:r>
                <a:rPr lang="en-IN" sz="1400" b="1"/>
                <a:t>TCS</a:t>
              </a:r>
            </a:p>
            <a:p>
              <a:endParaRPr lang="en-IN" sz="1200"/>
            </a:p>
            <a:p>
              <a:endParaRPr lang="en-IN" sz="1200"/>
            </a:p>
            <a:p>
              <a:r>
                <a:rPr lang="en-IN" sz="1600" b="1">
                  <a:solidFill>
                    <a:srgbClr val="FFFFFF"/>
                  </a:solidFill>
                </a:rPr>
                <a:t>Usage in Project</a:t>
              </a:r>
              <a:br>
                <a:rPr lang="en-IN" sz="1200"/>
              </a:br>
              <a:r>
                <a:rPr lang="en-IN" sz="1400"/>
                <a:t>This sheet is used to:</a:t>
              </a:r>
            </a:p>
            <a:p>
              <a:r>
                <a:rPr lang="en-IN" sz="1400"/>
                <a:t>Calculate </a:t>
              </a:r>
              <a:r>
                <a:rPr lang="en-IN" sz="1400" b="1"/>
                <a:t>average annual returns</a:t>
              </a:r>
              <a:endParaRPr lang="en-IN" sz="1400"/>
            </a:p>
            <a:p>
              <a:r>
                <a:rPr lang="en-IN" sz="1400"/>
                <a:t>Compute </a:t>
              </a:r>
              <a:r>
                <a:rPr lang="en-IN" sz="1400" b="1"/>
                <a:t>monthly and annual volatility</a:t>
              </a:r>
              <a:endParaRPr lang="en-IN" sz="1400"/>
            </a:p>
            <a:p>
              <a:r>
                <a:rPr lang="en-IN" sz="1400"/>
                <a:t>Generate </a:t>
              </a:r>
              <a:r>
                <a:rPr lang="en-IN" sz="1400" b="1"/>
                <a:t>correlation matrix</a:t>
              </a:r>
              <a:endParaRPr lang="en-IN" sz="1400"/>
            </a:p>
            <a:p>
              <a:r>
                <a:rPr lang="en-IN" sz="1400"/>
                <a:t>Support </a:t>
              </a:r>
              <a:r>
                <a:rPr lang="en-IN" sz="1400" b="1"/>
                <a:t>portfolio return &amp; risk calculations</a:t>
              </a:r>
            </a:p>
            <a:p>
              <a:endParaRPr lang="en-IN" sz="1400" b="1"/>
            </a:p>
            <a:p>
              <a:endParaRPr lang="en-IN" sz="1600" b="1">
                <a:solidFill>
                  <a:srgbClr val="FFFFFF"/>
                </a:solidFill>
              </a:endParaRPr>
            </a:p>
            <a:p>
              <a:r>
                <a:rPr lang="en-IN" sz="1600" b="1">
                  <a:solidFill>
                    <a:srgbClr val="FFFFFF"/>
                  </a:solidFill>
                </a:rPr>
                <a:t>Interpretation Guidelines</a:t>
              </a:r>
              <a:endParaRPr lang="en-IN" sz="1600">
                <a:solidFill>
                  <a:srgbClr val="FFFFFF"/>
                </a:solidFill>
              </a:endParaRPr>
            </a:p>
            <a:p>
              <a:r>
                <a:rPr lang="en-IN" sz="1400"/>
                <a:t>Positive values → Monthly gain</a:t>
              </a:r>
            </a:p>
            <a:p>
              <a:r>
                <a:rPr lang="en-IN" sz="1400"/>
                <a:t>Negative values → Monthly loss</a:t>
              </a:r>
            </a:p>
            <a:p>
              <a:r>
                <a:rPr lang="en-IN" sz="1400"/>
                <a:t>Higher fluctuations → Higher volatility (risk)</a:t>
              </a:r>
            </a:p>
            <a:p>
              <a:endParaRPr lang="en-IN" sz="1400"/>
            </a:p>
            <a:p>
              <a:endParaRPr lang="en-IN" sz="1200"/>
            </a:p>
            <a:p>
              <a:endParaRPr lang="en-IN" sz="1200"/>
            </a:p>
            <a:p>
              <a:endParaRPr lang="en-IN" sz="1200"/>
            </a:p>
            <a:p>
              <a:endParaRPr lang="en-IN" sz="1200"/>
            </a:p>
            <a:p>
              <a:pPr algn="l"/>
              <a:endParaRPr lang="en-IN" sz="1200" b="1"/>
            </a:p>
            <a:p>
              <a:pPr algn="l"/>
              <a:endParaRPr lang="en-IN" sz="1200" b="1"/>
            </a:p>
          </xdr:txBody>
        </xdr:sp>
      </mc:Fallback>
    </mc:AlternateContent>
    <xdr:clientData/>
  </xdr:twoCellAnchor>
  <xdr:twoCellAnchor>
    <xdr:from>
      <xdr:col>0</xdr:col>
      <xdr:colOff>0</xdr:colOff>
      <xdr:row>4</xdr:row>
      <xdr:rowOff>10438</xdr:rowOff>
    </xdr:from>
    <xdr:to>
      <xdr:col>4</xdr:col>
      <xdr:colOff>1</xdr:colOff>
      <xdr:row>6</xdr:row>
      <xdr:rowOff>30772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49BD5C-5EA7-CEA0-0598-66F8D193ABF9}"/>
            </a:ext>
          </a:extLst>
        </xdr:cNvPr>
        <xdr:cNvSpPr txBox="1"/>
      </xdr:nvSpPr>
      <xdr:spPr>
        <a:xfrm>
          <a:off x="0" y="1304794"/>
          <a:ext cx="4874713" cy="667512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     </a:t>
          </a:r>
          <a:r>
            <a:rPr lang="en-IN" sz="180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Monthly</a:t>
          </a:r>
          <a:r>
            <a:rPr lang="en-IN" sz="1800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Returns Dataset</a:t>
          </a:r>
          <a:endParaRPr lang="en-IN" sz="1800">
            <a:solidFill>
              <a:schemeClr val="dk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  <a:p>
          <a:endParaRPr lang="en-IN" sz="1100"/>
        </a:p>
      </xdr:txBody>
    </xdr:sp>
    <xdr:clientData/>
  </xdr:twoCellAnchor>
  <xdr:twoCellAnchor>
    <xdr:from>
      <xdr:col>10</xdr:col>
      <xdr:colOff>41755</xdr:colOff>
      <xdr:row>4</xdr:row>
      <xdr:rowOff>10439</xdr:rowOff>
    </xdr:from>
    <xdr:to>
      <xdr:col>16</xdr:col>
      <xdr:colOff>31316</xdr:colOff>
      <xdr:row>6</xdr:row>
      <xdr:rowOff>31315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878405-9806-43CA-4130-183109636312}"/>
            </a:ext>
          </a:extLst>
        </xdr:cNvPr>
        <xdr:cNvSpPr txBox="1"/>
      </xdr:nvSpPr>
      <xdr:spPr>
        <a:xfrm>
          <a:off x="11805782" y="1304795"/>
          <a:ext cx="6878876" cy="668054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70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Interpretation</a:t>
          </a:r>
          <a:endParaRPr lang="en-IN" sz="2700">
            <a:effectLst/>
            <a:latin typeface="Arial Black" panose="020B0A04020102020204" pitchFamily="34" charset="0"/>
          </a:endParaRP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1133299</xdr:colOff>
      <xdr:row>12</xdr:row>
      <xdr:rowOff>0</xdr:rowOff>
    </xdr:from>
    <xdr:to>
      <xdr:col>5</xdr:col>
      <xdr:colOff>53164</xdr:colOff>
      <xdr:row>22</xdr:row>
      <xdr:rowOff>372139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D08FC-5C6C-C9DD-AE15-431E12E02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</xdr:row>
      <xdr:rowOff>19627</xdr:rowOff>
    </xdr:from>
    <xdr:to>
      <xdr:col>11</xdr:col>
      <xdr:colOff>372140</xdr:colOff>
      <xdr:row>22</xdr:row>
      <xdr:rowOff>372139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2B4013-8399-D773-A400-C40492FFC725}"/>
            </a:ext>
          </a:extLst>
        </xdr:cNvPr>
        <xdr:cNvSpPr txBox="1"/>
      </xdr:nvSpPr>
      <xdr:spPr>
        <a:xfrm>
          <a:off x="10021186" y="1729697"/>
          <a:ext cx="4979582" cy="7325698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/>
            <a:t>ASSET RISK–RETURN INTERPRETATION</a:t>
          </a:r>
        </a:p>
        <a:p>
          <a:pPr algn="l"/>
          <a:endParaRPr lang="en-IN" sz="1400" b="1"/>
        </a:p>
        <a:p>
          <a:pPr algn="l"/>
          <a:r>
            <a:rPr lang="en-IN" sz="1600" b="1">
              <a:solidFill>
                <a:srgbClr val="FFFFFF"/>
              </a:solidFill>
            </a:rPr>
            <a:t>Debt Fund</a:t>
          </a:r>
          <a:r>
            <a:rPr lang="en-IN" sz="1600">
              <a:solidFill>
                <a:srgbClr val="FFFFFF"/>
              </a:solidFill>
            </a:rPr>
            <a:t> </a:t>
          </a:r>
          <a:r>
            <a:rPr lang="en-IN" sz="1400"/>
            <a:t>shows </a:t>
          </a:r>
          <a:r>
            <a:rPr lang="en-IN" sz="1600" b="1">
              <a:solidFill>
                <a:srgbClr val="00B050"/>
              </a:solidFill>
            </a:rPr>
            <a:t>very low </a:t>
          </a:r>
          <a:r>
            <a:rPr lang="en-IN" sz="1400" b="1"/>
            <a:t>risk and stable returns</a:t>
          </a:r>
          <a:r>
            <a:rPr lang="en-IN" sz="1400"/>
            <a:t>, making it suitable for capital preservation.</a:t>
          </a:r>
        </a:p>
        <a:p>
          <a:pPr algn="l"/>
          <a:endParaRPr lang="en-IN" sz="1400" b="1"/>
        </a:p>
        <a:p>
          <a:pPr algn="l"/>
          <a:r>
            <a:rPr lang="en-IN" sz="1600" b="1">
              <a:solidFill>
                <a:srgbClr val="FFFFFF"/>
              </a:solidFill>
            </a:rPr>
            <a:t>GoldBeES</a:t>
          </a:r>
          <a:r>
            <a:rPr lang="en-IN" sz="1400"/>
            <a:t> provides </a:t>
          </a:r>
          <a:r>
            <a:rPr lang="en-IN" sz="1400" b="1">
              <a:solidFill>
                <a:schemeClr val="accent4">
                  <a:lumMod val="40000"/>
                  <a:lumOff val="60000"/>
                </a:schemeClr>
              </a:solidFill>
            </a:rPr>
            <a:t>moderate returns </a:t>
          </a:r>
          <a:r>
            <a:rPr lang="en-IN" sz="1400" b="1"/>
            <a:t>with low-to-medium risk</a:t>
          </a:r>
          <a:r>
            <a:rPr lang="en-IN" sz="1400"/>
            <a:t>, useful for diversification.</a:t>
          </a:r>
        </a:p>
        <a:p>
          <a:pPr algn="l"/>
          <a:endParaRPr lang="en-IN" sz="1400" b="1"/>
        </a:p>
        <a:p>
          <a:pPr algn="l"/>
          <a:endParaRPr lang="en-IN" sz="1400" b="1"/>
        </a:p>
        <a:p>
          <a:pPr algn="l"/>
          <a:r>
            <a:rPr lang="en-IN" sz="1600" b="1">
              <a:solidFill>
                <a:srgbClr val="FFFFFF"/>
              </a:solidFill>
            </a:rPr>
            <a:t>HDFCBANK</a:t>
          </a:r>
          <a:r>
            <a:rPr lang="en-IN" sz="1400"/>
            <a:t> exhibits </a:t>
          </a:r>
          <a:r>
            <a:rPr lang="en-IN" sz="1400" b="1">
              <a:solidFill>
                <a:srgbClr val="FF0000"/>
              </a:solidFill>
            </a:rPr>
            <a:t>high volatility </a:t>
          </a:r>
          <a:r>
            <a:rPr lang="en-IN" sz="1400" b="1"/>
            <a:t>with moderate returns</a:t>
          </a:r>
          <a:r>
            <a:rPr lang="en-IN" sz="1400"/>
            <a:t>, suggesting higher risk exposure.</a:t>
          </a:r>
        </a:p>
        <a:p>
          <a:pPr algn="l"/>
          <a:endParaRPr lang="en-IN" sz="1400"/>
        </a:p>
        <a:p>
          <a:pPr algn="l"/>
          <a:r>
            <a:rPr lang="en-IN" sz="1600" b="1">
              <a:solidFill>
                <a:srgbClr val="FFFFFF"/>
              </a:solidFill>
            </a:rPr>
            <a:t>ITC </a:t>
          </a:r>
          <a:r>
            <a:rPr lang="en-IN" sz="1400" b="1"/>
            <a:t>and </a:t>
          </a:r>
          <a:r>
            <a:rPr lang="en-IN" sz="1600" b="1">
              <a:solidFill>
                <a:srgbClr val="FFFFFF"/>
              </a:solidFill>
            </a:rPr>
            <a:t>TCS</a:t>
          </a:r>
          <a:r>
            <a:rPr lang="en-IN" sz="1400"/>
            <a:t> offer </a:t>
          </a:r>
          <a:r>
            <a:rPr lang="en-IN" sz="1400" b="1"/>
            <a:t>higher returns but with </a:t>
          </a:r>
          <a:r>
            <a:rPr lang="en-IN" sz="1400" b="1">
              <a:solidFill>
                <a:srgbClr val="FF0000"/>
              </a:solidFill>
            </a:rPr>
            <a:t>elevated volatility</a:t>
          </a:r>
          <a:r>
            <a:rPr lang="en-IN" sz="1400"/>
            <a:t>, indicating growth-oriented assets.</a:t>
          </a:r>
        </a:p>
        <a:p>
          <a:pPr algn="l"/>
          <a:endParaRPr lang="en-IN" sz="1400"/>
        </a:p>
        <a:p>
          <a:pPr algn="l"/>
          <a:r>
            <a:rPr lang="en-IN" sz="1600" b="1">
              <a:solidFill>
                <a:srgbClr val="FFFFFF"/>
              </a:solidFill>
            </a:rPr>
            <a:t>NIFTY50</a:t>
          </a:r>
          <a:r>
            <a:rPr lang="en-IN" sz="1400"/>
            <a:t> balances </a:t>
          </a:r>
          <a:r>
            <a:rPr lang="en-IN" sz="1400" b="1">
              <a:solidFill>
                <a:schemeClr val="accent4">
                  <a:lumMod val="40000"/>
                  <a:lumOff val="60000"/>
                </a:schemeClr>
              </a:solidFill>
            </a:rPr>
            <a:t>risk and return</a:t>
          </a:r>
          <a:r>
            <a:rPr lang="en-IN" sz="1400"/>
            <a:t>, acting as a benchmark for portfolio performance.</a:t>
          </a:r>
        </a:p>
        <a:p>
          <a:pPr algn="l"/>
          <a:endParaRPr lang="en-IN" sz="1400"/>
        </a:p>
        <a:p>
          <a:pPr algn="l"/>
          <a:r>
            <a:rPr lang="en-IN" sz="1400"/>
            <a:t>his table helps in understanding the trade-off between risk and return for effective portfolio allocation.</a:t>
          </a:r>
        </a:p>
        <a:p>
          <a:pPr algn="l"/>
          <a:endParaRPr lang="en-IN" sz="1400" b="1"/>
        </a:p>
        <a:p>
          <a:pPr algn="l"/>
          <a:endParaRPr lang="en-IN" sz="1400" b="1"/>
        </a:p>
      </xdr:txBody>
    </xdr:sp>
    <xdr:clientData/>
  </xdr:twoCellAnchor>
  <xdr:twoCellAnchor>
    <xdr:from>
      <xdr:col>0</xdr:col>
      <xdr:colOff>26581</xdr:colOff>
      <xdr:row>0</xdr:row>
      <xdr:rowOff>26581</xdr:rowOff>
    </xdr:from>
    <xdr:to>
      <xdr:col>14</xdr:col>
      <xdr:colOff>17721</xdr:colOff>
      <xdr:row>1</xdr:row>
      <xdr:rowOff>363279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F9F021-6F1C-39D8-A729-497D1D0C9DFA}"/>
            </a:ext>
          </a:extLst>
        </xdr:cNvPr>
        <xdr:cNvSpPr txBox="1"/>
      </xdr:nvSpPr>
      <xdr:spPr>
        <a:xfrm>
          <a:off x="26581" y="26581"/>
          <a:ext cx="18075349" cy="717698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300">
              <a:latin typeface="Algerian" panose="04020705040A02060702" pitchFamily="82" charset="0"/>
            </a:rPr>
            <a:t>ASSET RISK–RETURN ANALYSIS (MONTHLY)</a:t>
          </a:r>
        </a:p>
      </xdr:txBody>
    </xdr:sp>
    <xdr:clientData/>
  </xdr:twoCellAnchor>
  <xdr:twoCellAnchor>
    <xdr:from>
      <xdr:col>6</xdr:col>
      <xdr:colOff>1134139</xdr:colOff>
      <xdr:row>3</xdr:row>
      <xdr:rowOff>26581</xdr:rowOff>
    </xdr:from>
    <xdr:to>
      <xdr:col>11</xdr:col>
      <xdr:colOff>372139</xdr:colOff>
      <xdr:row>4</xdr:row>
      <xdr:rowOff>35442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40F590-69B3-FF6F-65B7-4599C3AEAC72}"/>
            </a:ext>
          </a:extLst>
        </xdr:cNvPr>
        <xdr:cNvSpPr txBox="1"/>
      </xdr:nvSpPr>
      <xdr:spPr>
        <a:xfrm>
          <a:off x="10003465" y="1169581"/>
          <a:ext cx="4997302" cy="575931"/>
        </a:xfrm>
        <a:prstGeom prst="rect">
          <a:avLst/>
        </a:prstGeom>
        <a:ln>
          <a:noFill/>
        </a:ln>
        <a:scene3d>
          <a:camera prst="obliqueTopRigh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Interpretation</a:t>
          </a:r>
          <a:endParaRPr lang="en-IN" sz="2400">
            <a:effectLst/>
            <a:latin typeface="Arial Black" panose="020B0A04020102020204" pitchFamily="34" charset="0"/>
          </a:endParaRP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1213526</xdr:colOff>
      <xdr:row>4</xdr:row>
      <xdr:rowOff>323849</xdr:rowOff>
    </xdr:from>
    <xdr:to>
      <xdr:col>14</xdr:col>
      <xdr:colOff>9525</xdr:colOff>
      <xdr:row>17</xdr:row>
      <xdr:rowOff>47624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35A64C-8C6F-2218-4B5B-DFA1E54ECD46}"/>
            </a:ext>
          </a:extLst>
        </xdr:cNvPr>
        <xdr:cNvSpPr txBox="1"/>
      </xdr:nvSpPr>
      <xdr:spPr>
        <a:xfrm>
          <a:off x="12186326" y="1619249"/>
          <a:ext cx="4891999" cy="3933825"/>
        </a:xfrm>
        <a:prstGeom prst="rect">
          <a:avLst/>
        </a:prstGeom>
        <a:ln/>
        <a:effectLst>
          <a:innerShdw blurRad="114300">
            <a:prstClr val="black"/>
          </a:innerShdw>
        </a:effectLst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This returns matrix presents </a:t>
          </a:r>
          <a:r>
            <a:rPr lang="en-IN" sz="1200" b="1" u="sng"/>
            <a:t>monthly percentage returns</a:t>
          </a:r>
          <a:r>
            <a:rPr lang="en-IN" sz="1200" u="sng"/>
            <a:t> </a:t>
          </a:r>
          <a:r>
            <a:rPr lang="en-IN" sz="1200"/>
            <a:t>for each asset over the analysis period.</a:t>
          </a:r>
        </a:p>
        <a:p>
          <a:endParaRPr lang="en-IN" sz="1200">
            <a:solidFill>
              <a:srgbClr val="FFFFFF"/>
            </a:solidFill>
            <a:latin typeface="Arial Black" panose="020B0A04020102020204" pitchFamily="34" charset="0"/>
          </a:endParaRPr>
        </a:p>
        <a:p>
          <a:r>
            <a:rPr lang="en-IN" sz="1200"/>
            <a:t>It allows comparison of asset performance across different market conditions and helps identify:</a:t>
          </a:r>
        </a:p>
        <a:p>
          <a:r>
            <a:rPr lang="en-IN" sz="1200" b="1">
              <a:solidFill>
                <a:srgbClr val="FFFFFF"/>
              </a:solidFill>
            </a:rPr>
            <a:t>*</a:t>
          </a:r>
          <a:r>
            <a:rPr lang="en-IN" sz="1200" b="1" u="sng"/>
            <a:t>Consistent performers</a:t>
          </a:r>
        </a:p>
        <a:p>
          <a:r>
            <a:rPr lang="en-IN" sz="1200" b="1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IN" sz="1200" b="1" u="sng"/>
            <a:t>Volatile periods</a:t>
          </a:r>
        </a:p>
        <a:p>
          <a:r>
            <a:rPr lang="en-IN" sz="1200" b="1">
              <a:solidFill>
                <a:srgbClr val="FFFFFF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IN" sz="1200" b="1" u="sng"/>
            <a:t>Diversification potential across assets</a:t>
          </a:r>
          <a:r>
            <a:rPr lang="en-IN" sz="1200"/>
            <a:t>.</a:t>
          </a:r>
        </a:p>
        <a:p>
          <a:endParaRPr lang="en-IN" sz="1200"/>
        </a:p>
        <a:p>
          <a:r>
            <a:rPr lang="en-IN" sz="1200"/>
            <a:t>This matrix serves as the </a:t>
          </a:r>
          <a:r>
            <a:rPr lang="en-IN" sz="1200" b="1" u="sng"/>
            <a:t>foundation for correlation analysis, volatility calculation, and portfolio return estimation</a:t>
          </a:r>
          <a:r>
            <a:rPr lang="en-IN" sz="1200" u="sng"/>
            <a:t>.</a:t>
          </a:r>
        </a:p>
        <a:p>
          <a:endParaRPr lang="en-IN" sz="1200" u="sng"/>
        </a:p>
        <a:p>
          <a:endParaRPr lang="en-IN" sz="1200"/>
        </a:p>
        <a:p>
          <a:endParaRPr lang="en-IN" sz="1200">
            <a:solidFill>
              <a:srgbClr val="FFFFFF"/>
            </a:solidFill>
            <a:latin typeface="Arial Black" panose="020B0A04020102020204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9524</xdr:colOff>
      <xdr:row>2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C76C6E-61BD-A05A-D8CD-E4141DCA9E49}"/>
            </a:ext>
          </a:extLst>
        </xdr:cNvPr>
        <xdr:cNvSpPr txBox="1"/>
      </xdr:nvSpPr>
      <xdr:spPr>
        <a:xfrm>
          <a:off x="0" y="0"/>
          <a:ext cx="18297524" cy="762000"/>
        </a:xfrm>
        <a:prstGeom prst="rect">
          <a:avLst/>
        </a:prstGeom>
        <a:ln/>
        <a:scene3d>
          <a:camera prst="obliqueTopRigh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500" b="1">
              <a:solidFill>
                <a:srgbClr val="FFFFFF"/>
              </a:solidFill>
              <a:latin typeface="Algerian" panose="04020705040A02060702" pitchFamily="82" charset="0"/>
            </a:rPr>
            <a:t>RETURNS MATRIX (MONTHLY)</a:t>
          </a:r>
        </a:p>
      </xdr:txBody>
    </xdr:sp>
    <xdr:clientData/>
  </xdr:twoCellAnchor>
  <xdr:twoCellAnchor>
    <xdr:from>
      <xdr:col>7</xdr:col>
      <xdr:colOff>316149</xdr:colOff>
      <xdr:row>7</xdr:row>
      <xdr:rowOff>151429</xdr:rowOff>
    </xdr:from>
    <xdr:to>
      <xdr:col>9</xdr:col>
      <xdr:colOff>964659</xdr:colOff>
      <xdr:row>12</xdr:row>
      <xdr:rowOff>186448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63323BF-E69C-49D5-9A94-9469F85582E9}"/>
            </a:ext>
          </a:extLst>
        </xdr:cNvPr>
        <xdr:cNvSpPr/>
      </xdr:nvSpPr>
      <xdr:spPr>
        <a:xfrm>
          <a:off x="8827851" y="2421216"/>
          <a:ext cx="3080425" cy="1656296"/>
        </a:xfrm>
        <a:prstGeom prst="rightArrow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316474</xdr:colOff>
      <xdr:row>8</xdr:row>
      <xdr:rowOff>244488</xdr:rowOff>
    </xdr:from>
    <xdr:to>
      <xdr:col>9</xdr:col>
      <xdr:colOff>137809</xdr:colOff>
      <xdr:row>11</xdr:row>
      <xdr:rowOff>97276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F5CA41-5944-5DBE-FE47-E6E3B1C61A36}"/>
            </a:ext>
          </a:extLst>
        </xdr:cNvPr>
        <xdr:cNvSpPr txBox="1"/>
      </xdr:nvSpPr>
      <xdr:spPr>
        <a:xfrm>
          <a:off x="8828176" y="2838531"/>
          <a:ext cx="2253250" cy="825554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14300" prst="artDeco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Table  Interpretation</a:t>
          </a:r>
          <a:endParaRPr lang="en-IN" sz="1400">
            <a:solidFill>
              <a:schemeClr val="tx1"/>
            </a:solidFill>
            <a:effectLst/>
            <a:latin typeface="Arial Black" panose="020B0A04020102020204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1207850</xdr:colOff>
      <xdr:row>2</xdr:row>
      <xdr:rowOff>299936</xdr:rowOff>
    </xdr:from>
    <xdr:to>
      <xdr:col>14</xdr:col>
      <xdr:colOff>8106</xdr:colOff>
      <xdr:row>5</xdr:row>
      <xdr:rowOff>8106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09F30D-710D-3263-78C1-07C1F4EBC5F5}"/>
            </a:ext>
          </a:extLst>
        </xdr:cNvPr>
        <xdr:cNvSpPr txBox="1"/>
      </xdr:nvSpPr>
      <xdr:spPr>
        <a:xfrm>
          <a:off x="12151467" y="948447"/>
          <a:ext cx="4880043" cy="680936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>
              <a:solidFill>
                <a:srgbClr val="FFFFFF"/>
              </a:solidFill>
              <a:latin typeface="Impact" panose="020B0806030902050204" pitchFamily="34" charset="0"/>
            </a:rPr>
            <a:t>RETURNS MATRIX – INTERPRETATION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7619</xdr:rowOff>
    </xdr:from>
    <xdr:to>
      <xdr:col>16</xdr:col>
      <xdr:colOff>53163</xdr:colOff>
      <xdr:row>1</xdr:row>
      <xdr:rowOff>449178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061351-4122-16FE-D995-28F707389521}"/>
            </a:ext>
          </a:extLst>
        </xdr:cNvPr>
        <xdr:cNvSpPr txBox="1"/>
      </xdr:nvSpPr>
      <xdr:spPr>
        <a:xfrm>
          <a:off x="1" y="7619"/>
          <a:ext cx="16498185" cy="902303"/>
        </a:xfrm>
        <a:prstGeom prst="rect">
          <a:avLst/>
        </a:prstGeom>
        <a:ln/>
        <a:scene3d>
          <a:camera prst="obliqueBottomLef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>
              <a:solidFill>
                <a:srgbClr val="FFFFFF"/>
              </a:solidFill>
              <a:latin typeface="Algerian" panose="04020705040A02060702" pitchFamily="82" charset="0"/>
            </a:rPr>
            <a:t>CORRELATION ANALYSIS</a:t>
          </a:r>
        </a:p>
      </xdr:txBody>
    </xdr:sp>
    <xdr:clientData/>
  </xdr:twoCellAnchor>
  <xdr:twoCellAnchor>
    <xdr:from>
      <xdr:col>0</xdr:col>
      <xdr:colOff>8860</xdr:colOff>
      <xdr:row>3</xdr:row>
      <xdr:rowOff>8553</xdr:rowOff>
    </xdr:from>
    <xdr:to>
      <xdr:col>7</xdr:col>
      <xdr:colOff>17721</xdr:colOff>
      <xdr:row>4</xdr:row>
      <xdr:rowOff>451883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E688BD-99CE-6F4B-9965-7A0D437A4BA5}"/>
            </a:ext>
          </a:extLst>
        </xdr:cNvPr>
        <xdr:cNvSpPr txBox="1"/>
      </xdr:nvSpPr>
      <xdr:spPr>
        <a:xfrm>
          <a:off x="8860" y="1390786"/>
          <a:ext cx="7203559" cy="904074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>
              <a:latin typeface="Arial Black" panose="020B0A04020102020204" pitchFamily="34" charset="0"/>
            </a:rPr>
            <a:t>Correlation Heatmap</a:t>
          </a:r>
        </a:p>
      </xdr:txBody>
    </xdr:sp>
    <xdr:clientData/>
  </xdr:twoCellAnchor>
  <xdr:twoCellAnchor>
    <xdr:from>
      <xdr:col>9</xdr:col>
      <xdr:colOff>18361</xdr:colOff>
      <xdr:row>5</xdr:row>
      <xdr:rowOff>0</xdr:rowOff>
    </xdr:from>
    <xdr:to>
      <xdr:col>16</xdr:col>
      <xdr:colOff>18362</xdr:colOff>
      <xdr:row>11</xdr:row>
      <xdr:rowOff>443023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0A070F-27B9-5963-8F2E-88C609E370E8}"/>
            </a:ext>
          </a:extLst>
        </xdr:cNvPr>
        <xdr:cNvSpPr txBox="1"/>
      </xdr:nvSpPr>
      <xdr:spPr>
        <a:xfrm>
          <a:off x="9272530" y="2295181"/>
          <a:ext cx="7197687" cy="3197240"/>
        </a:xfrm>
        <a:prstGeom prst="rect">
          <a:avLst/>
        </a:prstGeom>
        <a:ln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This correlation heatmap illustrates the relationship between asset returns.</a:t>
          </a:r>
        </a:p>
        <a:p>
          <a:endParaRPr lang="en-IN" sz="1200" b="1"/>
        </a:p>
        <a:p>
          <a:r>
            <a:rPr lang="en-IN" sz="1200"/>
            <a:t>• </a:t>
          </a:r>
          <a:r>
            <a:rPr lang="en-IN" sz="1400" b="1">
              <a:solidFill>
                <a:srgbClr val="FFFFFF"/>
              </a:solidFill>
            </a:rPr>
            <a:t>High positive correlation </a:t>
          </a:r>
          <a:r>
            <a:rPr lang="en-IN" sz="1400"/>
            <a:t>(dark green) indicates assets move together</a:t>
          </a:r>
          <a:br>
            <a:rPr lang="en-IN" sz="1400"/>
          </a:br>
          <a:r>
            <a:rPr lang="en-IN" sz="1400"/>
            <a:t>• </a:t>
          </a:r>
          <a:r>
            <a:rPr lang="en-IN" sz="1400" b="1">
              <a:solidFill>
                <a:srgbClr val="FFFFFF"/>
              </a:solidFill>
            </a:rPr>
            <a:t>Low or negative correlation</a:t>
          </a:r>
          <a:r>
            <a:rPr lang="en-IN" sz="1400">
              <a:solidFill>
                <a:srgbClr val="FFFFFF"/>
              </a:solidFill>
            </a:rPr>
            <a:t> </a:t>
          </a:r>
          <a:r>
            <a:rPr lang="en-IN" sz="1400"/>
            <a:t>improves portfolio diversification</a:t>
          </a:r>
          <a:br>
            <a:rPr lang="en-IN" sz="1200"/>
          </a:br>
          <a:r>
            <a:rPr lang="en-IN" sz="1200"/>
            <a:t>• </a:t>
          </a:r>
          <a:r>
            <a:rPr lang="en-IN" sz="1400"/>
            <a:t>Equity stocks show strong correlation with </a:t>
          </a:r>
          <a:r>
            <a:rPr lang="en-IN" sz="1400" b="1">
              <a:solidFill>
                <a:srgbClr val="FFFFFF"/>
              </a:solidFill>
            </a:rPr>
            <a:t>NIFTY50</a:t>
          </a:r>
          <a:r>
            <a:rPr lang="en-IN" sz="1400"/>
            <a:t>, while </a:t>
          </a:r>
          <a:r>
            <a:rPr lang="en-IN" sz="1400" b="1">
              <a:solidFill>
                <a:srgbClr val="FFFFFF"/>
              </a:solidFill>
            </a:rPr>
            <a:t>Debt Fund and</a:t>
          </a:r>
          <a:r>
            <a:rPr lang="en-IN" sz="1400" b="1"/>
            <a:t> </a:t>
          </a:r>
          <a:r>
            <a:rPr lang="en-IN" sz="1400" b="1">
              <a:solidFill>
                <a:srgbClr val="FFFFFF"/>
              </a:solidFill>
            </a:rPr>
            <a:t>GoldBeES</a:t>
          </a:r>
          <a:r>
            <a:rPr lang="en-IN" sz="1400">
              <a:solidFill>
                <a:srgbClr val="FFFFFF"/>
              </a:solidFill>
            </a:rPr>
            <a:t> </a:t>
          </a:r>
          <a:r>
            <a:rPr lang="en-IN" sz="1400"/>
            <a:t>provide diversification benefits</a:t>
          </a:r>
        </a:p>
        <a:p>
          <a:endParaRPr lang="en-IN" sz="1200" b="1"/>
        </a:p>
        <a:p>
          <a:endParaRPr lang="en-IN" sz="1200" b="1"/>
        </a:p>
        <a:p>
          <a:r>
            <a:rPr lang="en-IN" sz="1400" b="1"/>
            <a:t>This analysis supports portfolio construction by balancing risk through low-correlated assets</a:t>
          </a:r>
          <a:r>
            <a:rPr lang="en-IN" sz="1200" b="1"/>
            <a:t>.</a:t>
          </a:r>
        </a:p>
      </xdr:txBody>
    </xdr:sp>
    <xdr:clientData/>
  </xdr:twoCellAnchor>
  <xdr:twoCellAnchor>
    <xdr:from>
      <xdr:col>9</xdr:col>
      <xdr:colOff>16480</xdr:colOff>
      <xdr:row>2</xdr:row>
      <xdr:rowOff>450467</xdr:rowOff>
    </xdr:from>
    <xdr:to>
      <xdr:col>16</xdr:col>
      <xdr:colOff>27543</xdr:colOff>
      <xdr:row>5</xdr:row>
      <xdr:rowOff>8860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939FE4-B63F-82BD-7B33-4DADBEEB2970}"/>
            </a:ext>
          </a:extLst>
        </xdr:cNvPr>
        <xdr:cNvSpPr txBox="1"/>
      </xdr:nvSpPr>
      <xdr:spPr>
        <a:xfrm>
          <a:off x="9270649" y="1368539"/>
          <a:ext cx="7208749" cy="935502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>
              <a:latin typeface="Arial Black" panose="020B0A04020102020204" pitchFamily="34" charset="0"/>
            </a:rPr>
            <a:t>Interpretation Box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12975</xdr:colOff>
      <xdr:row>10</xdr:row>
      <xdr:rowOff>22412</xdr:rowOff>
    </xdr:from>
    <xdr:to>
      <xdr:col>18</xdr:col>
      <xdr:colOff>324971</xdr:colOff>
      <xdr:row>18</xdr:row>
      <xdr:rowOff>37781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FEB78-7EAC-D39A-37C4-660CA6E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10024</xdr:colOff>
      <xdr:row>15</xdr:row>
      <xdr:rowOff>370974</xdr:rowOff>
    </xdr:from>
    <xdr:to>
      <xdr:col>11</xdr:col>
      <xdr:colOff>1153026</xdr:colOff>
      <xdr:row>23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8F987F-9520-648A-4CFF-3CF17D2EA69B}"/>
            </a:ext>
          </a:extLst>
        </xdr:cNvPr>
        <xdr:cNvSpPr txBox="1"/>
      </xdr:nvSpPr>
      <xdr:spPr>
        <a:xfrm>
          <a:off x="9314445" y="6085974"/>
          <a:ext cx="4632160" cy="2677026"/>
        </a:xfrm>
        <a:prstGeom prst="rect">
          <a:avLst/>
        </a:prstGeom>
        <a:ln/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Debt Fund and GoldBeES exhibit low volatility, making them suitable for capital preservation and risk-averse investors.</a:t>
          </a:r>
        </a:p>
        <a:p>
          <a:endParaRPr lang="en-IN" sz="1400" b="1"/>
        </a:p>
        <a:p>
          <a:r>
            <a:rPr lang="en-IN" sz="1400" b="1"/>
            <a:t>HDFCBANK and ITC show high volatility, indicating higher price fluctuations and elevated market risk.</a:t>
          </a:r>
        </a:p>
        <a:p>
          <a:endParaRPr lang="en-IN" sz="1400" b="1"/>
        </a:p>
        <a:p>
          <a:r>
            <a:rPr lang="en-IN" sz="1400" b="1"/>
            <a:t>NIFTY50 and TCS fall into the medium-risk category, offering a balance between growth potential and risk.</a:t>
          </a:r>
        </a:p>
        <a:p>
          <a:endParaRPr lang="en-IN" sz="1400" b="1"/>
        </a:p>
        <a:p>
          <a:r>
            <a:rPr lang="en-IN" sz="1400"/>
            <a:t>This converts </a:t>
          </a:r>
          <a:r>
            <a:rPr lang="en-IN" sz="1400" b="1"/>
            <a:t>numbers → insights</a:t>
          </a:r>
          <a:r>
            <a:rPr lang="en-IN" sz="1400"/>
            <a:t>.</a:t>
          </a:r>
        </a:p>
        <a:p>
          <a:endParaRPr lang="en-IN" sz="1200" b="1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88900</xdr:colOff>
      <xdr:row>2</xdr:row>
      <xdr:rowOff>452438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2871F1-F2CD-8567-092C-D316C8C10B71}"/>
            </a:ext>
          </a:extLst>
        </xdr:cNvPr>
        <xdr:cNvSpPr txBox="1"/>
      </xdr:nvSpPr>
      <xdr:spPr>
        <a:xfrm>
          <a:off x="0" y="0"/>
          <a:ext cx="26651744" cy="1214438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200" b="1">
              <a:solidFill>
                <a:srgbClr val="FFFFFF"/>
              </a:solidFill>
              <a:latin typeface="Algerian" panose="04020705040A02060702" pitchFamily="82" charset="0"/>
            </a:rPr>
            <a:t>Risk_Analysis</a:t>
          </a:r>
        </a:p>
      </xdr:txBody>
    </xdr:sp>
    <xdr:clientData/>
  </xdr:twoCellAnchor>
  <xdr:twoCellAnchor>
    <xdr:from>
      <xdr:col>8</xdr:col>
      <xdr:colOff>34319</xdr:colOff>
      <xdr:row>13</xdr:row>
      <xdr:rowOff>345281</xdr:rowOff>
    </xdr:from>
    <xdr:to>
      <xdr:col>12</xdr:col>
      <xdr:colOff>0</xdr:colOff>
      <xdr:row>15</xdr:row>
      <xdr:rowOff>369794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457875-926C-5AAF-FEE6-7C98F23BEBE0}"/>
            </a:ext>
          </a:extLst>
        </xdr:cNvPr>
        <xdr:cNvSpPr txBox="1"/>
      </xdr:nvSpPr>
      <xdr:spPr>
        <a:xfrm>
          <a:off x="9273569" y="5393531"/>
          <a:ext cx="4585306" cy="786513"/>
        </a:xfrm>
        <a:prstGeom prst="rect">
          <a:avLst/>
        </a:prstGeom>
        <a:ln>
          <a:noFill/>
        </a:ln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latin typeface="Segoe UI Black" panose="020B0A02040204020203" pitchFamily="34" charset="0"/>
              <a:ea typeface="Segoe UI Black" panose="020B0A02040204020203" pitchFamily="34" charset="0"/>
            </a:rPr>
            <a:t>Risk Analysis Interpretation</a:t>
          </a:r>
        </a:p>
      </xdr:txBody>
    </xdr:sp>
    <xdr:clientData/>
  </xdr:twoCellAnchor>
  <xdr:twoCellAnchor>
    <xdr:from>
      <xdr:col>8</xdr:col>
      <xdr:colOff>33618</xdr:colOff>
      <xdr:row>3</xdr:row>
      <xdr:rowOff>107156</xdr:rowOff>
    </xdr:from>
    <xdr:to>
      <xdr:col>12</xdr:col>
      <xdr:colOff>22411</xdr:colOff>
      <xdr:row>5</xdr:row>
      <xdr:rowOff>22412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CD85A8-B25D-37AF-2A5F-8329E8A2ADCF}"/>
            </a:ext>
          </a:extLst>
        </xdr:cNvPr>
        <xdr:cNvSpPr txBox="1"/>
      </xdr:nvSpPr>
      <xdr:spPr>
        <a:xfrm>
          <a:off x="9272868" y="1345406"/>
          <a:ext cx="4608418" cy="677256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latin typeface="Segoe UI Black" panose="020B0A02040204020203" pitchFamily="34" charset="0"/>
              <a:ea typeface="Segoe UI Black" panose="020B0A02040204020203" pitchFamily="34" charset="0"/>
            </a:rPr>
            <a:t>Volatility  Calculations</a:t>
          </a:r>
        </a:p>
        <a:p>
          <a:endParaRPr lang="en-IN" sz="1100"/>
        </a:p>
      </xdr:txBody>
    </xdr:sp>
    <xdr:clientData/>
  </xdr:twoCellAnchor>
  <xdr:twoCellAnchor>
    <xdr:from>
      <xdr:col>12</xdr:col>
      <xdr:colOff>21146</xdr:colOff>
      <xdr:row>6</xdr:row>
      <xdr:rowOff>0</xdr:rowOff>
    </xdr:from>
    <xdr:to>
      <xdr:col>15</xdr:col>
      <xdr:colOff>874059</xdr:colOff>
      <xdr:row>10</xdr:row>
      <xdr:rowOff>53872</xdr:rowOff>
    </xdr:to>
    <xdr:sp macro="" textlink="">
      <xdr:nvSpPr>
        <xdr:cNvPr id="7" name="Arrow: Bent-Up 6">
          <a:extLst>
            <a:ext uri="{FF2B5EF4-FFF2-40B4-BE49-F238E27FC236}">
              <a16:creationId xmlns:a16="http://schemas.microsoft.com/office/drawing/2014/main" id="{3FB7E9D3-B89B-B9C6-1594-16BA4AEB9CB4}"/>
            </a:ext>
          </a:extLst>
        </xdr:cNvPr>
        <xdr:cNvSpPr/>
      </xdr:nvSpPr>
      <xdr:spPr>
        <a:xfrm flipV="1">
          <a:off x="13871617" y="2386853"/>
          <a:ext cx="4315530" cy="1577872"/>
        </a:xfrm>
        <a:prstGeom prst="bentUpArrow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11205</xdr:colOff>
      <xdr:row>18</xdr:row>
      <xdr:rowOff>78442</xdr:rowOff>
    </xdr:from>
    <xdr:to>
      <xdr:col>15</xdr:col>
      <xdr:colOff>864556</xdr:colOff>
      <xdr:row>22</xdr:row>
      <xdr:rowOff>136354</xdr:rowOff>
    </xdr:to>
    <xdr:sp macro="" textlink="">
      <xdr:nvSpPr>
        <xdr:cNvPr id="10" name="Arrow: Bent-Up 9">
          <a:extLst>
            <a:ext uri="{FF2B5EF4-FFF2-40B4-BE49-F238E27FC236}">
              <a16:creationId xmlns:a16="http://schemas.microsoft.com/office/drawing/2014/main" id="{E1CCB471-8FC8-7163-165D-387750D14B1E}"/>
            </a:ext>
          </a:extLst>
        </xdr:cNvPr>
        <xdr:cNvSpPr/>
      </xdr:nvSpPr>
      <xdr:spPr>
        <a:xfrm>
          <a:off x="13861676" y="7037295"/>
          <a:ext cx="4315968" cy="1581912"/>
        </a:xfrm>
        <a:prstGeom prst="bentUpArrow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10886</xdr:colOff>
      <xdr:row>3</xdr:row>
      <xdr:rowOff>130969</xdr:rowOff>
    </xdr:from>
    <xdr:to>
      <xdr:col>6</xdr:col>
      <xdr:colOff>1132115</xdr:colOff>
      <xdr:row>5</xdr:row>
      <xdr:rowOff>21772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381D55-5039-597D-A473-B647A1883D15}"/>
            </a:ext>
          </a:extLst>
        </xdr:cNvPr>
        <xdr:cNvSpPr txBox="1"/>
      </xdr:nvSpPr>
      <xdr:spPr>
        <a:xfrm>
          <a:off x="10886" y="1369219"/>
          <a:ext cx="8050667" cy="652803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500" b="1">
              <a:solidFill>
                <a:schemeClr val="tx1"/>
              </a:solidFill>
            </a:rPr>
            <a:t>Average of Monthly_Return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3</xdr:row>
      <xdr:rowOff>7620</xdr:rowOff>
    </xdr:from>
    <xdr:ext cx="67818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C89A63-8414-8D6F-FB34-4E2024AFF907}"/>
            </a:ext>
          </a:extLst>
        </xdr:cNvPr>
        <xdr:cNvSpPr txBox="1"/>
      </xdr:nvSpPr>
      <xdr:spPr>
        <a:xfrm>
          <a:off x="14310360" y="739140"/>
          <a:ext cx="6781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0</xdr:row>
      <xdr:rowOff>0</xdr:rowOff>
    </xdr:from>
    <xdr:to>
      <xdr:col>10</xdr:col>
      <xdr:colOff>17929</xdr:colOff>
      <xdr:row>1</xdr:row>
      <xdr:rowOff>259976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0842CC-0250-685A-A108-0AFFA12C9874}"/>
            </a:ext>
          </a:extLst>
        </xdr:cNvPr>
        <xdr:cNvSpPr txBox="1"/>
      </xdr:nvSpPr>
      <xdr:spPr>
        <a:xfrm>
          <a:off x="0" y="0"/>
          <a:ext cx="19112753" cy="815788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800">
              <a:solidFill>
                <a:srgbClr val="FFFFFF"/>
              </a:solidFill>
              <a:latin typeface="Algerian" panose="04020705040A02060702" pitchFamily="82" charset="0"/>
            </a:rPr>
            <a:t>Portfolio Analysis &amp; Performance Evaluation</a:t>
          </a:r>
        </a:p>
      </xdr:txBody>
    </xdr:sp>
    <xdr:clientData/>
  </xdr:twoCellAnchor>
  <xdr:twoCellAnchor>
    <xdr:from>
      <xdr:col>0</xdr:col>
      <xdr:colOff>8374</xdr:colOff>
      <xdr:row>1</xdr:row>
      <xdr:rowOff>331694</xdr:rowOff>
    </xdr:from>
    <xdr:to>
      <xdr:col>3</xdr:col>
      <xdr:colOff>8965</xdr:colOff>
      <xdr:row>2</xdr:row>
      <xdr:rowOff>368439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1F27170-67FB-FAB7-AE10-D85CB7B629DB}"/>
            </a:ext>
          </a:extLst>
        </xdr:cNvPr>
        <xdr:cNvSpPr txBox="1"/>
      </xdr:nvSpPr>
      <xdr:spPr>
        <a:xfrm>
          <a:off x="8374" y="887506"/>
          <a:ext cx="5729038" cy="413262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ysClr val="windowText" lastClr="000000"/>
              </a:solidFill>
              <a:latin typeface="Arial Black" panose="020B0A04020102020204" pitchFamily="34" charset="0"/>
              <a:ea typeface="Segoe UI Black" panose="020B0A02040204020203" pitchFamily="34" charset="0"/>
            </a:rPr>
            <a:t>Asset Allocation (Weights)</a:t>
          </a:r>
        </a:p>
      </xdr:txBody>
    </xdr:sp>
    <xdr:clientData/>
  </xdr:twoCellAnchor>
  <xdr:twoCellAnchor>
    <xdr:from>
      <xdr:col>0</xdr:col>
      <xdr:colOff>0</xdr:colOff>
      <xdr:row>12</xdr:row>
      <xdr:rowOff>16750</xdr:rowOff>
    </xdr:from>
    <xdr:to>
      <xdr:col>5</xdr:col>
      <xdr:colOff>0</xdr:colOff>
      <xdr:row>13</xdr:row>
      <xdr:rowOff>33496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DE5BD0-931F-7D5E-7F7B-AC6AC339639A}"/>
            </a:ext>
          </a:extLst>
        </xdr:cNvPr>
        <xdr:cNvSpPr txBox="1"/>
      </xdr:nvSpPr>
      <xdr:spPr>
        <a:xfrm>
          <a:off x="0" y="4714256"/>
          <a:ext cx="9547412" cy="393264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300">
              <a:latin typeface="Segoe UI Black" panose="020B0A02040204020203" pitchFamily="34" charset="0"/>
              <a:ea typeface="Segoe UI Black" panose="020B0A02040204020203" pitchFamily="34" charset="0"/>
            </a:rPr>
            <a:t>Asset Risk &amp; Return Inputs</a:t>
          </a:r>
        </a:p>
      </xdr:txBody>
    </xdr:sp>
    <xdr:clientData/>
  </xdr:twoCellAnchor>
  <xdr:twoCellAnchor>
    <xdr:from>
      <xdr:col>6</xdr:col>
      <xdr:colOff>17930</xdr:colOff>
      <xdr:row>11</xdr:row>
      <xdr:rowOff>286871</xdr:rowOff>
    </xdr:from>
    <xdr:to>
      <xdr:col>9</xdr:col>
      <xdr:colOff>1884068</xdr:colOff>
      <xdr:row>13</xdr:row>
      <xdr:rowOff>8374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3D2F64F-FA2D-7E27-A941-C4D435A4F38E}"/>
            </a:ext>
          </a:extLst>
        </xdr:cNvPr>
        <xdr:cNvSpPr txBox="1"/>
      </xdr:nvSpPr>
      <xdr:spPr>
        <a:xfrm>
          <a:off x="11474824" y="4607859"/>
          <a:ext cx="7594585" cy="474539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300">
              <a:latin typeface="Segoe UI Black" panose="020B0A02040204020203" pitchFamily="34" charset="0"/>
              <a:ea typeface="Segoe UI Black" panose="020B0A02040204020203" pitchFamily="34" charset="0"/>
            </a:rPr>
            <a:t>Key Correlation Pairs</a:t>
          </a:r>
        </a:p>
      </xdr:txBody>
    </xdr:sp>
    <xdr:clientData/>
  </xdr:twoCellAnchor>
  <xdr:twoCellAnchor>
    <xdr:from>
      <xdr:col>6</xdr:col>
      <xdr:colOff>9126</xdr:colOff>
      <xdr:row>1</xdr:row>
      <xdr:rowOff>295835</xdr:rowOff>
    </xdr:from>
    <xdr:to>
      <xdr:col>8</xdr:col>
      <xdr:colOff>33494</xdr:colOff>
      <xdr:row>3</xdr:row>
      <xdr:rowOff>293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7560DE-4D10-1D44-F056-228CB666E992}"/>
            </a:ext>
          </a:extLst>
        </xdr:cNvPr>
        <xdr:cNvSpPr txBox="1"/>
      </xdr:nvSpPr>
      <xdr:spPr>
        <a:xfrm>
          <a:off x="11466020" y="851647"/>
          <a:ext cx="3843333" cy="457493"/>
        </a:xfrm>
        <a:prstGeom prst="rect">
          <a:avLst/>
        </a:prstGeom>
        <a:ln/>
        <a:scene3d>
          <a:camera prst="obliqueTopLeft"/>
          <a:lightRig rig="threePt" dir="t"/>
        </a:scene3d>
        <a:sp3d>
          <a:bevelT w="165100" prst="coolSlant"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latin typeface="Arial Black" panose="020B0A04020102020204" pitchFamily="34" charset="0"/>
              <a:ea typeface="Segoe UI Black" panose="020B0A02040204020203" pitchFamily="34" charset="0"/>
            </a:rPr>
            <a:t>Benchmark Performance Comparison</a:t>
          </a:r>
        </a:p>
      </xdr:txBody>
    </xdr:sp>
    <xdr:clientData/>
  </xdr:twoCellAnchor>
  <xdr:twoCellAnchor>
    <xdr:from>
      <xdr:col>1</xdr:col>
      <xdr:colOff>795494</xdr:colOff>
      <xdr:row>10</xdr:row>
      <xdr:rowOff>16747</xdr:rowOff>
    </xdr:from>
    <xdr:to>
      <xdr:col>1</xdr:col>
      <xdr:colOff>1353671</xdr:colOff>
      <xdr:row>11</xdr:row>
      <xdr:rowOff>367553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B00C36B8-655A-E994-1A12-9AE60AA953F4}"/>
            </a:ext>
          </a:extLst>
        </xdr:cNvPr>
        <xdr:cNvSpPr/>
      </xdr:nvSpPr>
      <xdr:spPr>
        <a:xfrm>
          <a:off x="2704976" y="3961218"/>
          <a:ext cx="558177" cy="727323"/>
        </a:xfrm>
        <a:prstGeom prst="downArrow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58615</xdr:colOff>
      <xdr:row>15</xdr:row>
      <xdr:rowOff>226088</xdr:rowOff>
    </xdr:from>
    <xdr:to>
      <xdr:col>5</xdr:col>
      <xdr:colOff>1683099</xdr:colOff>
      <xdr:row>17</xdr:row>
      <xdr:rowOff>234462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3A14E28E-FFA1-5510-4DF6-E7D420ADD0BF}"/>
            </a:ext>
          </a:extLst>
        </xdr:cNvPr>
        <xdr:cNvSpPr/>
      </xdr:nvSpPr>
      <xdr:spPr>
        <a:xfrm>
          <a:off x="9604549" y="6054132"/>
          <a:ext cx="1624484" cy="762000"/>
        </a:xfrm>
        <a:prstGeom prst="rightArrow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1808702</xdr:colOff>
      <xdr:row>8</xdr:row>
      <xdr:rowOff>35859</xdr:rowOff>
    </xdr:from>
    <xdr:to>
      <xdr:col>7</xdr:col>
      <xdr:colOff>654423</xdr:colOff>
      <xdr:row>11</xdr:row>
      <xdr:rowOff>233083</xdr:rowOff>
    </xdr:to>
    <xdr:sp macro="" textlink="">
      <xdr:nvSpPr>
        <xdr:cNvPr id="17" name="Arrow: Up 16">
          <a:extLst>
            <a:ext uri="{FF2B5EF4-FFF2-40B4-BE49-F238E27FC236}">
              <a16:creationId xmlns:a16="http://schemas.microsoft.com/office/drawing/2014/main" id="{38FC7CFF-D430-2140-BBFC-63CE0064A31B}"/>
            </a:ext>
          </a:extLst>
        </xdr:cNvPr>
        <xdr:cNvSpPr/>
      </xdr:nvSpPr>
      <xdr:spPr>
        <a:xfrm>
          <a:off x="13265596" y="3227294"/>
          <a:ext cx="755203" cy="1326777"/>
        </a:xfrm>
        <a:prstGeom prst="upArrow">
          <a:avLst/>
        </a:prstGeom>
        <a:scene3d>
          <a:camera prst="orthographicFront"/>
          <a:lightRig rig="threePt" dir="t"/>
        </a:scene3d>
        <a:sp3d>
          <a:bevelT w="114300" prst="artDeco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1219201</xdr:colOff>
      <xdr:row>7</xdr:row>
      <xdr:rowOff>28389</xdr:rowOff>
    </xdr:from>
    <xdr:to>
      <xdr:col>17</xdr:col>
      <xdr:colOff>41563</xdr:colOff>
      <xdr:row>19</xdr:row>
      <xdr:rowOff>69272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42BFCE-FC8A-49D3-8731-E17E8AF20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0</xdr:rowOff>
    </xdr:from>
    <xdr:to>
      <xdr:col>8</xdr:col>
      <xdr:colOff>1343891</xdr:colOff>
      <xdr:row>19</xdr:row>
      <xdr:rowOff>55417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A40CA7-DD92-41B1-95ED-B2714A604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845820</xdr:colOff>
      <xdr:row>10</xdr:row>
      <xdr:rowOff>304800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4B5437E-D6E1-E4B0-B40D-8DF3EE425773}"/>
            </a:ext>
          </a:extLst>
        </xdr:cNvPr>
        <xdr:cNvSpPr txBox="1"/>
      </xdr:nvSpPr>
      <xdr:spPr>
        <a:xfrm>
          <a:off x="7383780" y="2827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954845</xdr:colOff>
      <xdr:row>36</xdr:row>
      <xdr:rowOff>218636</xdr:rowOff>
    </xdr:from>
    <xdr:to>
      <xdr:col>8</xdr:col>
      <xdr:colOff>1324590</xdr:colOff>
      <xdr:row>48</xdr:row>
      <xdr:rowOff>200348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8F6C8E1-BD2B-48C5-8253-9D04B396E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41564</xdr:colOff>
      <xdr:row>20</xdr:row>
      <xdr:rowOff>387928</xdr:rowOff>
    </xdr:from>
    <xdr:to>
      <xdr:col>17</xdr:col>
      <xdr:colOff>0</xdr:colOff>
      <xdr:row>28</xdr:row>
      <xdr:rowOff>27709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C2E36-D569-4B4B-A88D-CB73A7F6F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19</xdr:col>
      <xdr:colOff>1330037</xdr:colOff>
      <xdr:row>1</xdr:row>
      <xdr:rowOff>401782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D36938-5048-02F6-61BA-CAA00F931799}"/>
            </a:ext>
          </a:extLst>
        </xdr:cNvPr>
        <xdr:cNvSpPr txBox="1"/>
      </xdr:nvSpPr>
      <xdr:spPr>
        <a:xfrm>
          <a:off x="0" y="0"/>
          <a:ext cx="27127201" cy="1122218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200">
              <a:solidFill>
                <a:srgbClr val="FFFFFF"/>
              </a:solidFill>
              <a:latin typeface="Algerian" panose="04020705040A02060702" pitchFamily="82" charset="0"/>
            </a:rPr>
            <a:t>Portfolio Performance &amp; Risk Analysis Dashboard</a:t>
          </a:r>
        </a:p>
      </xdr:txBody>
    </xdr:sp>
    <xdr:clientData/>
  </xdr:twoCellAnchor>
  <xdr:twoCellAnchor>
    <xdr:from>
      <xdr:col>0</xdr:col>
      <xdr:colOff>55418</xdr:colOff>
      <xdr:row>1</xdr:row>
      <xdr:rowOff>360219</xdr:rowOff>
    </xdr:from>
    <xdr:to>
      <xdr:col>3</xdr:col>
      <xdr:colOff>415637</xdr:colOff>
      <xdr:row>6</xdr:row>
      <xdr:rowOff>27710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BEAAC28-D3D4-B623-27C7-4EBE680C43AA}"/>
            </a:ext>
          </a:extLst>
        </xdr:cNvPr>
        <xdr:cNvSpPr txBox="1"/>
      </xdr:nvSpPr>
      <xdr:spPr>
        <a:xfrm>
          <a:off x="55418" y="1080655"/>
          <a:ext cx="4433455" cy="1953491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4">
            <a:shade val="15000"/>
          </a:schemeClr>
        </a:lnRef>
        <a:fillRef idx="1001">
          <a:schemeClr val="dk2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rgbClr val="FF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Expected Return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2800" b="1">
            <a:solidFill>
              <a:schemeClr val="dk1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 i="0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12.67%</a:t>
          </a:r>
          <a:r>
            <a:rPr lang="en-IN" sz="2400" b="1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 </a:t>
          </a:r>
          <a:endParaRPr lang="en-IN" sz="2400">
            <a:solidFill>
              <a:srgbClr val="00FFFF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4</xdr:col>
      <xdr:colOff>27708</xdr:colOff>
      <xdr:row>1</xdr:row>
      <xdr:rowOff>401783</xdr:rowOff>
    </xdr:from>
    <xdr:to>
      <xdr:col>7</xdr:col>
      <xdr:colOff>389312</xdr:colOff>
      <xdr:row>6</xdr:row>
      <xdr:rowOff>72599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8C0D8B-29B1-A237-2C43-6C1458542F94}"/>
            </a:ext>
          </a:extLst>
        </xdr:cNvPr>
        <xdr:cNvSpPr txBox="1"/>
      </xdr:nvSpPr>
      <xdr:spPr>
        <a:xfrm>
          <a:off x="5458690" y="1122219"/>
          <a:ext cx="4434840" cy="1956816"/>
        </a:xfrm>
        <a:prstGeom prst="rect">
          <a:avLst/>
        </a:prstGeom>
        <a:ln/>
        <a:effectLst>
          <a:innerShdw blurRad="114300">
            <a:prstClr val="black"/>
          </a:innerShdw>
        </a:effectLst>
        <a:scene3d>
          <a:camera prst="obliqueBottomLeft"/>
          <a:lightRig rig="threePt" dir="t"/>
        </a:scene3d>
        <a:sp3d>
          <a:bevelT w="114300" prst="artDeco"/>
        </a:sp3d>
      </xdr:spPr>
      <xdr:style>
        <a:lnRef idx="1">
          <a:schemeClr val="dk1"/>
        </a:lnRef>
        <a:fillRef idx="1001">
          <a:schemeClr val="dk2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rgbClr val="FF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Risk Level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2800" b="1">
            <a:solidFill>
              <a:srgbClr val="FFFFFF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 i="0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Medium</a:t>
          </a:r>
          <a:r>
            <a:rPr lang="en-IN" sz="2800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 </a:t>
          </a:r>
          <a:endParaRPr lang="en-IN" sz="2800">
            <a:solidFill>
              <a:srgbClr val="00FFFF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8</xdr:col>
      <xdr:colOff>110835</xdr:colOff>
      <xdr:row>1</xdr:row>
      <xdr:rowOff>415637</xdr:rowOff>
    </xdr:from>
    <xdr:to>
      <xdr:col>11</xdr:col>
      <xdr:colOff>472439</xdr:colOff>
      <xdr:row>6</xdr:row>
      <xdr:rowOff>86453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3D35402-44A3-1E7E-C52E-D10EB189DEE7}"/>
            </a:ext>
          </a:extLst>
        </xdr:cNvPr>
        <xdr:cNvSpPr txBox="1"/>
      </xdr:nvSpPr>
      <xdr:spPr>
        <a:xfrm>
          <a:off x="10972799" y="1136073"/>
          <a:ext cx="4434840" cy="1956816"/>
        </a:xfrm>
        <a:prstGeom prst="rect">
          <a:avLst/>
        </a:prstGeom>
        <a:ln/>
        <a:effectLst>
          <a:innerShdw blurRad="114300">
            <a:prstClr val="black"/>
          </a:innerShdw>
        </a:effectLst>
        <a:scene3d>
          <a:camera prst="obliqueBottomLeft"/>
          <a:lightRig rig="threePt" dir="t"/>
        </a:scene3d>
        <a:sp3d>
          <a:bevelT w="114300" prst="artDeco"/>
        </a:sp3d>
      </xdr:spPr>
      <xdr:style>
        <a:lnRef idx="1">
          <a:schemeClr val="dk1"/>
        </a:lnRef>
        <a:fillRef idx="1001">
          <a:schemeClr val="dk2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>
              <a:solidFill>
                <a:srgbClr val="FF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 Benchmark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2800">
            <a:solidFill>
              <a:srgbClr val="FFFFFF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IN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 i="0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14.87%</a:t>
          </a:r>
          <a:r>
            <a:rPr lang="en-IN" sz="2800" b="1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 </a:t>
          </a:r>
          <a:endParaRPr lang="en-IN" sz="2800">
            <a:solidFill>
              <a:srgbClr val="00FFFF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15</xdr:col>
      <xdr:colOff>1330035</xdr:colOff>
      <xdr:row>1</xdr:row>
      <xdr:rowOff>415636</xdr:rowOff>
    </xdr:from>
    <xdr:to>
      <xdr:col>19</xdr:col>
      <xdr:colOff>333893</xdr:colOff>
      <xdr:row>6</xdr:row>
      <xdr:rowOff>86452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A93F84E-29B5-BFA5-B6A9-3AD23B166041}"/>
            </a:ext>
          </a:extLst>
        </xdr:cNvPr>
        <xdr:cNvSpPr txBox="1"/>
      </xdr:nvSpPr>
      <xdr:spPr>
        <a:xfrm>
          <a:off x="21696217" y="1136072"/>
          <a:ext cx="4434840" cy="1956816"/>
        </a:xfrm>
        <a:prstGeom prst="rect">
          <a:avLst/>
        </a:prstGeom>
        <a:ln>
          <a:noFill/>
        </a:ln>
        <a:effectLst>
          <a:innerShdw blurRad="114300">
            <a:prstClr val="black"/>
          </a:innerShdw>
        </a:effectLst>
        <a:scene3d>
          <a:camera prst="obliqueBottomLeft"/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1">
          <a:schemeClr val="dk1"/>
        </a:lnRef>
        <a:fillRef idx="1001">
          <a:schemeClr val="dk2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rgbClr val="FF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Status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rgbClr val="FF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 </a:t>
          </a:r>
          <a:r>
            <a:rPr lang="en-IN" sz="2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2800">
            <a:effectLst/>
          </a:endParaRPr>
        </a:p>
        <a:p>
          <a:endParaRPr lang="en-IN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 i="0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Underperformed</a:t>
          </a:r>
          <a:r>
            <a:rPr lang="en-IN" sz="2800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 </a:t>
          </a:r>
          <a:endParaRPr lang="en-IN" sz="2800">
            <a:solidFill>
              <a:srgbClr val="00FFFF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12</xdr:col>
      <xdr:colOff>110837</xdr:colOff>
      <xdr:row>1</xdr:row>
      <xdr:rowOff>401782</xdr:rowOff>
    </xdr:from>
    <xdr:to>
      <xdr:col>15</xdr:col>
      <xdr:colOff>472440</xdr:colOff>
      <xdr:row>6</xdr:row>
      <xdr:rowOff>72598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037EB69-070A-5258-89E0-1B143F399E13}"/>
            </a:ext>
          </a:extLst>
        </xdr:cNvPr>
        <xdr:cNvSpPr txBox="1"/>
      </xdr:nvSpPr>
      <xdr:spPr>
        <a:xfrm>
          <a:off x="16403782" y="1122218"/>
          <a:ext cx="4434840" cy="1956816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1001">
          <a:schemeClr val="dk2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>
              <a:solidFill>
                <a:srgbClr val="FF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OUTPERFORMANCE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2800">
            <a:solidFill>
              <a:srgbClr val="FFFFFF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 i="0">
              <a:solidFill>
                <a:srgbClr val="00FFFF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-2.20% </a:t>
          </a:r>
          <a:endParaRPr lang="en-IN" sz="2800">
            <a:solidFill>
              <a:srgbClr val="00FFFF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13855</xdr:colOff>
      <xdr:row>21</xdr:row>
      <xdr:rowOff>13855</xdr:rowOff>
    </xdr:from>
    <xdr:to>
      <xdr:col>1</xdr:col>
      <xdr:colOff>1330037</xdr:colOff>
      <xdr:row>28</xdr:row>
      <xdr:rowOff>13855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9A9AB7D-AE5D-80E1-7859-14FA2F9335AF}"/>
            </a:ext>
          </a:extLst>
        </xdr:cNvPr>
        <xdr:cNvSpPr txBox="1"/>
      </xdr:nvSpPr>
      <xdr:spPr>
        <a:xfrm>
          <a:off x="13855" y="9878291"/>
          <a:ext cx="2673927" cy="4793673"/>
        </a:xfrm>
        <a:prstGeom prst="rect">
          <a:avLst/>
        </a:prstGeom>
        <a:ln>
          <a:noFill/>
        </a:ln>
        <a:effectLst>
          <a:innerShdw blurRad="114300">
            <a:prstClr val="black"/>
          </a:innerShdw>
        </a:effectLst>
        <a:scene3d>
          <a:camera prst="obliqueBottomLef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IN" sz="2800">
              <a:solidFill>
                <a:srgbClr val="00FFFF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Asset Correlation Matrix</a:t>
          </a:r>
        </a:p>
      </xdr:txBody>
    </xdr:sp>
    <xdr:clientData/>
  </xdr:twoCellAnchor>
  <xdr:twoCellAnchor>
    <xdr:from>
      <xdr:col>17</xdr:col>
      <xdr:colOff>41563</xdr:colOff>
      <xdr:row>20</xdr:row>
      <xdr:rowOff>360219</xdr:rowOff>
    </xdr:from>
    <xdr:to>
      <xdr:col>18</xdr:col>
      <xdr:colOff>1330036</xdr:colOff>
      <xdr:row>28</xdr:row>
      <xdr:rowOff>13855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42DDA5A-BB7F-ED93-DF22-6B2037D5D802}"/>
            </a:ext>
          </a:extLst>
        </xdr:cNvPr>
        <xdr:cNvSpPr txBox="1"/>
      </xdr:nvSpPr>
      <xdr:spPr>
        <a:xfrm>
          <a:off x="23123236" y="9767455"/>
          <a:ext cx="2646218" cy="4904509"/>
        </a:xfrm>
        <a:prstGeom prst="rect">
          <a:avLst/>
        </a:prstGeom>
        <a:ln>
          <a:noFill/>
        </a:ln>
        <a:effectLst>
          <a:innerShdw blurRad="114300">
            <a:prstClr val="black"/>
          </a:innerShdw>
        </a:effectLst>
        <a:scene3d>
          <a:camera prst="obliqueBottomLef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vert="vert" wrap="square" rtlCol="0" anchor="ctr"/>
        <a:lstStyle/>
        <a:p>
          <a:pPr algn="ctr"/>
          <a:r>
            <a:rPr lang="en-IN" sz="2800">
              <a:solidFill>
                <a:srgbClr val="00FFFF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Asset Risk Classification</a:t>
          </a:r>
        </a:p>
      </xdr:txBody>
    </xdr:sp>
    <xdr:clientData/>
  </xdr:twoCellAnchor>
  <xdr:twoCellAnchor>
    <xdr:from>
      <xdr:col>0</xdr:col>
      <xdr:colOff>41565</xdr:colOff>
      <xdr:row>7</xdr:row>
      <xdr:rowOff>13855</xdr:rowOff>
    </xdr:from>
    <xdr:to>
      <xdr:col>1</xdr:col>
      <xdr:colOff>1330038</xdr:colOff>
      <xdr:row>19</xdr:row>
      <xdr:rowOff>13855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A7B18D9-7C4A-C2ED-6205-B9CFC026EECA}"/>
            </a:ext>
          </a:extLst>
        </xdr:cNvPr>
        <xdr:cNvSpPr txBox="1"/>
      </xdr:nvSpPr>
      <xdr:spPr>
        <a:xfrm>
          <a:off x="41565" y="3477491"/>
          <a:ext cx="2646218" cy="5486400"/>
        </a:xfrm>
        <a:prstGeom prst="rect">
          <a:avLst/>
        </a:prstGeom>
        <a:ln>
          <a:noFill/>
        </a:ln>
        <a:effectLst>
          <a:innerShdw blurRad="114300">
            <a:prstClr val="black"/>
          </a:innerShdw>
        </a:effectLst>
        <a:scene3d>
          <a:camera prst="obliqueBottomLef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IN" sz="2400">
              <a:solidFill>
                <a:srgbClr val="00FFFF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Risk vs Return Analysis (Monthly)</a:t>
          </a:r>
        </a:p>
      </xdr:txBody>
    </xdr:sp>
    <xdr:clientData/>
  </xdr:twoCellAnchor>
  <xdr:twoCellAnchor>
    <xdr:from>
      <xdr:col>17</xdr:col>
      <xdr:colOff>96982</xdr:colOff>
      <xdr:row>7</xdr:row>
      <xdr:rowOff>27709</xdr:rowOff>
    </xdr:from>
    <xdr:to>
      <xdr:col>18</xdr:col>
      <xdr:colOff>1343891</xdr:colOff>
      <xdr:row>19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59ADEFE-E98A-9037-E975-2BD71D54AC75}"/>
            </a:ext>
          </a:extLst>
        </xdr:cNvPr>
        <xdr:cNvSpPr txBox="1"/>
      </xdr:nvSpPr>
      <xdr:spPr>
        <a:xfrm>
          <a:off x="23178655" y="3491345"/>
          <a:ext cx="2604654" cy="5458691"/>
        </a:xfrm>
        <a:prstGeom prst="rect">
          <a:avLst/>
        </a:prstGeom>
        <a:ln>
          <a:noFill/>
        </a:ln>
        <a:effectLst>
          <a:innerShdw blurRad="114300">
            <a:prstClr val="black"/>
          </a:innerShdw>
        </a:effectLst>
        <a:scene3d>
          <a:camera prst="obliqueBottomLeft"/>
          <a:lightRig rig="threePt" dir="t"/>
        </a:scene3d>
        <a:sp3d>
          <a:bevelT w="165100" prst="coolSlant"/>
        </a:sp3d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vert="vert" wrap="square" rtlCol="0" anchor="ctr"/>
        <a:lstStyle/>
        <a:p>
          <a:pPr algn="ctr"/>
          <a:r>
            <a:rPr lang="en-IN" sz="3200">
              <a:solidFill>
                <a:srgbClr val="00FFFF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Weighted Risk Contribution by Asset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" refreshedDate="46008.574049884257" createdVersion="8" refreshedVersion="8" minRefreshableVersion="3" recordCount="360" xr:uid="{D0DDD348-8BA7-4F12-800A-991C9F759263}">
  <cacheSource type="worksheet">
    <worksheetSource name="Table_Raw_Price"/>
  </cacheSource>
  <cacheFields count="6">
    <cacheField name="Dates" numFmtId="14">
      <sharedItems containsSemiMixedTypes="0" containsNonDate="0" containsDate="1" containsString="0" minDate="2020-01-31T00:00:00" maxDate="2025-01-01T00:00:00" count="60">
        <d v="2024-12-31T00:00:00"/>
        <d v="2024-11-30T00:00:00"/>
        <d v="2024-10-31T00:00:00"/>
        <d v="2024-09-30T00:00:00"/>
        <d v="2024-08-31T00:00:00"/>
        <d v="2024-07-31T00:00:00"/>
        <d v="2024-06-30T00:00:00"/>
        <d v="2024-05-31T00:00:00"/>
        <d v="2024-04-30T00:00:00"/>
        <d v="2024-03-31T00:00:00"/>
        <d v="2024-02-29T00:00:00"/>
        <d v="2024-01-31T00:00:00"/>
        <d v="2023-12-31T00:00:00"/>
        <d v="2023-11-30T00:00:00"/>
        <d v="2023-10-31T00:00:00"/>
        <d v="2023-09-30T00:00:00"/>
        <d v="2023-08-31T00:00:00"/>
        <d v="2023-07-31T00:00:00"/>
        <d v="2023-06-30T00:00:00"/>
        <d v="2023-05-31T00:00:00"/>
        <d v="2023-04-30T00:00:00"/>
        <d v="2023-03-31T00:00:00"/>
        <d v="2023-02-28T00:00:00"/>
        <d v="2023-01-31T00:00:00"/>
        <d v="2022-12-31T00:00:00"/>
        <d v="2022-11-30T00:00:00"/>
        <d v="2022-10-31T00:00:00"/>
        <d v="2022-09-30T00:00:00"/>
        <d v="2022-08-31T00:00:00"/>
        <d v="2022-07-31T00:00:00"/>
        <d v="2022-06-30T00:00:00"/>
        <d v="2022-05-31T00:00:00"/>
        <d v="2022-04-30T00:00:00"/>
        <d v="2022-03-31T00:00:00"/>
        <d v="2022-02-28T00:00:00"/>
        <d v="2022-01-31T00:00:00"/>
        <d v="2021-12-31T00:00:00"/>
        <d v="2021-11-30T00:00:00"/>
        <d v="2021-10-31T00:00:00"/>
        <d v="2021-09-30T00:00:00"/>
        <d v="2021-08-31T00:00:00"/>
        <d v="2021-07-31T00:00:00"/>
        <d v="2021-06-30T00:00:00"/>
        <d v="2021-05-31T00:00:00"/>
        <d v="2021-04-30T00:00:00"/>
        <d v="2021-03-31T00:00:00"/>
        <d v="2021-02-28T00:00:00"/>
        <d v="2021-01-31T00:00:00"/>
        <d v="2020-12-31T00:00:00"/>
        <d v="2020-11-30T00:00:00"/>
        <d v="2020-10-31T00:00:00"/>
        <d v="2020-09-30T00:00:00"/>
        <d v="2020-08-31T00:00:00"/>
        <d v="2020-07-31T00:00:00"/>
        <d v="2020-06-30T00:00:00"/>
        <d v="2020-05-31T00:00:00"/>
        <d v="2020-04-30T00:00:00"/>
        <d v="2020-03-31T00:00:00"/>
        <d v="2020-02-29T00:00:00"/>
        <d v="2020-01-31T00:00:00"/>
      </sharedItems>
    </cacheField>
    <cacheField name="Asset" numFmtId="0">
      <sharedItems count="6">
        <s v="Debt_Fund"/>
        <s v="GoldBeES"/>
        <s v="HDFCBANK"/>
        <s v="ITC"/>
        <s v="NIFTY50"/>
        <s v="TCS"/>
      </sharedItems>
    </cacheField>
    <cacheField name="Price" numFmtId="0">
      <sharedItems containsSemiMixedTypes="0" containsString="0" containsNumber="1" minValue="28.8169" maxValue="25811"/>
    </cacheField>
    <cacheField name="Year" numFmtId="0">
      <sharedItems containsSemiMixedTypes="0" containsString="0" containsNumber="1" containsInteger="1" minValue="2020" maxValue="2024" count="5">
        <n v="2024"/>
        <n v="2023"/>
        <n v="2022"/>
        <n v="2021"/>
        <n v="2020"/>
      </sharedItems>
    </cacheField>
    <cacheField name="Month" numFmtId="0">
      <sharedItems/>
    </cacheField>
    <cacheField name="Check" numFmtId="0">
      <sharedItems/>
    </cacheField>
  </cacheFields>
  <extLst>
    <ext xmlns:x14="http://schemas.microsoft.com/office/spreadsheetml/2009/9/main" uri="{725AE2AE-9491-48be-B2B4-4EB974FC3084}">
      <x14:pivotCacheDefinition pivotCacheId="101866018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" refreshedDate="46008.574050000003" createdVersion="8" refreshedVersion="8" minRefreshableVersion="3" recordCount="360" xr:uid="{7FD5C1C7-C02A-44A6-8520-ADBD8698DF8A}">
  <cacheSource type="worksheet">
    <worksheetSource name="append_data3"/>
  </cacheSource>
  <cacheFields count="7">
    <cacheField name="Dates" numFmtId="14">
      <sharedItems containsSemiMixedTypes="0" containsNonDate="0" containsDate="1" containsString="0" minDate="2020-01-31T00:00:00" maxDate="2025-01-01T00:00:00" count="60">
        <d v="2020-01-31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</sharedItems>
      <fieldGroup par="6"/>
    </cacheField>
    <cacheField name="Asset" numFmtId="0">
      <sharedItems count="6">
        <s v="Debt_Fund"/>
        <s v="GoldBeES"/>
        <s v="HDFCBANK"/>
        <s v="ITC"/>
        <s v="NIFTY50"/>
        <s v="TCS"/>
      </sharedItems>
    </cacheField>
    <cacheField name="Price" numFmtId="0">
      <sharedItems containsSemiMixedTypes="0" containsString="0" containsNumber="1" minValue="28.8169" maxValue="25811"/>
    </cacheField>
    <cacheField name="Monthly_Return" numFmtId="10">
      <sharedItems containsMixedTypes="1" containsNumber="1" minValue="-0.26881720430107525" maxValue="0.21568627450980382"/>
    </cacheField>
    <cacheField name="Months (Dates)" numFmtId="0" databaseField="0">
      <fieldGroup base="0">
        <rangePr groupBy="months" startDate="2020-01-31T00:00:00" endDate="2025-01-01T00:00:00"/>
        <groupItems count="14">
          <s v="&lt;1/3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Dates)" numFmtId="0" databaseField="0">
      <fieldGroup base="0">
        <rangePr groupBy="quarters" startDate="2020-01-31T00:00:00" endDate="2025-01-01T00:00:00"/>
        <groupItems count="6">
          <s v="&lt;1/31/2020"/>
          <s v="Qtr1"/>
          <s v="Qtr2"/>
          <s v="Qtr3"/>
          <s v="Qtr4"/>
          <s v="&gt;1/1/2025"/>
        </groupItems>
      </fieldGroup>
    </cacheField>
    <cacheField name="Years (Dates)" numFmtId="0" databaseField="0">
      <fieldGroup base="0">
        <rangePr groupBy="years" startDate="2020-01-31T00:00:00" endDate="2025-01-01T00:00:00"/>
        <groupItems count="8">
          <s v="&lt;1/31/2020"/>
          <s v="2020"/>
          <s v="2021"/>
          <s v="2022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 pivotCacheId="20554437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n v="40.617400000000004"/>
    <x v="0"/>
    <s v="Dec"/>
    <s v="Ok"/>
  </r>
  <r>
    <x v="0"/>
    <x v="1"/>
    <n v="64"/>
    <x v="0"/>
    <s v="Dec"/>
    <s v="Ok"/>
  </r>
  <r>
    <x v="0"/>
    <x v="2"/>
    <n v="875"/>
    <x v="0"/>
    <s v="Dec"/>
    <s v="Ok"/>
  </r>
  <r>
    <x v="0"/>
    <x v="3"/>
    <n v="468"/>
    <x v="0"/>
    <s v="Dec"/>
    <s v="Ok"/>
  </r>
  <r>
    <x v="0"/>
    <x v="4"/>
    <n v="23645"/>
    <x v="0"/>
    <s v="Dec"/>
    <s v="Ok"/>
  </r>
  <r>
    <x v="0"/>
    <x v="5"/>
    <n v="3957"/>
    <x v="0"/>
    <s v="Dec"/>
    <s v="Ok"/>
  </r>
  <r>
    <x v="1"/>
    <x v="0"/>
    <n v="40.425199999999997"/>
    <x v="0"/>
    <s v="Nov"/>
    <s v="Ok"/>
  </r>
  <r>
    <x v="1"/>
    <x v="1"/>
    <n v="64"/>
    <x v="0"/>
    <s v="Nov"/>
    <s v="Ok"/>
  </r>
  <r>
    <x v="1"/>
    <x v="2"/>
    <n v="886"/>
    <x v="0"/>
    <s v="Nov"/>
    <s v="Ok"/>
  </r>
  <r>
    <x v="1"/>
    <x v="3"/>
    <n v="461"/>
    <x v="0"/>
    <s v="Nov"/>
    <s v="Ok"/>
  </r>
  <r>
    <x v="1"/>
    <x v="4"/>
    <n v="24131"/>
    <x v="0"/>
    <s v="Nov"/>
    <s v="Ok"/>
  </r>
  <r>
    <x v="1"/>
    <x v="5"/>
    <n v="4127"/>
    <x v="0"/>
    <s v="Nov"/>
    <s v="Ok"/>
  </r>
  <r>
    <x v="2"/>
    <x v="0"/>
    <n v="40.114400000000003"/>
    <x v="0"/>
    <s v="Oct"/>
    <s v="Ok"/>
  </r>
  <r>
    <x v="2"/>
    <x v="1"/>
    <n v="67"/>
    <x v="0"/>
    <s v="Oct"/>
    <s v="Ok"/>
  </r>
  <r>
    <x v="2"/>
    <x v="2"/>
    <n v="856"/>
    <x v="0"/>
    <s v="Oct"/>
    <s v="Ok"/>
  </r>
  <r>
    <x v="2"/>
    <x v="3"/>
    <n v="472"/>
    <x v="0"/>
    <s v="Oct"/>
    <s v="Ok"/>
  </r>
  <r>
    <x v="2"/>
    <x v="4"/>
    <n v="24205"/>
    <x v="0"/>
    <s v="Oct"/>
    <s v="Ok"/>
  </r>
  <r>
    <x v="2"/>
    <x v="5"/>
    <n v="3826"/>
    <x v="0"/>
    <s v="Oct"/>
    <s v="Ok"/>
  </r>
  <r>
    <x v="3"/>
    <x v="0"/>
    <n v="39.996200000000002"/>
    <x v="0"/>
    <s v="Sep"/>
    <s v="Ok"/>
  </r>
  <r>
    <x v="3"/>
    <x v="1"/>
    <n v="64"/>
    <x v="0"/>
    <s v="Sep"/>
    <s v="Ok"/>
  </r>
  <r>
    <x v="3"/>
    <x v="2"/>
    <n v="854"/>
    <x v="0"/>
    <s v="Sep"/>
    <s v="Ok"/>
  </r>
  <r>
    <x v="3"/>
    <x v="3"/>
    <n v="501"/>
    <x v="0"/>
    <s v="Sep"/>
    <s v="Ok"/>
  </r>
  <r>
    <x v="3"/>
    <x v="4"/>
    <n v="25811"/>
    <x v="0"/>
    <s v="Sep"/>
    <s v="Ok"/>
  </r>
  <r>
    <x v="3"/>
    <x v="5"/>
    <n v="4115"/>
    <x v="0"/>
    <s v="Sep"/>
    <s v="Ok"/>
  </r>
  <r>
    <x v="4"/>
    <x v="0"/>
    <n v="39.534799999999997"/>
    <x v="0"/>
    <s v="Aug"/>
    <s v="Ok"/>
  </r>
  <r>
    <x v="4"/>
    <x v="1"/>
    <n v="61"/>
    <x v="0"/>
    <s v="Aug"/>
    <s v="Ok"/>
  </r>
  <r>
    <x v="4"/>
    <x v="2"/>
    <n v="808"/>
    <x v="0"/>
    <s v="Aug"/>
    <s v="Ok"/>
  </r>
  <r>
    <x v="4"/>
    <x v="3"/>
    <n v="485"/>
    <x v="0"/>
    <s v="Aug"/>
    <s v="Ok"/>
  </r>
  <r>
    <x v="4"/>
    <x v="4"/>
    <n v="25236"/>
    <x v="0"/>
    <s v="Aug"/>
    <s v="Ok"/>
  </r>
  <r>
    <x v="4"/>
    <x v="5"/>
    <n v="4390"/>
    <x v="0"/>
    <s v="Aug"/>
    <s v="Ok"/>
  </r>
  <r>
    <x v="5"/>
    <x v="0"/>
    <n v="39.193300000000001"/>
    <x v="0"/>
    <s v="Jul"/>
    <s v="Ok"/>
  </r>
  <r>
    <x v="5"/>
    <x v="1"/>
    <n v="59"/>
    <x v="0"/>
    <s v="Jul"/>
    <s v="Ok"/>
  </r>
  <r>
    <x v="5"/>
    <x v="2"/>
    <n v="797"/>
    <x v="0"/>
    <s v="Jul"/>
    <s v="Ok"/>
  </r>
  <r>
    <x v="5"/>
    <x v="3"/>
    <n v="479"/>
    <x v="0"/>
    <s v="Jul"/>
    <s v="Ok"/>
  </r>
  <r>
    <x v="5"/>
    <x v="4"/>
    <n v="24951"/>
    <x v="0"/>
    <s v="Jul"/>
    <s v="Ok"/>
  </r>
  <r>
    <x v="5"/>
    <x v="5"/>
    <n v="4218"/>
    <x v="0"/>
    <s v="Jul"/>
    <s v="Ok"/>
  </r>
  <r>
    <x v="6"/>
    <x v="0"/>
    <n v="38.793100000000003"/>
    <x v="0"/>
    <s v="Jun"/>
    <s v="Ok"/>
  </r>
  <r>
    <x v="6"/>
    <x v="1"/>
    <n v="61"/>
    <x v="0"/>
    <s v="Jun"/>
    <s v="Ok"/>
  </r>
  <r>
    <x v="6"/>
    <x v="2"/>
    <n v="831"/>
    <x v="0"/>
    <s v="Jun"/>
    <s v="Ok"/>
  </r>
  <r>
    <x v="6"/>
    <x v="3"/>
    <n v="404"/>
    <x v="0"/>
    <s v="Jun"/>
    <s v="Ok"/>
  </r>
  <r>
    <x v="6"/>
    <x v="4"/>
    <n v="24011"/>
    <x v="0"/>
    <s v="Jun"/>
    <s v="Ok"/>
  </r>
  <r>
    <x v="6"/>
    <x v="5"/>
    <n v="3755"/>
    <x v="0"/>
    <s v="Jun"/>
    <s v="Ok"/>
  </r>
  <r>
    <x v="7"/>
    <x v="0"/>
    <n v="38.600999999999999"/>
    <x v="0"/>
    <s v="May"/>
    <s v="Ok"/>
  </r>
  <r>
    <x v="7"/>
    <x v="1"/>
    <n v="61"/>
    <x v="0"/>
    <s v="May"/>
    <s v="Ok"/>
  </r>
  <r>
    <x v="7"/>
    <x v="2"/>
    <n v="745"/>
    <x v="0"/>
    <s v="May"/>
    <s v="Ok"/>
  </r>
  <r>
    <x v="7"/>
    <x v="3"/>
    <n v="405"/>
    <x v="0"/>
    <s v="May"/>
    <s v="Ok"/>
  </r>
  <r>
    <x v="7"/>
    <x v="4"/>
    <n v="22531"/>
    <x v="0"/>
    <s v="May"/>
    <s v="Ok"/>
  </r>
  <r>
    <x v="7"/>
    <x v="5"/>
    <n v="3505"/>
    <x v="0"/>
    <s v="May"/>
    <s v="Ok"/>
  </r>
  <r>
    <x v="8"/>
    <x v="0"/>
    <n v="38.079500000000003"/>
    <x v="0"/>
    <s v="Apr"/>
    <s v="Ok"/>
  </r>
  <r>
    <x v="8"/>
    <x v="1"/>
    <n v="61"/>
    <x v="0"/>
    <s v="Apr"/>
    <s v="Ok"/>
  </r>
  <r>
    <x v="8"/>
    <x v="2"/>
    <n v="740"/>
    <x v="0"/>
    <s v="Apr"/>
    <s v="Ok"/>
  </r>
  <r>
    <x v="8"/>
    <x v="3"/>
    <n v="414"/>
    <x v="0"/>
    <s v="Apr"/>
    <s v="Ok"/>
  </r>
  <r>
    <x v="8"/>
    <x v="4"/>
    <n v="22605"/>
    <x v="0"/>
    <s v="Apr"/>
    <s v="Ok"/>
  </r>
  <r>
    <x v="8"/>
    <x v="5"/>
    <n v="3648"/>
    <x v="0"/>
    <s v="Apr"/>
    <s v="Ok"/>
  </r>
  <r>
    <x v="9"/>
    <x v="0"/>
    <n v="38.164400000000001"/>
    <x v="0"/>
    <s v="Mar"/>
    <s v="Ok"/>
  </r>
  <r>
    <x v="9"/>
    <x v="1"/>
    <n v="57"/>
    <x v="0"/>
    <s v="Mar"/>
    <s v="Ok"/>
  </r>
  <r>
    <x v="9"/>
    <x v="2"/>
    <n v="705"/>
    <x v="0"/>
    <s v="Mar"/>
    <s v="Ok"/>
  </r>
  <r>
    <x v="9"/>
    <x v="3"/>
    <n v="407"/>
    <x v="0"/>
    <s v="Mar"/>
    <s v="Ok"/>
  </r>
  <r>
    <x v="9"/>
    <x v="4"/>
    <n v="22327"/>
    <x v="0"/>
    <s v="Mar"/>
    <s v="Ok"/>
  </r>
  <r>
    <x v="9"/>
    <x v="5"/>
    <n v="3701"/>
    <x v="0"/>
    <s v="Mar"/>
    <s v="Ok"/>
  </r>
  <r>
    <x v="10"/>
    <x v="0"/>
    <n v="37.865499999999997"/>
    <x v="0"/>
    <s v="Feb"/>
    <s v="Ok"/>
  </r>
  <r>
    <x v="10"/>
    <x v="1"/>
    <n v="53"/>
    <x v="0"/>
    <s v="Feb"/>
    <s v="Ok"/>
  </r>
  <r>
    <x v="10"/>
    <x v="2"/>
    <n v="683"/>
    <x v="0"/>
    <s v="Feb"/>
    <s v="Ok"/>
  </r>
  <r>
    <x v="10"/>
    <x v="3"/>
    <n v="380"/>
    <x v="0"/>
    <s v="Feb"/>
    <s v="Ok"/>
  </r>
  <r>
    <x v="10"/>
    <x v="4"/>
    <n v="21983"/>
    <x v="0"/>
    <s v="Feb"/>
    <s v="Ok"/>
  </r>
  <r>
    <x v="10"/>
    <x v="5"/>
    <n v="3910"/>
    <x v="0"/>
    <s v="Feb"/>
    <s v="Ok"/>
  </r>
  <r>
    <x v="11"/>
    <x v="0"/>
    <n v="37.516500000000001"/>
    <x v="0"/>
    <s v="Jan"/>
    <s v="Ok"/>
  </r>
  <r>
    <x v="11"/>
    <x v="1"/>
    <n v="53"/>
    <x v="0"/>
    <s v="Jan"/>
    <s v="Ok"/>
  </r>
  <r>
    <x v="11"/>
    <x v="2"/>
    <n v="712"/>
    <x v="0"/>
    <s v="Jan"/>
    <s v="Ok"/>
  </r>
  <r>
    <x v="11"/>
    <x v="3"/>
    <n v="413"/>
    <x v="0"/>
    <s v="Jan"/>
    <s v="Ok"/>
  </r>
  <r>
    <x v="11"/>
    <x v="4"/>
    <n v="21726"/>
    <x v="0"/>
    <s v="Jan"/>
    <s v="Ok"/>
  </r>
  <r>
    <x v="11"/>
    <x v="5"/>
    <n v="3618"/>
    <x v="0"/>
    <s v="Jan"/>
    <s v="Ok"/>
  </r>
  <r>
    <x v="12"/>
    <x v="0"/>
    <n v="37.264099999999999"/>
    <x v="1"/>
    <s v="Dec"/>
    <s v="Ok"/>
  </r>
  <r>
    <x v="12"/>
    <x v="1"/>
    <n v="54"/>
    <x v="1"/>
    <s v="Dec"/>
    <s v="Ok"/>
  </r>
  <r>
    <x v="12"/>
    <x v="2"/>
    <n v="832"/>
    <x v="1"/>
    <s v="Dec"/>
    <s v="Ok"/>
  </r>
  <r>
    <x v="12"/>
    <x v="3"/>
    <n v="433"/>
    <x v="1"/>
    <s v="Dec"/>
    <s v="Ok"/>
  </r>
  <r>
    <x v="12"/>
    <x v="4"/>
    <n v="21731"/>
    <x v="1"/>
    <s v="Dec"/>
    <s v="Ok"/>
  </r>
  <r>
    <x v="12"/>
    <x v="5"/>
    <n v="3597"/>
    <x v="1"/>
    <s v="Dec"/>
    <s v="Ok"/>
  </r>
  <r>
    <x v="13"/>
    <x v="0"/>
    <n v="36.871099999999998"/>
    <x v="1"/>
    <s v="Nov"/>
    <s v="Ok"/>
  </r>
  <r>
    <x v="13"/>
    <x v="1"/>
    <n v="53"/>
    <x v="1"/>
    <s v="Nov"/>
    <s v="Ok"/>
  </r>
  <r>
    <x v="13"/>
    <x v="2"/>
    <n v="759"/>
    <x v="1"/>
    <s v="Nov"/>
    <s v="Ok"/>
  </r>
  <r>
    <x v="13"/>
    <x v="3"/>
    <n v="408"/>
    <x v="1"/>
    <s v="Nov"/>
    <s v="Ok"/>
  </r>
  <r>
    <x v="13"/>
    <x v="4"/>
    <n v="20133"/>
    <x v="1"/>
    <s v="Nov"/>
    <s v="Ok"/>
  </r>
  <r>
    <x v="13"/>
    <x v="5"/>
    <n v="3307"/>
    <x v="1"/>
    <s v="Nov"/>
    <s v="Ok"/>
  </r>
  <r>
    <x v="14"/>
    <x v="0"/>
    <n v="36.552599999999998"/>
    <x v="1"/>
    <s v="Oct"/>
    <s v="Ok"/>
  </r>
  <r>
    <x v="14"/>
    <x v="1"/>
    <n v="52"/>
    <x v="1"/>
    <s v="Oct"/>
    <s v="Ok"/>
  </r>
  <r>
    <x v="14"/>
    <x v="2"/>
    <n v="719"/>
    <x v="1"/>
    <s v="Oct"/>
    <s v="Ok"/>
  </r>
  <r>
    <x v="14"/>
    <x v="3"/>
    <n v="401"/>
    <x v="1"/>
    <s v="Oct"/>
    <s v="Ok"/>
  </r>
  <r>
    <x v="14"/>
    <x v="4"/>
    <n v="19080"/>
    <x v="1"/>
    <s v="Oct"/>
    <s v="Ok"/>
  </r>
  <r>
    <x v="14"/>
    <x v="5"/>
    <n v="3186"/>
    <x v="1"/>
    <s v="Oct"/>
    <s v="Ok"/>
  </r>
  <r>
    <x v="15"/>
    <x v="0"/>
    <n v="36.491"/>
    <x v="1"/>
    <s v="Sep"/>
    <s v="Ok"/>
  </r>
  <r>
    <x v="15"/>
    <x v="1"/>
    <n v="49"/>
    <x v="1"/>
    <s v="Sep"/>
    <s v="Ok"/>
  </r>
  <r>
    <x v="15"/>
    <x v="2"/>
    <n v="743"/>
    <x v="1"/>
    <s v="Sep"/>
    <s v="Ok"/>
  </r>
  <r>
    <x v="15"/>
    <x v="3"/>
    <n v="416"/>
    <x v="1"/>
    <s v="Sep"/>
    <s v="Ok"/>
  </r>
  <r>
    <x v="15"/>
    <x v="4"/>
    <n v="19638"/>
    <x v="1"/>
    <s v="Sep"/>
    <s v="Ok"/>
  </r>
  <r>
    <x v="15"/>
    <x v="5"/>
    <n v="3337"/>
    <x v="1"/>
    <s v="Sep"/>
    <s v="Ok"/>
  </r>
  <r>
    <x v="16"/>
    <x v="0"/>
    <n v="36.3752"/>
    <x v="1"/>
    <s v="Aug"/>
    <s v="Ok"/>
  </r>
  <r>
    <x v="16"/>
    <x v="1"/>
    <n v="50"/>
    <x v="1"/>
    <s v="Aug"/>
    <s v="Ok"/>
  </r>
  <r>
    <x v="16"/>
    <x v="2"/>
    <n v="765"/>
    <x v="1"/>
    <s v="Aug"/>
    <s v="Ok"/>
  </r>
  <r>
    <x v="16"/>
    <x v="3"/>
    <n v="412"/>
    <x v="1"/>
    <s v="Aug"/>
    <s v="Ok"/>
  </r>
  <r>
    <x v="16"/>
    <x v="4"/>
    <n v="19254"/>
    <x v="1"/>
    <s v="Aug"/>
    <s v="Ok"/>
  </r>
  <r>
    <x v="16"/>
    <x v="5"/>
    <n v="3175"/>
    <x v="1"/>
    <s v="Aug"/>
    <s v="Ok"/>
  </r>
  <r>
    <x v="17"/>
    <x v="0"/>
    <n v="36.1327"/>
    <x v="1"/>
    <s v="Jul"/>
    <s v="Ok"/>
  </r>
  <r>
    <x v="17"/>
    <x v="1"/>
    <n v="51"/>
    <x v="1"/>
    <s v="Jul"/>
    <s v="Ok"/>
  </r>
  <r>
    <x v="17"/>
    <x v="2"/>
    <n v="804"/>
    <x v="1"/>
    <s v="Jul"/>
    <s v="Ok"/>
  </r>
  <r>
    <x v="17"/>
    <x v="3"/>
    <n v="436"/>
    <x v="1"/>
    <s v="Jul"/>
    <s v="Ok"/>
  </r>
  <r>
    <x v="17"/>
    <x v="4"/>
    <n v="19754"/>
    <x v="1"/>
    <s v="Jul"/>
    <s v="Ok"/>
  </r>
  <r>
    <x v="17"/>
    <x v="5"/>
    <n v="3228"/>
    <x v="1"/>
    <s v="Jul"/>
    <s v="Ok"/>
  </r>
  <r>
    <x v="18"/>
    <x v="0"/>
    <n v="35.9726"/>
    <x v="1"/>
    <s v="Jun"/>
    <s v="Ok"/>
  </r>
  <r>
    <x v="18"/>
    <x v="1"/>
    <n v="49"/>
    <x v="1"/>
    <s v="Jun"/>
    <s v="Ok"/>
  </r>
  <r>
    <x v="18"/>
    <x v="2"/>
    <n v="828"/>
    <x v="1"/>
    <s v="Jun"/>
    <s v="Ok"/>
  </r>
  <r>
    <x v="18"/>
    <x v="3"/>
    <n v="423"/>
    <x v="1"/>
    <s v="Jun"/>
    <s v="Ok"/>
  </r>
  <r>
    <x v="18"/>
    <x v="4"/>
    <n v="19189"/>
    <x v="1"/>
    <s v="Jun"/>
    <s v="Ok"/>
  </r>
  <r>
    <x v="18"/>
    <x v="5"/>
    <n v="3092"/>
    <x v="1"/>
    <s v="Jun"/>
    <s v="Ok"/>
  </r>
  <r>
    <x v="19"/>
    <x v="0"/>
    <n v="35.902700000000003"/>
    <x v="1"/>
    <s v="May"/>
    <s v="Ok"/>
  </r>
  <r>
    <x v="19"/>
    <x v="1"/>
    <n v="51"/>
    <x v="1"/>
    <s v="May"/>
    <s v="Ok"/>
  </r>
  <r>
    <x v="19"/>
    <x v="2"/>
    <n v="775"/>
    <x v="1"/>
    <s v="May"/>
    <s v="Ok"/>
  </r>
  <r>
    <x v="19"/>
    <x v="3"/>
    <n v="408"/>
    <x v="1"/>
    <s v="May"/>
    <s v="Ok"/>
  </r>
  <r>
    <x v="19"/>
    <x v="4"/>
    <n v="18534"/>
    <x v="1"/>
    <s v="May"/>
    <s v="Ok"/>
  </r>
  <r>
    <x v="19"/>
    <x v="5"/>
    <n v="3080"/>
    <x v="1"/>
    <s v="May"/>
    <s v="Ok"/>
  </r>
  <r>
    <x v="20"/>
    <x v="0"/>
    <n v="35.493899999999996"/>
    <x v="1"/>
    <s v="Apr"/>
    <s v="Ok"/>
  </r>
  <r>
    <x v="20"/>
    <x v="1"/>
    <n v="51"/>
    <x v="1"/>
    <s v="Apr"/>
    <s v="Ok"/>
  </r>
  <r>
    <x v="20"/>
    <x v="2"/>
    <n v="812"/>
    <x v="1"/>
    <s v="Apr"/>
    <s v="Ok"/>
  </r>
  <r>
    <x v="20"/>
    <x v="3"/>
    <n v="390"/>
    <x v="1"/>
    <s v="Apr"/>
    <s v="Ok"/>
  </r>
  <r>
    <x v="20"/>
    <x v="4"/>
    <n v="18065"/>
    <x v="1"/>
    <s v="Apr"/>
    <s v="Ok"/>
  </r>
  <r>
    <x v="20"/>
    <x v="5"/>
    <n v="3014"/>
    <x v="1"/>
    <s v="Apr"/>
    <s v="Ok"/>
  </r>
  <r>
    <x v="21"/>
    <x v="0"/>
    <n v="35.0349"/>
    <x v="1"/>
    <s v="Mar"/>
    <s v="Ok"/>
  </r>
  <r>
    <x v="21"/>
    <x v="1"/>
    <n v="51"/>
    <x v="1"/>
    <s v="Mar"/>
    <s v="Ok"/>
  </r>
  <r>
    <x v="21"/>
    <x v="2"/>
    <n v="774"/>
    <x v="1"/>
    <s v="Mar"/>
    <s v="Ok"/>
  </r>
  <r>
    <x v="21"/>
    <x v="3"/>
    <n v="351"/>
    <x v="1"/>
    <s v="Mar"/>
    <s v="Ok"/>
  </r>
  <r>
    <x v="21"/>
    <x v="4"/>
    <n v="17360"/>
    <x v="1"/>
    <s v="Mar"/>
    <s v="Ok"/>
  </r>
  <r>
    <x v="21"/>
    <x v="5"/>
    <n v="3002"/>
    <x v="1"/>
    <s v="Mar"/>
    <s v="Ok"/>
  </r>
  <r>
    <x v="22"/>
    <x v="0"/>
    <n v="34.685400000000001"/>
    <x v="1"/>
    <s v="Feb"/>
    <s v="Ok"/>
  </r>
  <r>
    <x v="22"/>
    <x v="1"/>
    <n v="47"/>
    <x v="1"/>
    <s v="Feb"/>
    <s v="Ok"/>
  </r>
  <r>
    <x v="22"/>
    <x v="2"/>
    <n v="770"/>
    <x v="1"/>
    <s v="Feb"/>
    <s v="Ok"/>
  </r>
  <r>
    <x v="22"/>
    <x v="3"/>
    <n v="340"/>
    <x v="1"/>
    <s v="Feb"/>
    <s v="Ok"/>
  </r>
  <r>
    <x v="22"/>
    <x v="4"/>
    <n v="17304"/>
    <x v="1"/>
    <s v="Feb"/>
    <s v="Ok"/>
  </r>
  <r>
    <x v="22"/>
    <x v="5"/>
    <n v="3102"/>
    <x v="1"/>
    <s v="Feb"/>
    <s v="Ok"/>
  </r>
  <r>
    <x v="23"/>
    <x v="0"/>
    <n v="34.595599999999997"/>
    <x v="1"/>
    <s v="Jan"/>
    <s v="Ok"/>
  </r>
  <r>
    <x v="23"/>
    <x v="1"/>
    <n v="49"/>
    <x v="1"/>
    <s v="Jan"/>
    <s v="Ok"/>
  </r>
  <r>
    <x v="23"/>
    <x v="2"/>
    <n v="772"/>
    <x v="1"/>
    <s v="Jan"/>
    <s v="Ok"/>
  </r>
  <r>
    <x v="23"/>
    <x v="3"/>
    <n v="318"/>
    <x v="1"/>
    <s v="Jan"/>
    <s v="Ok"/>
  </r>
  <r>
    <x v="23"/>
    <x v="4"/>
    <n v="17662"/>
    <x v="1"/>
    <s v="Jan"/>
    <s v="Ok"/>
  </r>
  <r>
    <x v="23"/>
    <x v="5"/>
    <n v="3075"/>
    <x v="1"/>
    <s v="Jan"/>
    <s v="Ok"/>
  </r>
  <r>
    <x v="24"/>
    <x v="0"/>
    <n v="34.459099999999999"/>
    <x v="2"/>
    <s v="Dec"/>
    <s v="Ok"/>
  </r>
  <r>
    <x v="24"/>
    <x v="1"/>
    <n v="47"/>
    <x v="2"/>
    <s v="Dec"/>
    <s v="Ok"/>
  </r>
  <r>
    <x v="24"/>
    <x v="2"/>
    <n v="783"/>
    <x v="2"/>
    <s v="Dec"/>
    <s v="Ok"/>
  </r>
  <r>
    <x v="24"/>
    <x v="3"/>
    <n v="299"/>
    <x v="2"/>
    <s v="Dec"/>
    <s v="Ok"/>
  </r>
  <r>
    <x v="24"/>
    <x v="4"/>
    <n v="18105"/>
    <x v="2"/>
    <s v="Dec"/>
    <s v="Ok"/>
  </r>
  <r>
    <x v="24"/>
    <x v="5"/>
    <n v="2982"/>
    <x v="2"/>
    <s v="Dec"/>
    <s v="Ok"/>
  </r>
  <r>
    <x v="25"/>
    <x v="0"/>
    <n v="34.350200000000001"/>
    <x v="2"/>
    <s v="Nov"/>
    <s v="Ok"/>
  </r>
  <r>
    <x v="25"/>
    <x v="1"/>
    <n v="45"/>
    <x v="2"/>
    <s v="Nov"/>
    <s v="Ok"/>
  </r>
  <r>
    <x v="25"/>
    <x v="2"/>
    <n v="774"/>
    <x v="2"/>
    <s v="Nov"/>
    <s v="Ok"/>
  </r>
  <r>
    <x v="25"/>
    <x v="3"/>
    <n v="307"/>
    <x v="2"/>
    <s v="Nov"/>
    <s v="Ok"/>
  </r>
  <r>
    <x v="25"/>
    <x v="4"/>
    <n v="18758"/>
    <x v="2"/>
    <s v="Nov"/>
    <s v="Ok"/>
  </r>
  <r>
    <x v="25"/>
    <x v="5"/>
    <n v="3105"/>
    <x v="2"/>
    <s v="Nov"/>
    <s v="Ok"/>
  </r>
  <r>
    <x v="26"/>
    <x v="0"/>
    <n v="33.970500000000001"/>
    <x v="2"/>
    <s v="Oct"/>
    <s v="Ok"/>
  </r>
  <r>
    <x v="26"/>
    <x v="1"/>
    <n v="43"/>
    <x v="2"/>
    <s v="Oct"/>
    <s v="Ok"/>
  </r>
  <r>
    <x v="26"/>
    <x v="2"/>
    <n v="720"/>
    <x v="2"/>
    <s v="Oct"/>
    <s v="Ok"/>
  </r>
  <r>
    <x v="26"/>
    <x v="3"/>
    <n v="315"/>
    <x v="2"/>
    <s v="Oct"/>
    <s v="Ok"/>
  </r>
  <r>
    <x v="26"/>
    <x v="4"/>
    <n v="18012"/>
    <x v="2"/>
    <s v="Oct"/>
    <s v="Ok"/>
  </r>
  <r>
    <x v="26"/>
    <x v="5"/>
    <n v="2916"/>
    <x v="2"/>
    <s v="Oct"/>
    <s v="Ok"/>
  </r>
  <r>
    <x v="27"/>
    <x v="0"/>
    <n v="33.8553"/>
    <x v="2"/>
    <s v="Sep"/>
    <s v="Ok"/>
  </r>
  <r>
    <x v="27"/>
    <x v="1"/>
    <n v="43"/>
    <x v="2"/>
    <s v="Sep"/>
    <s v="Ok"/>
  </r>
  <r>
    <x v="27"/>
    <x v="2"/>
    <n v="684"/>
    <x v="2"/>
    <s v="Sep"/>
    <s v="Ok"/>
  </r>
  <r>
    <x v="27"/>
    <x v="3"/>
    <n v="300"/>
    <x v="2"/>
    <s v="Sep"/>
    <s v="Ok"/>
  </r>
  <r>
    <x v="27"/>
    <x v="4"/>
    <n v="17094"/>
    <x v="2"/>
    <s v="Sep"/>
    <s v="Ok"/>
  </r>
  <r>
    <x v="27"/>
    <x v="5"/>
    <n v="2744"/>
    <x v="2"/>
    <s v="Sep"/>
    <s v="Ok"/>
  </r>
  <r>
    <x v="28"/>
    <x v="0"/>
    <n v="33.847799999999999"/>
    <x v="2"/>
    <s v="Aug"/>
    <s v="Ok"/>
  </r>
  <r>
    <x v="28"/>
    <x v="1"/>
    <n v="44"/>
    <x v="2"/>
    <s v="Aug"/>
    <s v="Ok"/>
  </r>
  <r>
    <x v="28"/>
    <x v="2"/>
    <n v="715"/>
    <x v="2"/>
    <s v="Aug"/>
    <s v="Ok"/>
  </r>
  <r>
    <x v="28"/>
    <x v="3"/>
    <n v="289"/>
    <x v="2"/>
    <s v="Aug"/>
    <s v="Ok"/>
  </r>
  <r>
    <x v="28"/>
    <x v="4"/>
    <n v="17759"/>
    <x v="2"/>
    <s v="Aug"/>
    <s v="Ok"/>
  </r>
  <r>
    <x v="28"/>
    <x v="5"/>
    <n v="2932"/>
    <x v="2"/>
    <s v="Aug"/>
    <s v="Ok"/>
  </r>
  <r>
    <x v="29"/>
    <x v="0"/>
    <n v="33.437600000000003"/>
    <x v="2"/>
    <s v="Jul"/>
    <s v="Ok"/>
  </r>
  <r>
    <x v="29"/>
    <x v="1"/>
    <n v="44"/>
    <x v="2"/>
    <s v="Jul"/>
    <s v="Ok"/>
  </r>
  <r>
    <x v="29"/>
    <x v="2"/>
    <n v="690"/>
    <x v="2"/>
    <s v="Jul"/>
    <s v="Ok"/>
  </r>
  <r>
    <x v="29"/>
    <x v="3"/>
    <n v="273"/>
    <x v="2"/>
    <s v="Jul"/>
    <s v="Ok"/>
  </r>
  <r>
    <x v="29"/>
    <x v="4"/>
    <n v="17158"/>
    <x v="2"/>
    <s v="Jul"/>
    <s v="Ok"/>
  </r>
  <r>
    <x v="29"/>
    <x v="5"/>
    <n v="3007"/>
    <x v="2"/>
    <s v="Jul"/>
    <s v="Ok"/>
  </r>
  <r>
    <x v="30"/>
    <x v="0"/>
    <n v="33.052300000000002"/>
    <x v="2"/>
    <s v="Jun"/>
    <s v="Ok"/>
  </r>
  <r>
    <x v="30"/>
    <x v="1"/>
    <n v="44"/>
    <x v="2"/>
    <s v="Jun"/>
    <s v="Ok"/>
  </r>
  <r>
    <x v="30"/>
    <x v="2"/>
    <n v="649"/>
    <x v="2"/>
    <s v="Jun"/>
    <s v="Ok"/>
  </r>
  <r>
    <x v="30"/>
    <x v="3"/>
    <n v="247"/>
    <x v="2"/>
    <s v="Jun"/>
    <s v="Ok"/>
  </r>
  <r>
    <x v="30"/>
    <x v="4"/>
    <n v="15780"/>
    <x v="2"/>
    <s v="Jun"/>
    <s v="Ok"/>
  </r>
  <r>
    <x v="30"/>
    <x v="5"/>
    <n v="2976"/>
    <x v="2"/>
    <s v="Jun"/>
    <s v="Ok"/>
  </r>
  <r>
    <x v="31"/>
    <x v="0"/>
    <n v="32.921399999999998"/>
    <x v="2"/>
    <s v="May"/>
    <s v="Ok"/>
  </r>
  <r>
    <x v="31"/>
    <x v="1"/>
    <n v="44"/>
    <x v="2"/>
    <s v="May"/>
    <s v="Ok"/>
  </r>
  <r>
    <x v="31"/>
    <x v="2"/>
    <n v="661"/>
    <x v="2"/>
    <s v="May"/>
    <s v="Ok"/>
  </r>
  <r>
    <x v="31"/>
    <x v="3"/>
    <n v="239"/>
    <x v="2"/>
    <s v="May"/>
    <s v="Ok"/>
  </r>
  <r>
    <x v="31"/>
    <x v="4"/>
    <n v="16585"/>
    <x v="2"/>
    <s v="May"/>
    <s v="Ok"/>
  </r>
  <r>
    <x v="31"/>
    <x v="5"/>
    <n v="3044"/>
    <x v="2"/>
    <s v="May"/>
    <s v="Ok"/>
  </r>
  <r>
    <x v="32"/>
    <x v="0"/>
    <n v="33.161299999999997"/>
    <x v="2"/>
    <s v="Apr"/>
    <s v="Ok"/>
  </r>
  <r>
    <x v="32"/>
    <x v="1"/>
    <n v="45"/>
    <x v="2"/>
    <s v="Apr"/>
    <s v="Ok"/>
  </r>
  <r>
    <x v="32"/>
    <x v="2"/>
    <n v="659"/>
    <x v="2"/>
    <s v="Apr"/>
    <s v="Ok"/>
  </r>
  <r>
    <x v="32"/>
    <x v="3"/>
    <n v="229"/>
    <x v="2"/>
    <s v="Apr"/>
    <s v="Ok"/>
  </r>
  <r>
    <x v="32"/>
    <x v="4"/>
    <n v="17103"/>
    <x v="2"/>
    <s v="Apr"/>
    <s v="Ok"/>
  </r>
  <r>
    <x v="32"/>
    <x v="5"/>
    <n v="3209"/>
    <x v="2"/>
    <s v="Apr"/>
    <s v="Ok"/>
  </r>
  <r>
    <x v="33"/>
    <x v="0"/>
    <n v="33.271299999999997"/>
    <x v="2"/>
    <s v="Mar"/>
    <s v="Ok"/>
  </r>
  <r>
    <x v="33"/>
    <x v="1"/>
    <n v="44"/>
    <x v="2"/>
    <s v="Mar"/>
    <s v="Ok"/>
  </r>
  <r>
    <x v="33"/>
    <x v="2"/>
    <n v="699"/>
    <x v="2"/>
    <s v="Mar"/>
    <s v="Ok"/>
  </r>
  <r>
    <x v="33"/>
    <x v="3"/>
    <n v="221"/>
    <x v="2"/>
    <s v="Mar"/>
    <s v="Ok"/>
  </r>
  <r>
    <x v="33"/>
    <x v="4"/>
    <n v="17465"/>
    <x v="2"/>
    <s v="Mar"/>
    <s v="Ok"/>
  </r>
  <r>
    <x v="33"/>
    <x v="5"/>
    <n v="3384"/>
    <x v="2"/>
    <s v="Mar"/>
    <s v="Ok"/>
  </r>
  <r>
    <x v="34"/>
    <x v="0"/>
    <n v="33.224299999999999"/>
    <x v="2"/>
    <s v="Feb"/>
    <s v="Ok"/>
  </r>
  <r>
    <x v="34"/>
    <x v="1"/>
    <n v="44"/>
    <x v="2"/>
    <s v="Feb"/>
    <s v="Ok"/>
  </r>
  <r>
    <x v="34"/>
    <x v="2"/>
    <n v="678"/>
    <x v="2"/>
    <s v="Feb"/>
    <s v="Ok"/>
  </r>
  <r>
    <x v="34"/>
    <x v="3"/>
    <n v="186"/>
    <x v="2"/>
    <s v="Feb"/>
    <s v="Ok"/>
  </r>
  <r>
    <x v="34"/>
    <x v="4"/>
    <n v="16794"/>
    <x v="2"/>
    <s v="Feb"/>
    <s v="Ok"/>
  </r>
  <r>
    <x v="34"/>
    <x v="5"/>
    <n v="3216"/>
    <x v="2"/>
    <s v="Feb"/>
    <s v="Ok"/>
  </r>
  <r>
    <x v="35"/>
    <x v="0"/>
    <n v="33.042499999999997"/>
    <x v="2"/>
    <s v="Jan"/>
    <s v="Ok"/>
  </r>
  <r>
    <x v="35"/>
    <x v="1"/>
    <n v="41"/>
    <x v="2"/>
    <s v="Jan"/>
    <s v="Ok"/>
  </r>
  <r>
    <x v="35"/>
    <x v="2"/>
    <n v="707"/>
    <x v="2"/>
    <s v="Jan"/>
    <s v="Ok"/>
  </r>
  <r>
    <x v="35"/>
    <x v="3"/>
    <n v="190"/>
    <x v="2"/>
    <s v="Jan"/>
    <s v="Ok"/>
  </r>
  <r>
    <x v="35"/>
    <x v="4"/>
    <n v="17340"/>
    <x v="2"/>
    <s v="Jan"/>
    <s v="Ok"/>
  </r>
  <r>
    <x v="35"/>
    <x v="5"/>
    <n v="3374"/>
    <x v="2"/>
    <s v="Jan"/>
    <s v="Ok"/>
  </r>
  <r>
    <x v="36"/>
    <x v="0"/>
    <n v="33.216900000000003"/>
    <x v="3"/>
    <s v="Dec"/>
    <s v="Ok"/>
  </r>
  <r>
    <x v="36"/>
    <x v="1"/>
    <n v="41"/>
    <x v="3"/>
    <s v="Dec"/>
    <s v="Ok"/>
  </r>
  <r>
    <x v="36"/>
    <x v="2"/>
    <n v="704"/>
    <x v="3"/>
    <s v="Dec"/>
    <s v="Ok"/>
  </r>
  <r>
    <x v="36"/>
    <x v="3"/>
    <n v="188"/>
    <x v="3"/>
    <s v="Dec"/>
    <s v="Ok"/>
  </r>
  <r>
    <x v="36"/>
    <x v="4"/>
    <n v="17354"/>
    <x v="3"/>
    <s v="Dec"/>
    <s v="Ok"/>
  </r>
  <r>
    <x v="36"/>
    <x v="5"/>
    <n v="3376"/>
    <x v="3"/>
    <s v="Dec"/>
    <s v="Ok"/>
  </r>
  <r>
    <x v="37"/>
    <x v="0"/>
    <n v="33.272399999999998"/>
    <x v="3"/>
    <s v="Nov"/>
    <s v="Ok"/>
  </r>
  <r>
    <x v="37"/>
    <x v="1"/>
    <n v="42"/>
    <x v="3"/>
    <s v="Nov"/>
    <s v="Ok"/>
  </r>
  <r>
    <x v="37"/>
    <x v="2"/>
    <n v="710"/>
    <x v="3"/>
    <s v="Nov"/>
    <s v="Ok"/>
  </r>
  <r>
    <x v="37"/>
    <x v="3"/>
    <n v="191"/>
    <x v="3"/>
    <s v="Nov"/>
    <s v="Ok"/>
  </r>
  <r>
    <x v="37"/>
    <x v="4"/>
    <n v="16983"/>
    <x v="3"/>
    <s v="Nov"/>
    <s v="Ok"/>
  </r>
  <r>
    <x v="37"/>
    <x v="5"/>
    <n v="3187"/>
    <x v="3"/>
    <s v="Nov"/>
    <s v="Ok"/>
  </r>
  <r>
    <x v="38"/>
    <x v="0"/>
    <n v="33.024900000000002"/>
    <x v="3"/>
    <s v="Oct"/>
    <s v="Ok"/>
  </r>
  <r>
    <x v="38"/>
    <x v="1"/>
    <n v="42"/>
    <x v="3"/>
    <s v="Oct"/>
    <s v="Ok"/>
  </r>
  <r>
    <x v="38"/>
    <x v="2"/>
    <n v="753"/>
    <x v="3"/>
    <s v="Oct"/>
    <s v="Ok"/>
  </r>
  <r>
    <x v="38"/>
    <x v="3"/>
    <n v="192"/>
    <x v="3"/>
    <s v="Oct"/>
    <s v="Ok"/>
  </r>
  <r>
    <x v="38"/>
    <x v="4"/>
    <n v="17672"/>
    <x v="3"/>
    <s v="Oct"/>
    <s v="Ok"/>
  </r>
  <r>
    <x v="38"/>
    <x v="5"/>
    <n v="3063"/>
    <x v="3"/>
    <s v="Oct"/>
    <s v="Ok"/>
  </r>
  <r>
    <x v="39"/>
    <x v="0"/>
    <n v="33.0824"/>
    <x v="3"/>
    <s v="Sep"/>
    <s v="Ok"/>
  </r>
  <r>
    <x v="39"/>
    <x v="1"/>
    <n v="40"/>
    <x v="3"/>
    <s v="Sep"/>
    <s v="Ok"/>
  </r>
  <r>
    <x v="39"/>
    <x v="2"/>
    <n v="759"/>
    <x v="3"/>
    <s v="Sep"/>
    <s v="Ok"/>
  </r>
  <r>
    <x v="39"/>
    <x v="3"/>
    <n v="203"/>
    <x v="3"/>
    <s v="Sep"/>
    <s v="Ok"/>
  </r>
  <r>
    <x v="39"/>
    <x v="4"/>
    <n v="17618"/>
    <x v="3"/>
    <s v="Sep"/>
    <s v="Ok"/>
  </r>
  <r>
    <x v="39"/>
    <x v="5"/>
    <n v="3403"/>
    <x v="3"/>
    <s v="Sep"/>
    <s v="Ok"/>
  </r>
  <r>
    <x v="40"/>
    <x v="0"/>
    <n v="32.822400000000002"/>
    <x v="3"/>
    <s v="Aug"/>
    <s v="Ok"/>
  </r>
  <r>
    <x v="40"/>
    <x v="1"/>
    <n v="41"/>
    <x v="3"/>
    <s v="Aug"/>
    <s v="Ok"/>
  </r>
  <r>
    <x v="40"/>
    <x v="2"/>
    <n v="752"/>
    <x v="3"/>
    <s v="Aug"/>
    <s v="Ok"/>
  </r>
  <r>
    <x v="40"/>
    <x v="3"/>
    <n v="182"/>
    <x v="3"/>
    <s v="Aug"/>
    <s v="Ok"/>
  </r>
  <r>
    <x v="40"/>
    <x v="4"/>
    <n v="17132"/>
    <x v="3"/>
    <s v="Aug"/>
    <s v="Ok"/>
  </r>
  <r>
    <x v="40"/>
    <x v="5"/>
    <n v="3413"/>
    <x v="3"/>
    <s v="Aug"/>
    <s v="Ok"/>
  </r>
  <r>
    <x v="41"/>
    <x v="0"/>
    <n v="32.5349"/>
    <x v="3"/>
    <s v="Jul"/>
    <s v="Ok"/>
  </r>
  <r>
    <x v="41"/>
    <x v="1"/>
    <n v="42"/>
    <x v="3"/>
    <s v="Jul"/>
    <s v="Ok"/>
  </r>
  <r>
    <x v="41"/>
    <x v="2"/>
    <n v="678"/>
    <x v="3"/>
    <s v="Jul"/>
    <s v="Ok"/>
  </r>
  <r>
    <x v="41"/>
    <x v="3"/>
    <n v="177"/>
    <x v="3"/>
    <s v="Jul"/>
    <s v="Ok"/>
  </r>
  <r>
    <x v="41"/>
    <x v="4"/>
    <n v="15763"/>
    <x v="3"/>
    <s v="Jul"/>
    <s v="Ok"/>
  </r>
  <r>
    <x v="41"/>
    <x v="5"/>
    <n v="2849"/>
    <x v="3"/>
    <s v="Jul"/>
    <s v="Ok"/>
  </r>
  <r>
    <x v="42"/>
    <x v="0"/>
    <n v="32.463900000000002"/>
    <x v="3"/>
    <s v="Jun"/>
    <s v="Ok"/>
  </r>
  <r>
    <x v="42"/>
    <x v="1"/>
    <n v="41"/>
    <x v="3"/>
    <s v="Jun"/>
    <s v="Ok"/>
  </r>
  <r>
    <x v="42"/>
    <x v="2"/>
    <n v="709"/>
    <x v="3"/>
    <s v="Jun"/>
    <s v="Ok"/>
  </r>
  <r>
    <x v="42"/>
    <x v="3"/>
    <n v="170"/>
    <x v="3"/>
    <s v="Jun"/>
    <s v="Ok"/>
  </r>
  <r>
    <x v="42"/>
    <x v="4"/>
    <n v="15722"/>
    <x v="3"/>
    <s v="Jun"/>
    <s v="Ok"/>
  </r>
  <r>
    <x v="42"/>
    <x v="5"/>
    <n v="3009"/>
    <x v="3"/>
    <s v="Jun"/>
    <s v="Ok"/>
  </r>
  <r>
    <x v="43"/>
    <x v="0"/>
    <n v="32.441099999999999"/>
    <x v="3"/>
    <s v="May"/>
    <s v="Ok"/>
  </r>
  <r>
    <x v="43"/>
    <x v="1"/>
    <n v="43"/>
    <x v="3"/>
    <s v="May"/>
    <s v="Ok"/>
  </r>
  <r>
    <x v="43"/>
    <x v="2"/>
    <n v="718"/>
    <x v="3"/>
    <s v="May"/>
    <s v="Ok"/>
  </r>
  <r>
    <x v="43"/>
    <x v="3"/>
    <n v="182"/>
    <x v="3"/>
    <s v="May"/>
    <s v="Ok"/>
  </r>
  <r>
    <x v="43"/>
    <x v="4"/>
    <n v="15583"/>
    <x v="3"/>
    <s v="May"/>
    <s v="Ok"/>
  </r>
  <r>
    <x v="43"/>
    <x v="5"/>
    <n v="2828"/>
    <x v="3"/>
    <s v="May"/>
    <s v="Ok"/>
  </r>
  <r>
    <x v="44"/>
    <x v="0"/>
    <n v="32.297400000000003"/>
    <x v="3"/>
    <s v="Apr"/>
    <s v="Ok"/>
  </r>
  <r>
    <x v="44"/>
    <x v="1"/>
    <n v="41"/>
    <x v="3"/>
    <s v="Apr"/>
    <s v="Ok"/>
  </r>
  <r>
    <x v="44"/>
    <x v="2"/>
    <n v="669"/>
    <x v="3"/>
    <s v="Apr"/>
    <s v="Ok"/>
  </r>
  <r>
    <x v="44"/>
    <x v="3"/>
    <n v="170"/>
    <x v="3"/>
    <s v="Apr"/>
    <s v="Ok"/>
  </r>
  <r>
    <x v="44"/>
    <x v="4"/>
    <n v="14631"/>
    <x v="3"/>
    <s v="Apr"/>
    <s v="Ok"/>
  </r>
  <r>
    <x v="44"/>
    <x v="5"/>
    <n v="2717"/>
    <x v="3"/>
    <s v="Apr"/>
    <s v="Ok"/>
  </r>
  <r>
    <x v="45"/>
    <x v="0"/>
    <n v="32.000900000000001"/>
    <x v="3"/>
    <s v="Mar"/>
    <s v="Ok"/>
  </r>
  <r>
    <x v="45"/>
    <x v="1"/>
    <n v="38"/>
    <x v="3"/>
    <s v="Mar"/>
    <s v="Ok"/>
  </r>
  <r>
    <x v="45"/>
    <x v="2"/>
    <n v="707"/>
    <x v="3"/>
    <s v="Mar"/>
    <s v="Ok"/>
  </r>
  <r>
    <x v="45"/>
    <x v="3"/>
    <n v="183"/>
    <x v="3"/>
    <s v="Mar"/>
    <s v="Ok"/>
  </r>
  <r>
    <x v="45"/>
    <x v="4"/>
    <n v="14691"/>
    <x v="3"/>
    <s v="Mar"/>
    <s v="Ok"/>
  </r>
  <r>
    <x v="45"/>
    <x v="5"/>
    <n v="2844"/>
    <x v="3"/>
    <s v="Mar"/>
    <s v="Ok"/>
  </r>
  <r>
    <x v="46"/>
    <x v="0"/>
    <n v="31.603000000000002"/>
    <x v="3"/>
    <s v="Feb"/>
    <s v="Ok"/>
  </r>
  <r>
    <x v="46"/>
    <x v="1"/>
    <n v="40"/>
    <x v="3"/>
    <s v="Feb"/>
    <s v="Ok"/>
  </r>
  <r>
    <x v="46"/>
    <x v="2"/>
    <n v="727"/>
    <x v="3"/>
    <s v="Feb"/>
    <s v="Ok"/>
  </r>
  <r>
    <x v="46"/>
    <x v="3"/>
    <n v="167"/>
    <x v="3"/>
    <s v="Feb"/>
    <s v="Ok"/>
  </r>
  <r>
    <x v="46"/>
    <x v="4"/>
    <n v="14529"/>
    <x v="3"/>
    <s v="Feb"/>
    <s v="Ok"/>
  </r>
  <r>
    <x v="46"/>
    <x v="5"/>
    <n v="2591"/>
    <x v="3"/>
    <s v="Feb"/>
    <s v="Ok"/>
  </r>
  <r>
    <x v="47"/>
    <x v="0"/>
    <n v="32.048099999999998"/>
    <x v="3"/>
    <s v="Jan"/>
    <s v="Ok"/>
  </r>
  <r>
    <x v="47"/>
    <x v="1"/>
    <n v="43"/>
    <x v="3"/>
    <s v="Jan"/>
    <s v="Ok"/>
  </r>
  <r>
    <x v="47"/>
    <x v="2"/>
    <n v="659"/>
    <x v="3"/>
    <s v="Jan"/>
    <s v="Ok"/>
  </r>
  <r>
    <x v="47"/>
    <x v="3"/>
    <n v="166"/>
    <x v="3"/>
    <s v="Jan"/>
    <s v="Ok"/>
  </r>
  <r>
    <x v="47"/>
    <x v="4"/>
    <n v="13635"/>
    <x v="3"/>
    <s v="Jan"/>
    <s v="Ok"/>
  </r>
  <r>
    <x v="47"/>
    <x v="5"/>
    <n v="2780"/>
    <x v="3"/>
    <s v="Jan"/>
    <s v="Ok"/>
  </r>
  <r>
    <x v="48"/>
    <x v="0"/>
    <n v="32.087699999999998"/>
    <x v="4"/>
    <s v="Dec"/>
    <s v="Ok"/>
  </r>
  <r>
    <x v="48"/>
    <x v="1"/>
    <n v="44"/>
    <x v="4"/>
    <s v="Dec"/>
    <s v="Ok"/>
  </r>
  <r>
    <x v="48"/>
    <x v="2"/>
    <n v="680"/>
    <x v="4"/>
    <s v="Dec"/>
    <s v="Ok"/>
  </r>
  <r>
    <x v="48"/>
    <x v="3"/>
    <n v="171"/>
    <x v="4"/>
    <s v="Dec"/>
    <s v="Ok"/>
  </r>
  <r>
    <x v="48"/>
    <x v="4"/>
    <n v="13982"/>
    <x v="4"/>
    <s v="Dec"/>
    <s v="Ok"/>
  </r>
  <r>
    <x v="48"/>
    <x v="5"/>
    <n v="2557"/>
    <x v="4"/>
    <s v="Dec"/>
    <s v="Ok"/>
  </r>
  <r>
    <x v="49"/>
    <x v="0"/>
    <n v="31.992000000000001"/>
    <x v="4"/>
    <s v="Nov"/>
    <s v="Ok"/>
  </r>
  <r>
    <x v="49"/>
    <x v="1"/>
    <n v="43"/>
    <x v="4"/>
    <s v="Nov"/>
    <s v="Ok"/>
  </r>
  <r>
    <x v="49"/>
    <x v="2"/>
    <n v="682"/>
    <x v="4"/>
    <s v="Nov"/>
    <s v="Ok"/>
  </r>
  <r>
    <x v="49"/>
    <x v="3"/>
    <n v="159"/>
    <x v="4"/>
    <s v="Nov"/>
    <s v="Ok"/>
  </r>
  <r>
    <x v="49"/>
    <x v="4"/>
    <n v="12969"/>
    <x v="4"/>
    <s v="Nov"/>
    <s v="Ok"/>
  </r>
  <r>
    <x v="49"/>
    <x v="5"/>
    <n v="2394"/>
    <x v="4"/>
    <s v="Nov"/>
    <s v="Ok"/>
  </r>
  <r>
    <x v="50"/>
    <x v="0"/>
    <n v="31.782699999999998"/>
    <x v="4"/>
    <s v="Oct"/>
    <s v="Ok"/>
  </r>
  <r>
    <x v="50"/>
    <x v="1"/>
    <n v="44"/>
    <x v="4"/>
    <s v="Oct"/>
    <s v="Ok"/>
  </r>
  <r>
    <x v="50"/>
    <x v="2"/>
    <n v="561"/>
    <x v="4"/>
    <s v="Oct"/>
    <s v="Ok"/>
  </r>
  <r>
    <x v="50"/>
    <x v="3"/>
    <n v="135"/>
    <x v="4"/>
    <s v="Oct"/>
    <s v="Ok"/>
  </r>
  <r>
    <x v="50"/>
    <x v="4"/>
    <n v="11642"/>
    <x v="4"/>
    <s v="Oct"/>
    <s v="Ok"/>
  </r>
  <r>
    <x v="50"/>
    <x v="5"/>
    <n v="2371"/>
    <x v="4"/>
    <s v="Oct"/>
    <s v="Ok"/>
  </r>
  <r>
    <x v="51"/>
    <x v="0"/>
    <n v="31.211099999999998"/>
    <x v="4"/>
    <s v="Sep"/>
    <s v="Ok"/>
  </r>
  <r>
    <x v="51"/>
    <x v="1"/>
    <n v="44"/>
    <x v="4"/>
    <s v="Sep"/>
    <s v="Ok"/>
  </r>
  <r>
    <x v="51"/>
    <x v="2"/>
    <n v="511"/>
    <x v="4"/>
    <s v="Sep"/>
    <s v="Ok"/>
  </r>
  <r>
    <x v="51"/>
    <x v="3"/>
    <n v="141"/>
    <x v="4"/>
    <s v="Sep"/>
    <s v="Ok"/>
  </r>
  <r>
    <x v="51"/>
    <x v="4"/>
    <n v="11248"/>
    <x v="4"/>
    <s v="Sep"/>
    <s v="Ok"/>
  </r>
  <r>
    <x v="51"/>
    <x v="5"/>
    <n v="2217"/>
    <x v="4"/>
    <s v="Sep"/>
    <s v="Ok"/>
  </r>
  <r>
    <x v="52"/>
    <x v="0"/>
    <n v="31.040500000000002"/>
    <x v="4"/>
    <s v="Aug"/>
    <s v="Ok"/>
  </r>
  <r>
    <x v="52"/>
    <x v="1"/>
    <n v="45"/>
    <x v="4"/>
    <s v="Aug"/>
    <s v="Ok"/>
  </r>
  <r>
    <x v="52"/>
    <x v="2"/>
    <n v="528"/>
    <x v="4"/>
    <s v="Aug"/>
    <s v="Ok"/>
  </r>
  <r>
    <x v="52"/>
    <x v="3"/>
    <n v="156"/>
    <x v="4"/>
    <s v="Aug"/>
    <s v="Ok"/>
  </r>
  <r>
    <x v="52"/>
    <x v="4"/>
    <n v="11388"/>
    <x v="4"/>
    <s v="Aug"/>
    <s v="Ok"/>
  </r>
  <r>
    <x v="52"/>
    <x v="5"/>
    <n v="2008"/>
    <x v="4"/>
    <s v="Aug"/>
    <s v="Ok"/>
  </r>
  <r>
    <x v="53"/>
    <x v="0"/>
    <n v="31.2148"/>
    <x v="4"/>
    <s v="Jul"/>
    <s v="Ok"/>
  </r>
  <r>
    <x v="53"/>
    <x v="1"/>
    <n v="47"/>
    <x v="4"/>
    <s v="Jul"/>
    <s v="Ok"/>
  </r>
  <r>
    <x v="53"/>
    <x v="2"/>
    <n v="489"/>
    <x v="4"/>
    <s v="Jul"/>
    <s v="Ok"/>
  </r>
  <r>
    <x v="53"/>
    <x v="3"/>
    <n v="151"/>
    <x v="4"/>
    <s v="Jul"/>
    <s v="Ok"/>
  </r>
  <r>
    <x v="53"/>
    <x v="4"/>
    <n v="11073"/>
    <x v="4"/>
    <s v="Jul"/>
    <s v="Ok"/>
  </r>
  <r>
    <x v="53"/>
    <x v="5"/>
    <n v="2025"/>
    <x v="4"/>
    <s v="Jul"/>
    <s v="Ok"/>
  </r>
  <r>
    <x v="54"/>
    <x v="0"/>
    <n v="30.695"/>
    <x v="4"/>
    <s v="Jun"/>
    <s v="Ok"/>
  </r>
  <r>
    <x v="54"/>
    <x v="1"/>
    <n v="43"/>
    <x v="4"/>
    <s v="Jun"/>
    <s v="Ok"/>
  </r>
  <r>
    <x v="54"/>
    <x v="2"/>
    <n v="505"/>
    <x v="4"/>
    <s v="Jun"/>
    <s v="Ok"/>
  </r>
  <r>
    <x v="54"/>
    <x v="3"/>
    <n v="152"/>
    <x v="4"/>
    <s v="Jun"/>
    <s v="Ok"/>
  </r>
  <r>
    <x v="54"/>
    <x v="4"/>
    <n v="10302"/>
    <x v="4"/>
    <s v="Jun"/>
    <s v="Ok"/>
  </r>
  <r>
    <x v="54"/>
    <x v="5"/>
    <n v="1843"/>
    <x v="4"/>
    <s v="Jun"/>
    <s v="Ok"/>
  </r>
  <r>
    <x v="55"/>
    <x v="0"/>
    <n v="30.235800000000001"/>
    <x v="4"/>
    <s v="May"/>
    <s v="Ok"/>
  </r>
  <r>
    <x v="55"/>
    <x v="1"/>
    <n v="41"/>
    <x v="4"/>
    <s v="May"/>
    <s v="Ok"/>
  </r>
  <r>
    <x v="55"/>
    <x v="2"/>
    <n v="451"/>
    <x v="4"/>
    <s v="May"/>
    <s v="Ok"/>
  </r>
  <r>
    <x v="55"/>
    <x v="3"/>
    <n v="154"/>
    <x v="4"/>
    <s v="May"/>
    <s v="Ok"/>
  </r>
  <r>
    <x v="55"/>
    <x v="4"/>
    <n v="9580"/>
    <x v="4"/>
    <s v="May"/>
    <s v="Ok"/>
  </r>
  <r>
    <x v="55"/>
    <x v="5"/>
    <n v="1745"/>
    <x v="4"/>
    <s v="May"/>
    <s v="Ok"/>
  </r>
  <r>
    <x v="56"/>
    <x v="0"/>
    <n v="29.5014"/>
    <x v="4"/>
    <s v="Apr"/>
    <s v="Ok"/>
  </r>
  <r>
    <x v="56"/>
    <x v="1"/>
    <n v="43"/>
    <x v="4"/>
    <s v="Apr"/>
    <s v="Ok"/>
  </r>
  <r>
    <x v="56"/>
    <x v="2"/>
    <n v="474"/>
    <x v="4"/>
    <s v="Apr"/>
    <s v="Ok"/>
  </r>
  <r>
    <x v="56"/>
    <x v="3"/>
    <n v="142"/>
    <x v="4"/>
    <s v="Apr"/>
    <s v="Ok"/>
  </r>
  <r>
    <x v="56"/>
    <x v="4"/>
    <n v="9860"/>
    <x v="4"/>
    <s v="Apr"/>
    <s v="Ok"/>
  </r>
  <r>
    <x v="56"/>
    <x v="5"/>
    <n v="1783"/>
    <x v="4"/>
    <s v="Apr"/>
    <s v="Ok"/>
  </r>
  <r>
    <x v="57"/>
    <x v="0"/>
    <n v="29.500299999999999"/>
    <x v="4"/>
    <s v="Mar"/>
    <s v="Ok"/>
  </r>
  <r>
    <x v="57"/>
    <x v="1"/>
    <n v="38"/>
    <x v="4"/>
    <s v="Mar"/>
    <s v="Ok"/>
  </r>
  <r>
    <x v="57"/>
    <x v="2"/>
    <n v="408"/>
    <x v="4"/>
    <s v="Mar"/>
    <s v="Ok"/>
  </r>
  <r>
    <x v="57"/>
    <x v="3"/>
    <n v="134"/>
    <x v="4"/>
    <s v="Mar"/>
    <s v="Ok"/>
  </r>
  <r>
    <x v="57"/>
    <x v="4"/>
    <n v="8598"/>
    <x v="4"/>
    <s v="Mar"/>
    <s v="Ok"/>
  </r>
  <r>
    <x v="57"/>
    <x v="5"/>
    <n v="1604"/>
    <x v="4"/>
    <s v="Mar"/>
    <s v="Ok"/>
  </r>
  <r>
    <x v="58"/>
    <x v="0"/>
    <n v="29.311800000000002"/>
    <x v="4"/>
    <s v="Feb"/>
    <s v="Ok"/>
  </r>
  <r>
    <x v="58"/>
    <x v="1"/>
    <n v="37"/>
    <x v="4"/>
    <s v="Feb"/>
    <s v="Ok"/>
  </r>
  <r>
    <x v="58"/>
    <x v="2"/>
    <n v="558"/>
    <x v="4"/>
    <s v="Feb"/>
    <s v="Ok"/>
  </r>
  <r>
    <x v="58"/>
    <x v="3"/>
    <n v="154"/>
    <x v="4"/>
    <s v="Feb"/>
    <s v="Ok"/>
  </r>
  <r>
    <x v="58"/>
    <x v="4"/>
    <n v="11202"/>
    <x v="4"/>
    <s v="Feb"/>
    <s v="Ok"/>
  </r>
  <r>
    <x v="58"/>
    <x v="5"/>
    <n v="1757"/>
    <x v="4"/>
    <s v="Feb"/>
    <s v="Ok"/>
  </r>
  <r>
    <x v="59"/>
    <x v="0"/>
    <n v="28.8169"/>
    <x v="4"/>
    <s v="Jan"/>
    <s v="Ok"/>
  </r>
  <r>
    <x v="59"/>
    <x v="1"/>
    <n v="36"/>
    <x v="4"/>
    <s v="Jan"/>
    <s v="Ok"/>
  </r>
  <r>
    <x v="59"/>
    <x v="2"/>
    <n v="581"/>
    <x v="4"/>
    <s v="Jan"/>
    <s v="Ok"/>
  </r>
  <r>
    <x v="59"/>
    <x v="3"/>
    <n v="183"/>
    <x v="4"/>
    <s v="Jan"/>
    <s v="Ok"/>
  </r>
  <r>
    <x v="59"/>
    <x v="4"/>
    <n v="11962"/>
    <x v="4"/>
    <s v="Jan"/>
    <s v="Ok"/>
  </r>
  <r>
    <x v="59"/>
    <x v="5"/>
    <n v="1822"/>
    <x v="4"/>
    <s v="Jan"/>
    <s v="O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n v="28.8169"/>
    <s v=""/>
  </r>
  <r>
    <x v="1"/>
    <x v="0"/>
    <n v="29.311800000000002"/>
    <n v="1.717395000850197E-2"/>
  </r>
  <r>
    <x v="2"/>
    <x v="0"/>
    <n v="29.500299999999999"/>
    <n v="6.4308571974425188E-3"/>
  </r>
  <r>
    <x v="3"/>
    <x v="0"/>
    <n v="29.5014"/>
    <n v="3.7287756395665284E-5"/>
  </r>
  <r>
    <x v="4"/>
    <x v="0"/>
    <n v="30.235800000000001"/>
    <n v="2.4893733856698352E-2"/>
  </r>
  <r>
    <x v="5"/>
    <x v="0"/>
    <n v="30.695"/>
    <n v="1.5187294531647799E-2"/>
  </r>
  <r>
    <x v="6"/>
    <x v="0"/>
    <n v="31.2148"/>
    <n v="1.693435412933697E-2"/>
  </r>
  <r>
    <x v="7"/>
    <x v="0"/>
    <n v="31.040500000000002"/>
    <n v="-5.5838896933505522E-3"/>
  </r>
  <r>
    <x v="8"/>
    <x v="0"/>
    <n v="31.211099999999998"/>
    <n v="5.4960454889578791E-3"/>
  </r>
  <r>
    <x v="9"/>
    <x v="0"/>
    <n v="31.782699999999998"/>
    <n v="1.8313997263794013E-2"/>
  </r>
  <r>
    <x v="10"/>
    <x v="0"/>
    <n v="31.992000000000001"/>
    <n v="6.5853435988763032E-3"/>
  </r>
  <r>
    <x v="11"/>
    <x v="0"/>
    <n v="32.087699999999998"/>
    <n v="2.9913728432107156E-3"/>
  </r>
  <r>
    <x v="12"/>
    <x v="0"/>
    <n v="32.048099999999998"/>
    <n v="-1.234117746052199E-3"/>
  </r>
  <r>
    <x v="13"/>
    <x v="0"/>
    <n v="31.603000000000002"/>
    <n v="-1.3888498850165742E-2"/>
  </r>
  <r>
    <x v="14"/>
    <x v="0"/>
    <n v="32.000900000000001"/>
    <n v="1.2590576843970469E-2"/>
  </r>
  <r>
    <x v="15"/>
    <x v="0"/>
    <n v="32.297400000000003"/>
    <n v="9.2653644116260647E-3"/>
  </r>
  <r>
    <x v="16"/>
    <x v="0"/>
    <n v="32.441099999999999"/>
    <n v="4.4492745546078627E-3"/>
  </r>
  <r>
    <x v="17"/>
    <x v="0"/>
    <n v="32.463900000000002"/>
    <n v="7.0281217344669855E-4"/>
  </r>
  <r>
    <x v="18"/>
    <x v="0"/>
    <n v="32.5349"/>
    <n v="2.1870446865595028E-3"/>
  </r>
  <r>
    <x v="19"/>
    <x v="0"/>
    <n v="32.822400000000002"/>
    <n v="8.8366646278303929E-3"/>
  </r>
  <r>
    <x v="20"/>
    <x v="0"/>
    <n v="33.0824"/>
    <n v="7.9214195183776592E-3"/>
  </r>
  <r>
    <x v="21"/>
    <x v="0"/>
    <n v="33.024900000000002"/>
    <n v="-1.7380842985997846E-3"/>
  </r>
  <r>
    <x v="22"/>
    <x v="0"/>
    <n v="33.272399999999998"/>
    <n v="7.4943451759126312E-3"/>
  </r>
  <r>
    <x v="23"/>
    <x v="0"/>
    <n v="33.216900000000003"/>
    <n v="-1.6680491939263797E-3"/>
  </r>
  <r>
    <x v="24"/>
    <x v="0"/>
    <n v="33.042499999999997"/>
    <n v="-5.2503394356488986E-3"/>
  </r>
  <r>
    <x v="25"/>
    <x v="0"/>
    <n v="33.224299999999999"/>
    <n v="5.5020049935690096E-3"/>
  </r>
  <r>
    <x v="26"/>
    <x v="0"/>
    <n v="33.271299999999997"/>
    <n v="1.4146272457207232E-3"/>
  </r>
  <r>
    <x v="27"/>
    <x v="0"/>
    <n v="33.161299999999997"/>
    <n v="-3.3061527502682431E-3"/>
  </r>
  <r>
    <x v="28"/>
    <x v="0"/>
    <n v="32.921399999999998"/>
    <n v="-7.2343364102130936E-3"/>
  </r>
  <r>
    <x v="29"/>
    <x v="0"/>
    <n v="33.052300000000002"/>
    <n v="3.9761371023103731E-3"/>
  </r>
  <r>
    <x v="30"/>
    <x v="0"/>
    <n v="33.437600000000003"/>
    <n v="1.1657282549172088E-2"/>
  </r>
  <r>
    <x v="31"/>
    <x v="0"/>
    <n v="33.847799999999999"/>
    <n v="1.2267626863171843E-2"/>
  </r>
  <r>
    <x v="32"/>
    <x v="0"/>
    <n v="33.8553"/>
    <n v="2.2158013223894102E-4"/>
  </r>
  <r>
    <x v="33"/>
    <x v="0"/>
    <n v="33.970500000000001"/>
    <n v="3.4027168567403177E-3"/>
  </r>
  <r>
    <x v="34"/>
    <x v="0"/>
    <n v="34.350200000000001"/>
    <n v="1.117734504938106E-2"/>
  </r>
  <r>
    <x v="35"/>
    <x v="0"/>
    <n v="34.459099999999999"/>
    <n v="3.1702872181238462E-3"/>
  </r>
  <r>
    <x v="36"/>
    <x v="0"/>
    <n v="34.595599999999997"/>
    <n v="3.9612177915266944E-3"/>
  </r>
  <r>
    <x v="37"/>
    <x v="0"/>
    <n v="34.685400000000001"/>
    <n v="2.5957058122998422E-3"/>
  </r>
  <r>
    <x v="38"/>
    <x v="0"/>
    <n v="35.0349"/>
    <n v="1.0076285699458509E-2"/>
  </r>
  <r>
    <x v="39"/>
    <x v="0"/>
    <n v="35.493899999999996"/>
    <n v="1.3101221924423756E-2"/>
  </r>
  <r>
    <x v="40"/>
    <x v="0"/>
    <n v="35.902700000000003"/>
    <n v="1.1517472016318475E-2"/>
  </r>
  <r>
    <x v="41"/>
    <x v="0"/>
    <n v="35.9726"/>
    <n v="1.9469287825149006E-3"/>
  </r>
  <r>
    <x v="42"/>
    <x v="0"/>
    <n v="36.1327"/>
    <n v="4.4506096306633491E-3"/>
  </r>
  <r>
    <x v="43"/>
    <x v="0"/>
    <n v="36.3752"/>
    <n v="6.7113722472995629E-3"/>
  </r>
  <r>
    <x v="44"/>
    <x v="0"/>
    <n v="36.491"/>
    <n v="3.1834876509269083E-3"/>
  </r>
  <r>
    <x v="45"/>
    <x v="0"/>
    <n v="36.552599999999998"/>
    <n v="1.6880874736235896E-3"/>
  </r>
  <r>
    <x v="46"/>
    <x v="0"/>
    <n v="36.871099999999998"/>
    <n v="8.7134704508025074E-3"/>
  </r>
  <r>
    <x v="47"/>
    <x v="0"/>
    <n v="37.264099999999999"/>
    <n v="1.0658754417416372E-2"/>
  </r>
  <r>
    <x v="48"/>
    <x v="0"/>
    <n v="37.516500000000001"/>
    <n v="6.7732750824520682E-3"/>
  </r>
  <r>
    <x v="49"/>
    <x v="0"/>
    <n v="37.865499999999997"/>
    <n v="9.3025735343115201E-3"/>
  </r>
  <r>
    <x v="50"/>
    <x v="0"/>
    <n v="38.164400000000001"/>
    <n v="7.8937291201754967E-3"/>
  </r>
  <r>
    <x v="51"/>
    <x v="0"/>
    <n v="38.079500000000003"/>
    <n v="-2.2245862636383062E-3"/>
  </r>
  <r>
    <x v="52"/>
    <x v="0"/>
    <n v="38.600999999999999"/>
    <n v="1.3695032760409065E-2"/>
  </r>
  <r>
    <x v="53"/>
    <x v="0"/>
    <n v="38.793100000000003"/>
    <n v="4.976555011528383E-3"/>
  </r>
  <r>
    <x v="54"/>
    <x v="0"/>
    <n v="39.193300000000001"/>
    <n v="1.0316267583668104E-2"/>
  </r>
  <r>
    <x v="55"/>
    <x v="0"/>
    <n v="39.534799999999997"/>
    <n v="8.713223943888293E-3"/>
  </r>
  <r>
    <x v="56"/>
    <x v="0"/>
    <n v="39.996200000000002"/>
    <n v="1.1670730596841317E-2"/>
  </r>
  <r>
    <x v="57"/>
    <x v="0"/>
    <n v="40.114400000000003"/>
    <n v="2.9552807516715074E-3"/>
  </r>
  <r>
    <x v="58"/>
    <x v="0"/>
    <n v="40.425199999999997"/>
    <n v="7.7478411742415432E-3"/>
  </r>
  <r>
    <x v="59"/>
    <x v="0"/>
    <n v="40.617400000000004"/>
    <n v="4.754460089251511E-3"/>
  </r>
  <r>
    <x v="0"/>
    <x v="1"/>
    <n v="36"/>
    <s v=""/>
  </r>
  <r>
    <x v="1"/>
    <x v="1"/>
    <n v="37"/>
    <n v="2.7777777777777679E-2"/>
  </r>
  <r>
    <x v="2"/>
    <x v="1"/>
    <n v="38"/>
    <n v="2.7027027027026973E-2"/>
  </r>
  <r>
    <x v="3"/>
    <x v="1"/>
    <n v="43"/>
    <n v="0.13157894736842102"/>
  </r>
  <r>
    <x v="4"/>
    <x v="1"/>
    <n v="41"/>
    <n v="-4.6511627906976716E-2"/>
  </r>
  <r>
    <x v="5"/>
    <x v="1"/>
    <n v="43"/>
    <n v="4.8780487804878092E-2"/>
  </r>
  <r>
    <x v="6"/>
    <x v="1"/>
    <n v="47"/>
    <n v="9.3023255813953432E-2"/>
  </r>
  <r>
    <x v="7"/>
    <x v="1"/>
    <n v="45"/>
    <n v="-4.2553191489361653E-2"/>
  </r>
  <r>
    <x v="8"/>
    <x v="1"/>
    <n v="44"/>
    <n v="-2.2222222222222254E-2"/>
  </r>
  <r>
    <x v="9"/>
    <x v="1"/>
    <n v="44"/>
    <n v="0"/>
  </r>
  <r>
    <x v="10"/>
    <x v="1"/>
    <n v="43"/>
    <n v="-2.2727272727272707E-2"/>
  </r>
  <r>
    <x v="11"/>
    <x v="1"/>
    <n v="44"/>
    <n v="2.3255813953488413E-2"/>
  </r>
  <r>
    <x v="12"/>
    <x v="1"/>
    <n v="43"/>
    <n v="-2.2727272727272707E-2"/>
  </r>
  <r>
    <x v="13"/>
    <x v="1"/>
    <n v="40"/>
    <n v="-6.9767441860465129E-2"/>
  </r>
  <r>
    <x v="14"/>
    <x v="1"/>
    <n v="38"/>
    <n v="-5.0000000000000044E-2"/>
  </r>
  <r>
    <x v="15"/>
    <x v="1"/>
    <n v="41"/>
    <n v="7.8947368421052655E-2"/>
  </r>
  <r>
    <x v="16"/>
    <x v="1"/>
    <n v="43"/>
    <n v="4.8780487804878092E-2"/>
  </r>
  <r>
    <x v="17"/>
    <x v="1"/>
    <n v="41"/>
    <n v="-4.6511627906976716E-2"/>
  </r>
  <r>
    <x v="18"/>
    <x v="1"/>
    <n v="42"/>
    <n v="2.4390243902439046E-2"/>
  </r>
  <r>
    <x v="19"/>
    <x v="1"/>
    <n v="41"/>
    <n v="-2.3809523809523836E-2"/>
  </r>
  <r>
    <x v="20"/>
    <x v="1"/>
    <n v="40"/>
    <n v="-2.4390243902439046E-2"/>
  </r>
  <r>
    <x v="21"/>
    <x v="1"/>
    <n v="42"/>
    <n v="5.0000000000000044E-2"/>
  </r>
  <r>
    <x v="22"/>
    <x v="1"/>
    <n v="42"/>
    <n v="0"/>
  </r>
  <r>
    <x v="23"/>
    <x v="1"/>
    <n v="41"/>
    <n v="-2.3809523809523836E-2"/>
  </r>
  <r>
    <x v="24"/>
    <x v="1"/>
    <n v="41"/>
    <n v="0"/>
  </r>
  <r>
    <x v="25"/>
    <x v="1"/>
    <n v="44"/>
    <n v="7.3170731707317138E-2"/>
  </r>
  <r>
    <x v="26"/>
    <x v="1"/>
    <n v="44"/>
    <n v="0"/>
  </r>
  <r>
    <x v="27"/>
    <x v="1"/>
    <n v="45"/>
    <n v="2.2727272727272707E-2"/>
  </r>
  <r>
    <x v="28"/>
    <x v="1"/>
    <n v="44"/>
    <n v="-2.2222222222222254E-2"/>
  </r>
  <r>
    <x v="29"/>
    <x v="1"/>
    <n v="44"/>
    <n v="0"/>
  </r>
  <r>
    <x v="30"/>
    <x v="1"/>
    <n v="44"/>
    <n v="0"/>
  </r>
  <r>
    <x v="31"/>
    <x v="1"/>
    <n v="44"/>
    <n v="0"/>
  </r>
  <r>
    <x v="32"/>
    <x v="1"/>
    <n v="43"/>
    <n v="-2.2727272727272707E-2"/>
  </r>
  <r>
    <x v="33"/>
    <x v="1"/>
    <n v="43"/>
    <n v="0"/>
  </r>
  <r>
    <x v="34"/>
    <x v="1"/>
    <n v="45"/>
    <n v="4.6511627906976827E-2"/>
  </r>
  <r>
    <x v="35"/>
    <x v="1"/>
    <n v="47"/>
    <n v="4.4444444444444509E-2"/>
  </r>
  <r>
    <x v="36"/>
    <x v="1"/>
    <n v="49"/>
    <n v="4.2553191489361764E-2"/>
  </r>
  <r>
    <x v="37"/>
    <x v="1"/>
    <n v="47"/>
    <n v="-4.081632653061229E-2"/>
  </r>
  <r>
    <x v="38"/>
    <x v="1"/>
    <n v="51"/>
    <n v="8.5106382978723305E-2"/>
  </r>
  <r>
    <x v="39"/>
    <x v="1"/>
    <n v="51"/>
    <n v="0"/>
  </r>
  <r>
    <x v="40"/>
    <x v="1"/>
    <n v="51"/>
    <n v="0"/>
  </r>
  <r>
    <x v="41"/>
    <x v="1"/>
    <n v="49"/>
    <n v="-3.9215686274509776E-2"/>
  </r>
  <r>
    <x v="42"/>
    <x v="1"/>
    <n v="51"/>
    <n v="4.081632653061229E-2"/>
  </r>
  <r>
    <x v="43"/>
    <x v="1"/>
    <n v="50"/>
    <n v="-1.9607843137254943E-2"/>
  </r>
  <r>
    <x v="44"/>
    <x v="1"/>
    <n v="49"/>
    <n v="-2.0000000000000018E-2"/>
  </r>
  <r>
    <x v="45"/>
    <x v="1"/>
    <n v="52"/>
    <n v="6.1224489795918435E-2"/>
  </r>
  <r>
    <x v="46"/>
    <x v="1"/>
    <n v="53"/>
    <n v="1.9230769230769162E-2"/>
  </r>
  <r>
    <x v="47"/>
    <x v="1"/>
    <n v="54"/>
    <n v="1.8867924528301883E-2"/>
  </r>
  <r>
    <x v="48"/>
    <x v="1"/>
    <n v="53"/>
    <n v="-1.851851851851849E-2"/>
  </r>
  <r>
    <x v="49"/>
    <x v="1"/>
    <n v="53"/>
    <n v="0"/>
  </r>
  <r>
    <x v="50"/>
    <x v="1"/>
    <n v="57"/>
    <n v="7.547169811320753E-2"/>
  </r>
  <r>
    <x v="51"/>
    <x v="1"/>
    <n v="61"/>
    <n v="7.0175438596491224E-2"/>
  </r>
  <r>
    <x v="52"/>
    <x v="1"/>
    <n v="61"/>
    <n v="0"/>
  </r>
  <r>
    <x v="53"/>
    <x v="1"/>
    <n v="61"/>
    <n v="0"/>
  </r>
  <r>
    <x v="54"/>
    <x v="1"/>
    <n v="59"/>
    <n v="-3.2786885245901676E-2"/>
  </r>
  <r>
    <x v="55"/>
    <x v="1"/>
    <n v="61"/>
    <n v="3.3898305084745672E-2"/>
  </r>
  <r>
    <x v="56"/>
    <x v="1"/>
    <n v="64"/>
    <n v="4.9180327868852514E-2"/>
  </r>
  <r>
    <x v="57"/>
    <x v="1"/>
    <n v="67"/>
    <n v="4.6875E-2"/>
  </r>
  <r>
    <x v="58"/>
    <x v="1"/>
    <n v="64"/>
    <n v="-4.4776119402985093E-2"/>
  </r>
  <r>
    <x v="59"/>
    <x v="1"/>
    <n v="64"/>
    <n v="0"/>
  </r>
  <r>
    <x v="0"/>
    <x v="2"/>
    <n v="581"/>
    <s v=""/>
  </r>
  <r>
    <x v="1"/>
    <x v="2"/>
    <n v="558"/>
    <n v="-3.9586919104991347E-2"/>
  </r>
  <r>
    <x v="2"/>
    <x v="2"/>
    <n v="408"/>
    <n v="-0.26881720430107525"/>
  </r>
  <r>
    <x v="3"/>
    <x v="2"/>
    <n v="474"/>
    <n v="0.16176470588235303"/>
  </r>
  <r>
    <x v="4"/>
    <x v="2"/>
    <n v="451"/>
    <n v="-4.8523206751054815E-2"/>
  </r>
  <r>
    <x v="5"/>
    <x v="2"/>
    <n v="505"/>
    <n v="0.1197339246119733"/>
  </r>
  <r>
    <x v="6"/>
    <x v="2"/>
    <n v="489"/>
    <n v="-3.1683168316831711E-2"/>
  </r>
  <r>
    <x v="7"/>
    <x v="2"/>
    <n v="528"/>
    <n v="7.9754601226993849E-2"/>
  </r>
  <r>
    <x v="8"/>
    <x v="2"/>
    <n v="511"/>
    <n v="-3.2196969696969724E-2"/>
  </r>
  <r>
    <x v="9"/>
    <x v="2"/>
    <n v="561"/>
    <n v="9.784735812133083E-2"/>
  </r>
  <r>
    <x v="10"/>
    <x v="2"/>
    <n v="682"/>
    <n v="0.21568627450980382"/>
  </r>
  <r>
    <x v="11"/>
    <x v="2"/>
    <n v="680"/>
    <n v="-2.9325513196480912E-3"/>
  </r>
  <r>
    <x v="12"/>
    <x v="2"/>
    <n v="659"/>
    <n v="-3.0882352941176472E-2"/>
  </r>
  <r>
    <x v="13"/>
    <x v="2"/>
    <n v="727"/>
    <n v="0.103186646433991"/>
  </r>
  <r>
    <x v="14"/>
    <x v="2"/>
    <n v="707"/>
    <n v="-2.751031636863821E-2"/>
  </r>
  <r>
    <x v="15"/>
    <x v="2"/>
    <n v="669"/>
    <n v="-5.3748231966053717E-2"/>
  </r>
  <r>
    <x v="16"/>
    <x v="2"/>
    <n v="718"/>
    <n v="7.3243647234678688E-2"/>
  </r>
  <r>
    <x v="17"/>
    <x v="2"/>
    <n v="709"/>
    <n v="-1.2534818941504211E-2"/>
  </r>
  <r>
    <x v="18"/>
    <x v="2"/>
    <n v="678"/>
    <n v="-4.3723554301833611E-2"/>
  </r>
  <r>
    <x v="19"/>
    <x v="2"/>
    <n v="752"/>
    <n v="0.10914454277286145"/>
  </r>
  <r>
    <x v="20"/>
    <x v="2"/>
    <n v="759"/>
    <n v="9.3085106382979621E-3"/>
  </r>
  <r>
    <x v="21"/>
    <x v="2"/>
    <n v="753"/>
    <n v="-7.905138339920903E-3"/>
  </r>
  <r>
    <x v="22"/>
    <x v="2"/>
    <n v="710"/>
    <n v="-5.7104913678618807E-2"/>
  </r>
  <r>
    <x v="23"/>
    <x v="2"/>
    <n v="704"/>
    <n v="-8.4507042253521014E-3"/>
  </r>
  <r>
    <x v="24"/>
    <x v="2"/>
    <n v="707"/>
    <n v="4.2613636363635354E-3"/>
  </r>
  <r>
    <x v="25"/>
    <x v="2"/>
    <n v="678"/>
    <n v="-4.1018387553040991E-2"/>
  </r>
  <r>
    <x v="26"/>
    <x v="2"/>
    <n v="699"/>
    <n v="3.0973451327433565E-2"/>
  </r>
  <r>
    <x v="27"/>
    <x v="2"/>
    <n v="659"/>
    <n v="-5.7224606580829729E-2"/>
  </r>
  <r>
    <x v="28"/>
    <x v="2"/>
    <n v="661"/>
    <n v="3.0349013657056112E-3"/>
  </r>
  <r>
    <x v="29"/>
    <x v="2"/>
    <n v="649"/>
    <n v="-1.8154311649016597E-2"/>
  </r>
  <r>
    <x v="30"/>
    <x v="2"/>
    <n v="690"/>
    <n v="6.3174114021571581E-2"/>
  </r>
  <r>
    <x v="31"/>
    <x v="2"/>
    <n v="715"/>
    <n v="3.6231884057970953E-2"/>
  </r>
  <r>
    <x v="32"/>
    <x v="2"/>
    <n v="684"/>
    <n v="-4.3356643356643354E-2"/>
  </r>
  <r>
    <x v="33"/>
    <x v="2"/>
    <n v="720"/>
    <n v="5.2631578947368363E-2"/>
  </r>
  <r>
    <x v="34"/>
    <x v="2"/>
    <n v="774"/>
    <n v="7.4999999999999956E-2"/>
  </r>
  <r>
    <x v="35"/>
    <x v="2"/>
    <n v="783"/>
    <n v="1.1627906976744207E-2"/>
  </r>
  <r>
    <x v="36"/>
    <x v="2"/>
    <n v="772"/>
    <n v="-1.4048531289910571E-2"/>
  </r>
  <r>
    <x v="37"/>
    <x v="2"/>
    <n v="770"/>
    <n v="-2.5906735751295429E-3"/>
  </r>
  <r>
    <x v="38"/>
    <x v="2"/>
    <n v="774"/>
    <n v="5.1948051948051965E-3"/>
  </r>
  <r>
    <x v="39"/>
    <x v="2"/>
    <n v="812"/>
    <n v="4.9095607235142058E-2"/>
  </r>
  <r>
    <x v="40"/>
    <x v="2"/>
    <n v="775"/>
    <n v="-4.5566502463054159E-2"/>
  </r>
  <r>
    <x v="41"/>
    <x v="2"/>
    <n v="828"/>
    <n v="6.8387096774193523E-2"/>
  </r>
  <r>
    <x v="42"/>
    <x v="2"/>
    <n v="804"/>
    <n v="-2.8985507246376829E-2"/>
  </r>
  <r>
    <x v="43"/>
    <x v="2"/>
    <n v="765"/>
    <n v="-4.8507462686567138E-2"/>
  </r>
  <r>
    <x v="44"/>
    <x v="2"/>
    <n v="743"/>
    <n v="-2.8758169934640532E-2"/>
  </r>
  <r>
    <x v="45"/>
    <x v="2"/>
    <n v="719"/>
    <n v="-3.2301480484522194E-2"/>
  </r>
  <r>
    <x v="46"/>
    <x v="2"/>
    <n v="759"/>
    <n v="5.5632823365785899E-2"/>
  </r>
  <r>
    <x v="47"/>
    <x v="2"/>
    <n v="832"/>
    <n v="9.6179183135704838E-2"/>
  </r>
  <r>
    <x v="48"/>
    <x v="2"/>
    <n v="712"/>
    <n v="-0.14423076923076927"/>
  </r>
  <r>
    <x v="49"/>
    <x v="2"/>
    <n v="683"/>
    <n v="-4.0730337078651702E-2"/>
  </r>
  <r>
    <x v="50"/>
    <x v="2"/>
    <n v="705"/>
    <n v="3.2210834553440648E-2"/>
  </r>
  <r>
    <x v="51"/>
    <x v="2"/>
    <n v="740"/>
    <n v="4.9645390070921946E-2"/>
  </r>
  <r>
    <x v="52"/>
    <x v="2"/>
    <n v="745"/>
    <n v="6.7567567567567988E-3"/>
  </r>
  <r>
    <x v="53"/>
    <x v="2"/>
    <n v="831"/>
    <n v="0.11543624161073818"/>
  </r>
  <r>
    <x v="54"/>
    <x v="2"/>
    <n v="797"/>
    <n v="-4.0914560770156427E-2"/>
  </r>
  <r>
    <x v="55"/>
    <x v="2"/>
    <n v="808"/>
    <n v="1.3801756587201952E-2"/>
  </r>
  <r>
    <x v="56"/>
    <x v="2"/>
    <n v="854"/>
    <n v="5.6930693069306981E-2"/>
  </r>
  <r>
    <x v="57"/>
    <x v="2"/>
    <n v="856"/>
    <n v="2.3419203747072626E-3"/>
  </r>
  <r>
    <x v="58"/>
    <x v="2"/>
    <n v="886"/>
    <n v="3.5046728971962704E-2"/>
  </r>
  <r>
    <x v="59"/>
    <x v="2"/>
    <n v="875"/>
    <n v="-1.241534988713322E-2"/>
  </r>
  <r>
    <x v="0"/>
    <x v="3"/>
    <n v="183"/>
    <s v=""/>
  </r>
  <r>
    <x v="1"/>
    <x v="3"/>
    <n v="154"/>
    <n v="-0.15846994535519121"/>
  </r>
  <r>
    <x v="2"/>
    <x v="3"/>
    <n v="134"/>
    <n v="-0.12987012987012991"/>
  </r>
  <r>
    <x v="3"/>
    <x v="3"/>
    <n v="142"/>
    <n v="5.9701492537313383E-2"/>
  </r>
  <r>
    <x v="4"/>
    <x v="3"/>
    <n v="154"/>
    <n v="8.4507042253521236E-2"/>
  </r>
  <r>
    <x v="5"/>
    <x v="3"/>
    <n v="152"/>
    <n v="-1.2987012987012991E-2"/>
  </r>
  <r>
    <x v="6"/>
    <x v="3"/>
    <n v="151"/>
    <n v="-6.5789473684210176E-3"/>
  </r>
  <r>
    <x v="7"/>
    <x v="3"/>
    <n v="156"/>
    <n v="3.3112582781456901E-2"/>
  </r>
  <r>
    <x v="8"/>
    <x v="3"/>
    <n v="141"/>
    <n v="-9.6153846153846145E-2"/>
  </r>
  <r>
    <x v="9"/>
    <x v="3"/>
    <n v="135"/>
    <n v="-4.2553191489361653E-2"/>
  </r>
  <r>
    <x v="10"/>
    <x v="3"/>
    <n v="159"/>
    <n v="0.17777777777777781"/>
  </r>
  <r>
    <x v="11"/>
    <x v="3"/>
    <n v="171"/>
    <n v="7.547169811320753E-2"/>
  </r>
  <r>
    <x v="12"/>
    <x v="3"/>
    <n v="166"/>
    <n v="-2.9239766081871399E-2"/>
  </r>
  <r>
    <x v="13"/>
    <x v="3"/>
    <n v="167"/>
    <n v="6.0240963855422436E-3"/>
  </r>
  <r>
    <x v="14"/>
    <x v="3"/>
    <n v="183"/>
    <n v="9.5808383233533023E-2"/>
  </r>
  <r>
    <x v="15"/>
    <x v="3"/>
    <n v="170"/>
    <n v="-7.1038251366120186E-2"/>
  </r>
  <r>
    <x v="16"/>
    <x v="3"/>
    <n v="182"/>
    <n v="7.0588235294117618E-2"/>
  </r>
  <r>
    <x v="17"/>
    <x v="3"/>
    <n v="170"/>
    <n v="-6.5934065934065922E-2"/>
  </r>
  <r>
    <x v="18"/>
    <x v="3"/>
    <n v="177"/>
    <n v="4.117647058823537E-2"/>
  </r>
  <r>
    <x v="19"/>
    <x v="3"/>
    <n v="182"/>
    <n v="2.8248587570621542E-2"/>
  </r>
  <r>
    <x v="20"/>
    <x v="3"/>
    <n v="203"/>
    <n v="0.11538461538461542"/>
  </r>
  <r>
    <x v="21"/>
    <x v="3"/>
    <n v="192"/>
    <n v="-5.4187192118226646E-2"/>
  </r>
  <r>
    <x v="22"/>
    <x v="3"/>
    <n v="191"/>
    <n v="-5.2083333333333703E-3"/>
  </r>
  <r>
    <x v="23"/>
    <x v="3"/>
    <n v="188"/>
    <n v="-1.5706806282722474E-2"/>
  </r>
  <r>
    <x v="24"/>
    <x v="3"/>
    <n v="190"/>
    <n v="1.0638297872340496E-2"/>
  </r>
  <r>
    <x v="25"/>
    <x v="3"/>
    <n v="186"/>
    <n v="-2.1052631578947323E-2"/>
  </r>
  <r>
    <x v="26"/>
    <x v="3"/>
    <n v="221"/>
    <n v="0.18817204301075274"/>
  </r>
  <r>
    <x v="27"/>
    <x v="3"/>
    <n v="229"/>
    <n v="3.6199095022624528E-2"/>
  </r>
  <r>
    <x v="28"/>
    <x v="3"/>
    <n v="239"/>
    <n v="4.366812227074246E-2"/>
  </r>
  <r>
    <x v="29"/>
    <x v="3"/>
    <n v="247"/>
    <n v="3.3472803347280422E-2"/>
  </r>
  <r>
    <x v="30"/>
    <x v="3"/>
    <n v="273"/>
    <n v="0.10526315789473695"/>
  </r>
  <r>
    <x v="31"/>
    <x v="3"/>
    <n v="289"/>
    <n v="5.8608058608058622E-2"/>
  </r>
  <r>
    <x v="32"/>
    <x v="3"/>
    <n v="300"/>
    <n v="3.8062283737024138E-2"/>
  </r>
  <r>
    <x v="33"/>
    <x v="3"/>
    <n v="315"/>
    <n v="5.0000000000000044E-2"/>
  </r>
  <r>
    <x v="34"/>
    <x v="3"/>
    <n v="307"/>
    <n v="-2.5396825396825418E-2"/>
  </r>
  <r>
    <x v="35"/>
    <x v="3"/>
    <n v="299"/>
    <n v="-2.6058631921824116E-2"/>
  </r>
  <r>
    <x v="36"/>
    <x v="3"/>
    <n v="318"/>
    <n v="6.3545150501672198E-2"/>
  </r>
  <r>
    <x v="37"/>
    <x v="3"/>
    <n v="340"/>
    <n v="6.9182389937106903E-2"/>
  </r>
  <r>
    <x v="38"/>
    <x v="3"/>
    <n v="351"/>
    <n v="3.2352941176470695E-2"/>
  </r>
  <r>
    <x v="39"/>
    <x v="3"/>
    <n v="390"/>
    <n v="0.11111111111111116"/>
  </r>
  <r>
    <x v="40"/>
    <x v="3"/>
    <n v="408"/>
    <n v="4.6153846153846212E-2"/>
  </r>
  <r>
    <x v="41"/>
    <x v="3"/>
    <n v="423"/>
    <n v="3.6764705882353033E-2"/>
  </r>
  <r>
    <x v="42"/>
    <x v="3"/>
    <n v="436"/>
    <n v="3.0732860520094496E-2"/>
  </r>
  <r>
    <x v="43"/>
    <x v="3"/>
    <n v="412"/>
    <n v="-5.5045871559633031E-2"/>
  </r>
  <r>
    <x v="44"/>
    <x v="3"/>
    <n v="416"/>
    <n v="9.7087378640776656E-3"/>
  </r>
  <r>
    <x v="45"/>
    <x v="3"/>
    <n v="401"/>
    <n v="-3.6057692307692291E-2"/>
  </r>
  <r>
    <x v="46"/>
    <x v="3"/>
    <n v="408"/>
    <n v="1.7456359102244301E-2"/>
  </r>
  <r>
    <x v="47"/>
    <x v="3"/>
    <n v="433"/>
    <n v="6.1274509803921573E-2"/>
  </r>
  <r>
    <x v="48"/>
    <x v="3"/>
    <n v="413"/>
    <n v="-4.6189376443418029E-2"/>
  </r>
  <r>
    <x v="49"/>
    <x v="3"/>
    <n v="380"/>
    <n v="-7.9903147699757815E-2"/>
  </r>
  <r>
    <x v="50"/>
    <x v="3"/>
    <n v="407"/>
    <n v="7.1052631578947478E-2"/>
  </r>
  <r>
    <x v="51"/>
    <x v="3"/>
    <n v="414"/>
    <n v="1.7199017199017286E-2"/>
  </r>
  <r>
    <x v="52"/>
    <x v="3"/>
    <n v="405"/>
    <n v="-2.1739130434782594E-2"/>
  </r>
  <r>
    <x v="53"/>
    <x v="3"/>
    <n v="404"/>
    <n v="-2.4691358024691024E-3"/>
  </r>
  <r>
    <x v="54"/>
    <x v="3"/>
    <n v="479"/>
    <n v="0.18564356435643559"/>
  </r>
  <r>
    <x v="55"/>
    <x v="3"/>
    <n v="485"/>
    <n v="1.2526096033402823E-2"/>
  </r>
  <r>
    <x v="56"/>
    <x v="3"/>
    <n v="501"/>
    <n v="3.2989690721649589E-2"/>
  </r>
  <r>
    <x v="57"/>
    <x v="3"/>
    <n v="472"/>
    <n v="-5.7884231536926123E-2"/>
  </r>
  <r>
    <x v="58"/>
    <x v="3"/>
    <n v="461"/>
    <n v="-2.3305084745762761E-2"/>
  </r>
  <r>
    <x v="59"/>
    <x v="3"/>
    <n v="468"/>
    <n v="1.5184381778741818E-2"/>
  </r>
  <r>
    <x v="0"/>
    <x v="4"/>
    <n v="11962"/>
    <s v=""/>
  </r>
  <r>
    <x v="1"/>
    <x v="4"/>
    <n v="11202"/>
    <n v="-6.3534525998996783E-2"/>
  </r>
  <r>
    <x v="2"/>
    <x v="4"/>
    <n v="8598"/>
    <n v="-0.23245848955543658"/>
  </r>
  <r>
    <x v="3"/>
    <x v="4"/>
    <n v="9860"/>
    <n v="0.14677832053966045"/>
  </r>
  <r>
    <x v="4"/>
    <x v="4"/>
    <n v="9580"/>
    <n v="-2.8397565922920864E-2"/>
  </r>
  <r>
    <x v="5"/>
    <x v="4"/>
    <n v="10302"/>
    <n v="7.5365344467640982E-2"/>
  </r>
  <r>
    <x v="6"/>
    <x v="4"/>
    <n v="11073"/>
    <n v="7.4839836924869063E-2"/>
  </r>
  <r>
    <x v="7"/>
    <x v="4"/>
    <n v="11388"/>
    <n v="2.8447575182877216E-2"/>
  </r>
  <r>
    <x v="8"/>
    <x v="4"/>
    <n v="11248"/>
    <n v="-1.2293642430628693E-2"/>
  </r>
  <r>
    <x v="9"/>
    <x v="4"/>
    <n v="11642"/>
    <n v="3.5028449502133796E-2"/>
  </r>
  <r>
    <x v="10"/>
    <x v="4"/>
    <n v="12969"/>
    <n v="0.11398385157189495"/>
  </r>
  <r>
    <x v="11"/>
    <x v="4"/>
    <n v="13982"/>
    <n v="7.8109337651322441E-2"/>
  </r>
  <r>
    <x v="12"/>
    <x v="4"/>
    <n v="13635"/>
    <n v="-2.4817622657702709E-2"/>
  </r>
  <r>
    <x v="13"/>
    <x v="4"/>
    <n v="14529"/>
    <n v="6.5566556655665575E-2"/>
  </r>
  <r>
    <x v="14"/>
    <x v="4"/>
    <n v="14691"/>
    <n v="1.1150113565971509E-2"/>
  </r>
  <r>
    <x v="15"/>
    <x v="4"/>
    <n v="14631"/>
    <n v="-4.0841331427404759E-3"/>
  </r>
  <r>
    <x v="16"/>
    <x v="4"/>
    <n v="15583"/>
    <n v="6.5067322807736971E-2"/>
  </r>
  <r>
    <x v="17"/>
    <x v="4"/>
    <n v="15722"/>
    <n v="8.9199768979015825E-3"/>
  </r>
  <r>
    <x v="18"/>
    <x v="4"/>
    <n v="15763"/>
    <n v="2.607810711105385E-3"/>
  </r>
  <r>
    <x v="19"/>
    <x v="4"/>
    <n v="17132"/>
    <n v="8.6848950072955677E-2"/>
  </r>
  <r>
    <x v="20"/>
    <x v="4"/>
    <n v="17618"/>
    <n v="2.8367966378706422E-2"/>
  </r>
  <r>
    <x v="21"/>
    <x v="4"/>
    <n v="17672"/>
    <n v="3.0650471109092692E-3"/>
  </r>
  <r>
    <x v="22"/>
    <x v="4"/>
    <n v="16983"/>
    <n v="-3.8988229968311416E-2"/>
  </r>
  <r>
    <x v="23"/>
    <x v="4"/>
    <n v="17354"/>
    <n v="2.1845374786551242E-2"/>
  </r>
  <r>
    <x v="24"/>
    <x v="4"/>
    <n v="17340"/>
    <n v="-8.0673043678691769E-4"/>
  </r>
  <r>
    <x v="25"/>
    <x v="4"/>
    <n v="16794"/>
    <n v="-3.148788927335644E-2"/>
  </r>
  <r>
    <x v="26"/>
    <x v="4"/>
    <n v="17465"/>
    <n v="3.9954745742527109E-2"/>
  </r>
  <r>
    <x v="27"/>
    <x v="4"/>
    <n v="17103"/>
    <n v="-2.0727168622960201E-2"/>
  </r>
  <r>
    <x v="28"/>
    <x v="4"/>
    <n v="16585"/>
    <n v="-3.0287084137285869E-2"/>
  </r>
  <r>
    <x v="29"/>
    <x v="4"/>
    <n v="15780"/>
    <n v="-4.8537835393427819E-2"/>
  </r>
  <r>
    <x v="30"/>
    <x v="4"/>
    <n v="17158"/>
    <n v="8.7325728770595745E-2"/>
  </r>
  <r>
    <x v="31"/>
    <x v="4"/>
    <n v="17759"/>
    <n v="3.5027392469984875E-2"/>
  </r>
  <r>
    <x v="32"/>
    <x v="4"/>
    <n v="17094"/>
    <n v="-3.744580212849824E-2"/>
  </r>
  <r>
    <x v="33"/>
    <x v="4"/>
    <n v="18012"/>
    <n v="5.3703053703053616E-2"/>
  </r>
  <r>
    <x v="34"/>
    <x v="4"/>
    <n v="18758"/>
    <n v="4.1416833222296168E-2"/>
  </r>
  <r>
    <x v="35"/>
    <x v="4"/>
    <n v="18105"/>
    <n v="-3.4811813626186128E-2"/>
  </r>
  <r>
    <x v="36"/>
    <x v="4"/>
    <n v="17662"/>
    <n v="-2.4468378900856069E-2"/>
  </r>
  <r>
    <x v="37"/>
    <x v="4"/>
    <n v="17304"/>
    <n v="-2.0269505152304412E-2"/>
  </r>
  <r>
    <x v="38"/>
    <x v="4"/>
    <n v="17360"/>
    <n v="3.2362459546926292E-3"/>
  </r>
  <r>
    <x v="39"/>
    <x v="4"/>
    <n v="18065"/>
    <n v="4.061059907834097E-2"/>
  </r>
  <r>
    <x v="40"/>
    <x v="4"/>
    <n v="18534"/>
    <n v="2.5961804594519799E-2"/>
  </r>
  <r>
    <x v="41"/>
    <x v="4"/>
    <n v="19189"/>
    <n v="3.534045537930286E-2"/>
  </r>
  <r>
    <x v="42"/>
    <x v="4"/>
    <n v="19754"/>
    <n v="2.9443952264318174E-2"/>
  </r>
  <r>
    <x v="43"/>
    <x v="4"/>
    <n v="19254"/>
    <n v="-2.5311329351017542E-2"/>
  </r>
  <r>
    <x v="44"/>
    <x v="4"/>
    <n v="19638"/>
    <n v="1.994390775942656E-2"/>
  </r>
  <r>
    <x v="45"/>
    <x v="4"/>
    <n v="19080"/>
    <n v="-2.8414298808432603E-2"/>
  </r>
  <r>
    <x v="46"/>
    <x v="4"/>
    <n v="20133"/>
    <n v="5.5188679245282923E-2"/>
  </r>
  <r>
    <x v="47"/>
    <x v="4"/>
    <n v="21731"/>
    <n v="7.9372175036010573E-2"/>
  </r>
  <r>
    <x v="48"/>
    <x v="4"/>
    <n v="21726"/>
    <n v="-2.3008605218355349E-4"/>
  </r>
  <r>
    <x v="49"/>
    <x v="4"/>
    <n v="21983"/>
    <n v="1.1829144803461311E-2"/>
  </r>
  <r>
    <x v="50"/>
    <x v="4"/>
    <n v="22327"/>
    <n v="1.5648455624800883E-2"/>
  </r>
  <r>
    <x v="51"/>
    <x v="4"/>
    <n v="22605"/>
    <n v="1.2451292157477534E-2"/>
  </r>
  <r>
    <x v="52"/>
    <x v="4"/>
    <n v="22531"/>
    <n v="-3.2736120327361284E-3"/>
  </r>
  <r>
    <x v="53"/>
    <x v="4"/>
    <n v="24011"/>
    <n v="6.5687275309573412E-2"/>
  </r>
  <r>
    <x v="54"/>
    <x v="4"/>
    <n v="24951"/>
    <n v="3.9148723501728266E-2"/>
  </r>
  <r>
    <x v="55"/>
    <x v="4"/>
    <n v="25236"/>
    <n v="1.1422387880245299E-2"/>
  </r>
  <r>
    <x v="56"/>
    <x v="4"/>
    <n v="25811"/>
    <n v="2.2784910445395434E-2"/>
  </r>
  <r>
    <x v="57"/>
    <x v="4"/>
    <n v="24205"/>
    <n v="-6.2221533454728584E-2"/>
  </r>
  <r>
    <x v="58"/>
    <x v="4"/>
    <n v="24131"/>
    <n v="-3.0572195827308635E-3"/>
  </r>
  <r>
    <x v="59"/>
    <x v="4"/>
    <n v="23645"/>
    <n v="-2.0140068791181465E-2"/>
  </r>
  <r>
    <x v="0"/>
    <x v="5"/>
    <n v="1822"/>
    <s v=""/>
  </r>
  <r>
    <x v="1"/>
    <x v="5"/>
    <n v="1757"/>
    <n v="-3.5675082327113028E-2"/>
  </r>
  <r>
    <x v="2"/>
    <x v="5"/>
    <n v="1604"/>
    <n v="-8.7080250426863959E-2"/>
  </r>
  <r>
    <x v="3"/>
    <x v="5"/>
    <n v="1783"/>
    <n v="0.11159600997506236"/>
  </r>
  <r>
    <x v="4"/>
    <x v="5"/>
    <n v="1745"/>
    <n v="-2.1312394840157012E-2"/>
  </r>
  <r>
    <x v="5"/>
    <x v="5"/>
    <n v="1843"/>
    <n v="5.6160458452721995E-2"/>
  </r>
  <r>
    <x v="6"/>
    <x v="5"/>
    <n v="2025"/>
    <n v="9.8752034725990256E-2"/>
  </r>
  <r>
    <x v="7"/>
    <x v="5"/>
    <n v="2008"/>
    <n v="-8.3950617283951035E-3"/>
  </r>
  <r>
    <x v="8"/>
    <x v="5"/>
    <n v="2217"/>
    <n v="0.10408366533864544"/>
  </r>
  <r>
    <x v="9"/>
    <x v="5"/>
    <n v="2371"/>
    <n v="6.9463238610735223E-2"/>
  </r>
  <r>
    <x v="10"/>
    <x v="5"/>
    <n v="2394"/>
    <n v="9.7005482918599562E-3"/>
  </r>
  <r>
    <x v="11"/>
    <x v="5"/>
    <n v="2557"/>
    <n v="6.8086883876357529E-2"/>
  </r>
  <r>
    <x v="12"/>
    <x v="5"/>
    <n v="2780"/>
    <n v="8.7211576065701957E-2"/>
  </r>
  <r>
    <x v="13"/>
    <x v="5"/>
    <n v="2591"/>
    <n v="-6.7985611510791411E-2"/>
  </r>
  <r>
    <x v="14"/>
    <x v="5"/>
    <n v="2844"/>
    <n v="9.7645696642223001E-2"/>
  </r>
  <r>
    <x v="15"/>
    <x v="5"/>
    <n v="2717"/>
    <n v="-4.4655414908579494E-2"/>
  </r>
  <r>
    <x v="16"/>
    <x v="5"/>
    <n v="2828"/>
    <n v="4.0853882959146048E-2"/>
  </r>
  <r>
    <x v="17"/>
    <x v="5"/>
    <n v="3009"/>
    <n v="6.4002828854313965E-2"/>
  </r>
  <r>
    <x v="18"/>
    <x v="5"/>
    <n v="2849"/>
    <n v="-5.3173811897640366E-2"/>
  </r>
  <r>
    <x v="19"/>
    <x v="5"/>
    <n v="3413"/>
    <n v="0.19796419796419795"/>
  </r>
  <r>
    <x v="20"/>
    <x v="5"/>
    <n v="3403"/>
    <n v="-2.9299736302372814E-3"/>
  </r>
  <r>
    <x v="21"/>
    <x v="5"/>
    <n v="3063"/>
    <n v="-9.9911842491918867E-2"/>
  </r>
  <r>
    <x v="22"/>
    <x v="5"/>
    <n v="3187"/>
    <n v="4.0483186418543982E-2"/>
  </r>
  <r>
    <x v="23"/>
    <x v="5"/>
    <n v="3376"/>
    <n v="5.9303420144336316E-2"/>
  </r>
  <r>
    <x v="24"/>
    <x v="5"/>
    <n v="3374"/>
    <n v="-5.924170616113944E-4"/>
  </r>
  <r>
    <x v="25"/>
    <x v="5"/>
    <n v="3216"/>
    <n v="-4.6828689982216898E-2"/>
  </r>
  <r>
    <x v="26"/>
    <x v="5"/>
    <n v="3384"/>
    <n v="5.2238805970149294E-2"/>
  </r>
  <r>
    <x v="27"/>
    <x v="5"/>
    <n v="3209"/>
    <n v="-5.171394799054374E-2"/>
  </r>
  <r>
    <x v="28"/>
    <x v="5"/>
    <n v="3044"/>
    <n v="-5.1417887192271694E-2"/>
  </r>
  <r>
    <x v="29"/>
    <x v="5"/>
    <n v="2976"/>
    <n v="-2.2339027595269401E-2"/>
  </r>
  <r>
    <x v="30"/>
    <x v="5"/>
    <n v="3007"/>
    <n v="1.0416666666666741E-2"/>
  </r>
  <r>
    <x v="31"/>
    <x v="5"/>
    <n v="2932"/>
    <n v="-2.4941802460924478E-2"/>
  </r>
  <r>
    <x v="32"/>
    <x v="5"/>
    <n v="2744"/>
    <n v="-6.4120054570259155E-2"/>
  </r>
  <r>
    <x v="33"/>
    <x v="5"/>
    <n v="2916"/>
    <n v="6.2682215743440128E-2"/>
  </r>
  <r>
    <x v="34"/>
    <x v="5"/>
    <n v="3105"/>
    <n v="6.4814814814814881E-2"/>
  </r>
  <r>
    <x v="35"/>
    <x v="5"/>
    <n v="2982"/>
    <n v="-3.9613526570048352E-2"/>
  </r>
  <r>
    <x v="36"/>
    <x v="5"/>
    <n v="3075"/>
    <n v="3.1187122736418438E-2"/>
  </r>
  <r>
    <x v="37"/>
    <x v="5"/>
    <n v="3102"/>
    <n v="8.7804878048780566E-3"/>
  </r>
  <r>
    <x v="38"/>
    <x v="5"/>
    <n v="3002"/>
    <n v="-3.2237266279819488E-2"/>
  </r>
  <r>
    <x v="39"/>
    <x v="5"/>
    <n v="3014"/>
    <n v="3.9973351099267251E-3"/>
  </r>
  <r>
    <x v="40"/>
    <x v="5"/>
    <n v="3080"/>
    <n v="2.1897810218978186E-2"/>
  </r>
  <r>
    <x v="41"/>
    <x v="5"/>
    <n v="3092"/>
    <n v="3.8961038961038419E-3"/>
  </r>
  <r>
    <x v="42"/>
    <x v="5"/>
    <n v="3228"/>
    <n v="4.3984476067270295E-2"/>
  </r>
  <r>
    <x v="43"/>
    <x v="5"/>
    <n v="3175"/>
    <n v="-1.6418835192069436E-2"/>
  </r>
  <r>
    <x v="44"/>
    <x v="5"/>
    <n v="3337"/>
    <n v="5.1023622047244199E-2"/>
  </r>
  <r>
    <x v="45"/>
    <x v="5"/>
    <n v="3186"/>
    <n v="-4.5250224752771961E-2"/>
  </r>
  <r>
    <x v="46"/>
    <x v="5"/>
    <n v="3307"/>
    <n v="3.7978656622724483E-2"/>
  </r>
  <r>
    <x v="47"/>
    <x v="5"/>
    <n v="3597"/>
    <n v="8.7692772905957117E-2"/>
  </r>
  <r>
    <x v="48"/>
    <x v="5"/>
    <n v="3618"/>
    <n v="5.8381984987490032E-3"/>
  </r>
  <r>
    <x v="49"/>
    <x v="5"/>
    <n v="3910"/>
    <n v="8.0707573244886754E-2"/>
  </r>
  <r>
    <x v="50"/>
    <x v="5"/>
    <n v="3701"/>
    <n v="-5.3452685421994883E-2"/>
  </r>
  <r>
    <x v="51"/>
    <x v="5"/>
    <n v="3648"/>
    <n v="-1.4320453931369936E-2"/>
  </r>
  <r>
    <x v="52"/>
    <x v="5"/>
    <n v="3505"/>
    <n v="-3.9199561403508776E-2"/>
  </r>
  <r>
    <x v="53"/>
    <x v="5"/>
    <n v="3755"/>
    <n v="7.1326676176890258E-2"/>
  </r>
  <r>
    <x v="54"/>
    <x v="5"/>
    <n v="4218"/>
    <n v="0.12330226364846864"/>
  </r>
  <r>
    <x v="55"/>
    <x v="5"/>
    <n v="4390"/>
    <n v="4.0777619724988057E-2"/>
  </r>
  <r>
    <x v="56"/>
    <x v="5"/>
    <n v="4115"/>
    <n v="-6.2642369020501132E-2"/>
  </r>
  <r>
    <x v="57"/>
    <x v="5"/>
    <n v="3826"/>
    <n v="-7.0230862697448382E-2"/>
  </r>
  <r>
    <x v="58"/>
    <x v="5"/>
    <n v="4127"/>
    <n v="7.8672242550967164E-2"/>
  </r>
  <r>
    <x v="59"/>
    <x v="5"/>
    <n v="3957"/>
    <n v="-4.119214926096437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202A0-1512-4520-B1BE-F236137A96C7}" name="PivotTable1" cacheId="0" applyNumberFormats="0" applyBorderFormats="0" applyFontFormats="0" applyPatternFormats="0" applyAlignmentFormats="0" applyWidthHeightFormats="1" dataCaption="Values" updatedVersion="8" minRefreshableVersion="5" useAutoFormatting="1" colGrandTotals="0" itemPrintTitles="1" createdVersion="8" indent="0" compact="0" compactData="0" multipleFieldFilters="0">
  <location ref="H7:N14" firstHeaderRow="1" firstDataRow="2" firstDataCol="1"/>
  <pivotFields count="6">
    <pivotField compact="0" numFmtId="14" outline="0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  <pivotField axis="axisRow" compact="0" outline="0" showAll="0">
      <items count="6"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Price" fld="2" subtotal="average" baseField="3" baseItem="0" numFmtId="2"/>
  </dataFields>
  <formats count="11">
    <format dxfId="245">
      <pivotArea outline="0" collapsedLevelsAreSubtotals="1" fieldPosition="0"/>
    </format>
    <format dxfId="244">
      <pivotArea field="3" type="button" dataOnly="0" labelOnly="1" outline="0" axis="axisRow" fieldPosition="0"/>
    </format>
    <format dxfId="243">
      <pivotArea dataOnly="0" labelOnly="1" outline="0" fieldPosition="0">
        <references count="1">
          <reference field="1" count="0"/>
        </references>
      </pivotArea>
    </format>
    <format dxfId="242">
      <pivotArea field="3" type="button" dataOnly="0" labelOnly="1" outline="0" axis="axisRow" fieldPosition="0"/>
    </format>
    <format dxfId="241">
      <pivotArea dataOnly="0" labelOnly="1" outline="0" fieldPosition="0">
        <references count="1">
          <reference field="1" count="0"/>
        </references>
      </pivotArea>
    </format>
    <format dxfId="240">
      <pivotArea outline="0" collapsedLevelsAreSubtotals="1" fieldPosition="0"/>
    </format>
    <format dxfId="239">
      <pivotArea dataOnly="0" labelOnly="1" outline="0" fieldPosition="0">
        <references count="1">
          <reference field="3" count="0"/>
        </references>
      </pivotArea>
    </format>
    <format dxfId="238">
      <pivotArea dataOnly="0" labelOnly="1" grandRow="1" outline="0" fieldPosition="0"/>
    </format>
    <format dxfId="237">
      <pivotArea outline="0" collapsedLevelsAreSubtotals="1" fieldPosition="0"/>
    </format>
    <format dxfId="236">
      <pivotArea dataOnly="0" labelOnly="1" outline="0" fieldPosition="0">
        <references count="1">
          <reference field="3" count="0"/>
        </references>
      </pivotArea>
    </format>
    <format dxfId="235">
      <pivotArea dataOnly="0" labelOnly="1" grandRow="1" outline="0" fieldPosition="0"/>
    </format>
  </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DAEB4-7054-4F9D-A97E-C73D78259EE4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G64" firstHeaderRow="1" firstDataRow="2" firstDataCol="1"/>
  <pivotFields count="7">
    <pivotField axis="axisRow" compact="0" numFmtId="14" outline="0" showAll="0">
      <items count="61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dataField="1"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0"/>
  </rowFields>
  <rowItems count="5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Monthly_Return" fld="3" subtotal="average" baseField="0" baseItem="0" numFmtId="10"/>
  </dataFields>
  <formats count="79">
    <format dxfId="214">
      <pivotArea outline="0" collapsedLevelsAreSubtotals="1" fieldPosition="0"/>
    </format>
    <format dxfId="213">
      <pivotArea outline="0" collapsedLevelsAreSubtotals="1" fieldPosition="0"/>
    </format>
    <format dxfId="212">
      <pivotArea dataOnly="0" labelOnly="1" outline="0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211">
      <pivotArea dataOnly="0" labelOnly="1" outline="0" fieldPosition="0">
        <references count="1">
          <reference field="0" count="9"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210">
      <pivotArea field="0" type="button" dataOnly="0" labelOnly="1" outline="0" axis="axisRow" fieldPosition="0"/>
    </format>
    <format dxfId="209">
      <pivotArea dataOnly="0" labelOnly="1" outline="0" fieldPosition="0">
        <references count="1">
          <reference field="1" count="0"/>
        </references>
      </pivotArea>
    </format>
    <format dxfId="208">
      <pivotArea dataOnly="0" outline="0" fieldPosition="0">
        <references count="1">
          <reference field="0" count="1">
            <x v="1"/>
          </reference>
        </references>
      </pivotArea>
    </format>
    <format dxfId="207">
      <pivotArea outline="0" fieldPosition="0">
        <references count="1">
          <reference field="0" count="1" selected="0">
            <x v="3"/>
          </reference>
        </references>
      </pivotArea>
    </format>
    <format dxfId="206">
      <pivotArea dataOnly="0" labelOnly="1" outline="0" fieldPosition="0">
        <references count="1">
          <reference field="0" count="1">
            <x v="3"/>
          </reference>
        </references>
      </pivotArea>
    </format>
    <format dxfId="205">
      <pivotArea outline="0" fieldPosition="0">
        <references count="1">
          <reference field="0" count="1" selected="0">
            <x v="5"/>
          </reference>
        </references>
      </pivotArea>
    </format>
    <format dxfId="204">
      <pivotArea dataOnly="0" labelOnly="1" outline="0" fieldPosition="0">
        <references count="1">
          <reference field="0" count="1">
            <x v="5"/>
          </reference>
        </references>
      </pivotArea>
    </format>
    <format dxfId="203">
      <pivotArea outline="0" fieldPosition="0">
        <references count="1">
          <reference field="0" count="1" selected="0">
            <x v="7"/>
          </reference>
        </references>
      </pivotArea>
    </format>
    <format dxfId="202">
      <pivotArea dataOnly="0" labelOnly="1" outline="0" fieldPosition="0">
        <references count="1">
          <reference field="0" count="1">
            <x v="7"/>
          </reference>
        </references>
      </pivotArea>
    </format>
    <format dxfId="201">
      <pivotArea outline="0" fieldPosition="0">
        <references count="1">
          <reference field="0" count="1" selected="0">
            <x v="9"/>
          </reference>
        </references>
      </pivotArea>
    </format>
    <format dxfId="200">
      <pivotArea dataOnly="0" labelOnly="1" outline="0" fieldPosition="0">
        <references count="1">
          <reference field="0" count="1">
            <x v="9"/>
          </reference>
        </references>
      </pivotArea>
    </format>
    <format dxfId="199">
      <pivotArea outline="0" fieldPosition="0">
        <references count="1">
          <reference field="0" count="1" selected="0">
            <x v="11"/>
          </reference>
        </references>
      </pivotArea>
    </format>
    <format dxfId="198">
      <pivotArea dataOnly="0" labelOnly="1" outline="0" fieldPosition="0">
        <references count="1">
          <reference field="0" count="1">
            <x v="11"/>
          </reference>
        </references>
      </pivotArea>
    </format>
    <format dxfId="197">
      <pivotArea outline="0" fieldPosition="0">
        <references count="1">
          <reference field="0" count="1" selected="0">
            <x v="13"/>
          </reference>
        </references>
      </pivotArea>
    </format>
    <format dxfId="196">
      <pivotArea dataOnly="0" labelOnly="1" outline="0" fieldPosition="0">
        <references count="1">
          <reference field="0" count="1">
            <x v="13"/>
          </reference>
        </references>
      </pivotArea>
    </format>
    <format dxfId="195">
      <pivotArea outline="0" fieldPosition="0">
        <references count="1">
          <reference field="0" count="1" selected="0">
            <x v="15"/>
          </reference>
        </references>
      </pivotArea>
    </format>
    <format dxfId="194">
      <pivotArea dataOnly="0" labelOnly="1" outline="0" fieldPosition="0">
        <references count="1">
          <reference field="0" count="1">
            <x v="15"/>
          </reference>
        </references>
      </pivotArea>
    </format>
    <format dxfId="193">
      <pivotArea outline="0" fieldPosition="0">
        <references count="1">
          <reference field="0" count="1" selected="0">
            <x v="17"/>
          </reference>
        </references>
      </pivotArea>
    </format>
    <format dxfId="192">
      <pivotArea dataOnly="0" labelOnly="1" outline="0" fieldPosition="0">
        <references count="1">
          <reference field="0" count="1">
            <x v="17"/>
          </reference>
        </references>
      </pivotArea>
    </format>
    <format dxfId="191">
      <pivotArea outline="0" fieldPosition="0">
        <references count="1">
          <reference field="0" count="1" selected="0">
            <x v="19"/>
          </reference>
        </references>
      </pivotArea>
    </format>
    <format dxfId="190">
      <pivotArea dataOnly="0" labelOnly="1" outline="0" fieldPosition="0">
        <references count="1">
          <reference field="0" count="1">
            <x v="19"/>
          </reference>
        </references>
      </pivotArea>
    </format>
    <format dxfId="189">
      <pivotArea outline="0" fieldPosition="0">
        <references count="1">
          <reference field="0" count="1" selected="0">
            <x v="21"/>
          </reference>
        </references>
      </pivotArea>
    </format>
    <format dxfId="188">
      <pivotArea dataOnly="0" labelOnly="1" outline="0" fieldPosition="0">
        <references count="1">
          <reference field="0" count="1">
            <x v="21"/>
          </reference>
        </references>
      </pivotArea>
    </format>
    <format dxfId="187">
      <pivotArea outline="0" fieldPosition="0">
        <references count="1">
          <reference field="0" count="1" selected="0">
            <x v="23"/>
          </reference>
        </references>
      </pivotArea>
    </format>
    <format dxfId="186">
      <pivotArea dataOnly="0" labelOnly="1" outline="0" fieldPosition="0">
        <references count="1">
          <reference field="0" count="1">
            <x v="23"/>
          </reference>
        </references>
      </pivotArea>
    </format>
    <format dxfId="185">
      <pivotArea outline="0" fieldPosition="0">
        <references count="1">
          <reference field="0" count="1" selected="0">
            <x v="25"/>
          </reference>
        </references>
      </pivotArea>
    </format>
    <format dxfId="184">
      <pivotArea dataOnly="0" labelOnly="1" outline="0" fieldPosition="0">
        <references count="1">
          <reference field="0" count="1">
            <x v="25"/>
          </reference>
        </references>
      </pivotArea>
    </format>
    <format dxfId="183">
      <pivotArea outline="0" fieldPosition="0">
        <references count="1">
          <reference field="0" count="1" selected="0">
            <x v="27"/>
          </reference>
        </references>
      </pivotArea>
    </format>
    <format dxfId="182">
      <pivotArea dataOnly="0" labelOnly="1" outline="0" fieldPosition="0">
        <references count="1">
          <reference field="0" count="1">
            <x v="27"/>
          </reference>
        </references>
      </pivotArea>
    </format>
    <format dxfId="181">
      <pivotArea outline="0" fieldPosition="0">
        <references count="1">
          <reference field="0" count="1" selected="0">
            <x v="29"/>
          </reference>
        </references>
      </pivotArea>
    </format>
    <format dxfId="180">
      <pivotArea dataOnly="0" labelOnly="1" outline="0" fieldPosition="0">
        <references count="1">
          <reference field="0" count="1">
            <x v="29"/>
          </reference>
        </references>
      </pivotArea>
    </format>
    <format dxfId="179">
      <pivotArea outline="0" fieldPosition="0">
        <references count="1">
          <reference field="0" count="1" selected="0">
            <x v="31"/>
          </reference>
        </references>
      </pivotArea>
    </format>
    <format dxfId="178">
      <pivotArea dataOnly="0" labelOnly="1" outline="0" fieldPosition="0">
        <references count="1">
          <reference field="0" count="1">
            <x v="31"/>
          </reference>
        </references>
      </pivotArea>
    </format>
    <format dxfId="177">
      <pivotArea outline="0" fieldPosition="0">
        <references count="1">
          <reference field="0" count="1" selected="0">
            <x v="33"/>
          </reference>
        </references>
      </pivotArea>
    </format>
    <format dxfId="176">
      <pivotArea dataOnly="0" labelOnly="1" outline="0" fieldPosition="0">
        <references count="1">
          <reference field="0" count="1">
            <x v="33"/>
          </reference>
        </references>
      </pivotArea>
    </format>
    <format dxfId="175">
      <pivotArea outline="0" fieldPosition="0">
        <references count="1">
          <reference field="0" count="1" selected="0">
            <x v="35"/>
          </reference>
        </references>
      </pivotArea>
    </format>
    <format dxfId="174">
      <pivotArea dataOnly="0" labelOnly="1" outline="0" fieldPosition="0">
        <references count="1">
          <reference field="0" count="1">
            <x v="35"/>
          </reference>
        </references>
      </pivotArea>
    </format>
    <format dxfId="173">
      <pivotArea outline="0" fieldPosition="0">
        <references count="1">
          <reference field="0" count="1" selected="0">
            <x v="37"/>
          </reference>
        </references>
      </pivotArea>
    </format>
    <format dxfId="172">
      <pivotArea dataOnly="0" labelOnly="1" outline="0" fieldPosition="0">
        <references count="1">
          <reference field="0" count="1">
            <x v="37"/>
          </reference>
        </references>
      </pivotArea>
    </format>
    <format dxfId="171">
      <pivotArea outline="0" fieldPosition="0">
        <references count="1">
          <reference field="0" count="1" selected="0">
            <x v="39"/>
          </reference>
        </references>
      </pivotArea>
    </format>
    <format dxfId="170">
      <pivotArea dataOnly="0" labelOnly="1" outline="0" fieldPosition="0">
        <references count="1">
          <reference field="0" count="1">
            <x v="39"/>
          </reference>
        </references>
      </pivotArea>
    </format>
    <format dxfId="169">
      <pivotArea outline="0" fieldPosition="0">
        <references count="1">
          <reference field="0" count="1" selected="0">
            <x v="41"/>
          </reference>
        </references>
      </pivotArea>
    </format>
    <format dxfId="168">
      <pivotArea dataOnly="0" labelOnly="1" outline="0" fieldPosition="0">
        <references count="1">
          <reference field="0" count="1">
            <x v="41"/>
          </reference>
        </references>
      </pivotArea>
    </format>
    <format dxfId="167">
      <pivotArea outline="0" fieldPosition="0">
        <references count="1">
          <reference field="0" count="1" selected="0">
            <x v="43"/>
          </reference>
        </references>
      </pivotArea>
    </format>
    <format dxfId="166">
      <pivotArea dataOnly="0" labelOnly="1" outline="0" fieldPosition="0">
        <references count="1">
          <reference field="0" count="1">
            <x v="43"/>
          </reference>
        </references>
      </pivotArea>
    </format>
    <format dxfId="165">
      <pivotArea outline="0" fieldPosition="0">
        <references count="1">
          <reference field="0" count="1" selected="0">
            <x v="45"/>
          </reference>
        </references>
      </pivotArea>
    </format>
    <format dxfId="164">
      <pivotArea dataOnly="0" labelOnly="1" outline="0" fieldPosition="0">
        <references count="1">
          <reference field="0" count="1">
            <x v="45"/>
          </reference>
        </references>
      </pivotArea>
    </format>
    <format dxfId="163">
      <pivotArea outline="0" fieldPosition="0">
        <references count="1">
          <reference field="0" count="1" selected="0">
            <x v="47"/>
          </reference>
        </references>
      </pivotArea>
    </format>
    <format dxfId="162">
      <pivotArea dataOnly="0" labelOnly="1" outline="0" fieldPosition="0">
        <references count="1">
          <reference field="0" count="1">
            <x v="47"/>
          </reference>
        </references>
      </pivotArea>
    </format>
    <format dxfId="161">
      <pivotArea outline="0" fieldPosition="0">
        <references count="1">
          <reference field="0" count="1" selected="0">
            <x v="49"/>
          </reference>
        </references>
      </pivotArea>
    </format>
    <format dxfId="160">
      <pivotArea dataOnly="0" labelOnly="1" outline="0" fieldPosition="0">
        <references count="1">
          <reference field="0" count="1">
            <x v="49"/>
          </reference>
        </references>
      </pivotArea>
    </format>
    <format dxfId="159">
      <pivotArea outline="0" fieldPosition="0">
        <references count="1">
          <reference field="0" count="1" selected="0">
            <x v="51"/>
          </reference>
        </references>
      </pivotArea>
    </format>
    <format dxfId="158">
      <pivotArea dataOnly="0" labelOnly="1" outline="0" fieldPosition="0">
        <references count="1">
          <reference field="0" count="1">
            <x v="51"/>
          </reference>
        </references>
      </pivotArea>
    </format>
    <format dxfId="157">
      <pivotArea outline="0" fieldPosition="0">
        <references count="1">
          <reference field="0" count="1" selected="0">
            <x v="53"/>
          </reference>
        </references>
      </pivotArea>
    </format>
    <format dxfId="156">
      <pivotArea dataOnly="0" labelOnly="1" outline="0" fieldPosition="0">
        <references count="1">
          <reference field="0" count="1">
            <x v="53"/>
          </reference>
        </references>
      </pivotArea>
    </format>
    <format dxfId="155">
      <pivotArea outline="0" fieldPosition="0">
        <references count="1">
          <reference field="0" count="1" selected="0">
            <x v="55"/>
          </reference>
        </references>
      </pivotArea>
    </format>
    <format dxfId="154">
      <pivotArea dataOnly="0" labelOnly="1" outline="0" fieldPosition="0">
        <references count="1">
          <reference field="0" count="1">
            <x v="55"/>
          </reference>
        </references>
      </pivotArea>
    </format>
    <format dxfId="153">
      <pivotArea outline="0" fieldPosition="0">
        <references count="1">
          <reference field="0" count="1" selected="0">
            <x v="57"/>
          </reference>
        </references>
      </pivotArea>
    </format>
    <format dxfId="152">
      <pivotArea dataOnly="0" labelOnly="1" outline="0" fieldPosition="0">
        <references count="1">
          <reference field="0" count="1">
            <x v="57"/>
          </reference>
        </references>
      </pivotArea>
    </format>
    <format dxfId="151">
      <pivotArea outline="0" fieldPosition="0">
        <references count="1">
          <reference field="0" count="1" selected="0">
            <x v="59"/>
          </reference>
        </references>
      </pivotArea>
    </format>
    <format dxfId="150">
      <pivotArea dataOnly="0" labelOnly="1" outline="0" fieldPosition="0">
        <references count="1">
          <reference field="0" count="1">
            <x v="59"/>
          </reference>
        </references>
      </pivotArea>
    </format>
    <format dxfId="149">
      <pivotArea field="0" type="button" dataOnly="0" labelOnly="1" outline="0" axis="axisRow" fieldPosition="0"/>
    </format>
    <format dxfId="148">
      <pivotArea dataOnly="0" labelOnly="1" outline="0" fieldPosition="0">
        <references count="1">
          <reference field="1" count="0"/>
        </references>
      </pivotArea>
    </format>
    <format dxfId="147">
      <pivotArea field="0" type="button" dataOnly="0" labelOnly="1" outline="0" axis="axisRow" fieldPosition="0"/>
    </format>
    <format dxfId="146">
      <pivotArea dataOnly="0" labelOnly="1" outline="0" fieldPosition="0">
        <references count="1">
          <reference field="1" count="0"/>
        </references>
      </pivotArea>
    </format>
    <format dxfId="145">
      <pivotArea field="0" type="button" dataOnly="0" labelOnly="1" outline="0" axis="axisRow" fieldPosition="0"/>
    </format>
    <format dxfId="144">
      <pivotArea dataOnly="0" labelOnly="1" outline="0" fieldPosition="0">
        <references count="1">
          <reference field="1" count="0"/>
        </references>
      </pivotArea>
    </format>
    <format dxfId="143">
      <pivotArea field="0" type="button" dataOnly="0" labelOnly="1" outline="0" axis="axisRow" fieldPosition="0"/>
    </format>
    <format dxfId="142">
      <pivotArea dataOnly="0" labelOnly="1" outline="0" fieldPosition="0">
        <references count="1">
          <reference field="1" count="0"/>
        </references>
      </pivotArea>
    </format>
    <format dxfId="141">
      <pivotArea outline="0" collapsedLevelsAreSubtotals="1" fieldPosition="0"/>
    </format>
    <format dxfId="140">
      <pivotArea dataOnly="0" labelOnly="1" outline="0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39">
      <pivotArea dataOnly="0" labelOnly="1" outline="0" fieldPosition="0">
        <references count="1">
          <reference field="0" count="9"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38">
      <pivotArea outline="0" collapsedLevelsAreSubtotals="1" fieldPosition="0"/>
    </format>
    <format dxfId="137">
      <pivotArea dataOnly="0" labelOnly="1" outline="0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36">
      <pivotArea dataOnly="0" labelOnly="1" outline="0" fieldPosition="0">
        <references count="1">
          <reference field="0" count="9"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F2294-722C-4B84-B920-C5C08F10F2D0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G66" firstHeaderRow="1" firstDataRow="2" firstDataCol="1"/>
  <pivotFields count="7">
    <pivotField axis="axisRow" compact="0" numFmtId="14" outline="0" showAll="0" defaultSubtotal="0">
      <items count="60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dataField="1"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1">
    <field x="0"/>
  </rowFields>
  <rowItems count="5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Monthly_Return" fld="3" subtotal="average" baseField="0" baseItem="0" numFmtId="2"/>
  </dataFields>
  <formats count="82">
    <format dxfId="126">
      <pivotArea outline="0" collapsedLevelsAreSubtotals="1" fieldPosition="0"/>
    </format>
    <format dxfId="125">
      <pivotArea outline="0" collapsedLevelsAreSubtotals="1" fieldPosition="0"/>
    </format>
    <format dxfId="124">
      <pivotArea field="0" type="button" dataOnly="0" labelOnly="1" outline="0" axis="axisRow" fieldPosition="0"/>
    </format>
    <format dxfId="123">
      <pivotArea dataOnly="0" labelOnly="1" outline="0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22">
      <pivotArea dataOnly="0" labelOnly="1" outline="0" fieldPosition="0">
        <references count="1">
          <reference field="0" count="9"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21">
      <pivotArea dataOnly="0" labelOnly="1" outline="0" fieldPosition="0">
        <references count="1">
          <reference field="1" count="0"/>
        </references>
      </pivotArea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outline="0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17">
      <pivotArea dataOnly="0" labelOnly="1" outline="0" fieldPosition="0">
        <references count="1">
          <reference field="0" count="9"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16">
      <pivotArea dataOnly="0" labelOnly="1" outline="0" fieldPosition="0">
        <references count="1">
          <reference field="1" count="0"/>
        </references>
      </pivotArea>
    </format>
    <format dxfId="115">
      <pivotArea outline="0" fieldPosition="0">
        <references count="1">
          <reference field="0" count="1" selected="0">
            <x v="1"/>
          </reference>
        </references>
      </pivotArea>
    </format>
    <format dxfId="114">
      <pivotArea dataOnly="0" labelOnly="1" outline="0" fieldPosition="0">
        <references count="1">
          <reference field="0" count="1">
            <x v="1"/>
          </reference>
        </references>
      </pivotArea>
    </format>
    <format dxfId="113">
      <pivotArea outline="0" fieldPosition="0">
        <references count="1">
          <reference field="0" count="1" selected="0">
            <x v="1"/>
          </reference>
        </references>
      </pivotArea>
    </format>
    <format dxfId="112">
      <pivotArea dataOnly="0" labelOnly="1" outline="0" fieldPosition="0">
        <references count="1">
          <reference field="0" count="1">
            <x v="1"/>
          </reference>
        </references>
      </pivotArea>
    </format>
    <format dxfId="111">
      <pivotArea outline="0" fieldPosition="0">
        <references count="1">
          <reference field="0" count="1" selected="0">
            <x v="3"/>
          </reference>
        </references>
      </pivotArea>
    </format>
    <format dxfId="110">
      <pivotArea dataOnly="0" labelOnly="1" outline="0" fieldPosition="0">
        <references count="1">
          <reference field="0" count="1">
            <x v="3"/>
          </reference>
        </references>
      </pivotArea>
    </format>
    <format dxfId="109">
      <pivotArea outline="0" fieldPosition="0">
        <references count="1">
          <reference field="0" count="1" selected="0">
            <x v="5"/>
          </reference>
        </references>
      </pivotArea>
    </format>
    <format dxfId="108">
      <pivotArea dataOnly="0" labelOnly="1" outline="0" fieldPosition="0">
        <references count="1">
          <reference field="0" count="1">
            <x v="5"/>
          </reference>
        </references>
      </pivotArea>
    </format>
    <format dxfId="107">
      <pivotArea outline="0" fieldPosition="0">
        <references count="1">
          <reference field="0" count="1" selected="0">
            <x v="7"/>
          </reference>
        </references>
      </pivotArea>
    </format>
    <format dxfId="106">
      <pivotArea dataOnly="0" labelOnly="1" outline="0" fieldPosition="0">
        <references count="1">
          <reference field="0" count="1">
            <x v="7"/>
          </reference>
        </references>
      </pivotArea>
    </format>
    <format dxfId="105">
      <pivotArea outline="0" fieldPosition="0">
        <references count="1">
          <reference field="0" count="1" selected="0">
            <x v="9"/>
          </reference>
        </references>
      </pivotArea>
    </format>
    <format dxfId="104">
      <pivotArea dataOnly="0" labelOnly="1" outline="0" fieldPosition="0">
        <references count="1">
          <reference field="0" count="1">
            <x v="9"/>
          </reference>
        </references>
      </pivotArea>
    </format>
    <format dxfId="103">
      <pivotArea outline="0" fieldPosition="0">
        <references count="1">
          <reference field="0" count="1" selected="0">
            <x v="11"/>
          </reference>
        </references>
      </pivotArea>
    </format>
    <format dxfId="102">
      <pivotArea dataOnly="0" labelOnly="1" outline="0" fieldPosition="0">
        <references count="1">
          <reference field="0" count="1">
            <x v="11"/>
          </reference>
        </references>
      </pivotArea>
    </format>
    <format dxfId="101">
      <pivotArea outline="0" fieldPosition="0">
        <references count="1">
          <reference field="0" count="1" selected="0">
            <x v="13"/>
          </reference>
        </references>
      </pivotArea>
    </format>
    <format dxfId="100">
      <pivotArea dataOnly="0" labelOnly="1" outline="0" fieldPosition="0">
        <references count="1">
          <reference field="0" count="1">
            <x v="13"/>
          </reference>
        </references>
      </pivotArea>
    </format>
    <format dxfId="99">
      <pivotArea outline="0" fieldPosition="0">
        <references count="1">
          <reference field="0" count="1" selected="0">
            <x v="15"/>
          </reference>
        </references>
      </pivotArea>
    </format>
    <format dxfId="98">
      <pivotArea dataOnly="0" labelOnly="1" outline="0" fieldPosition="0">
        <references count="1">
          <reference field="0" count="1">
            <x v="15"/>
          </reference>
        </references>
      </pivotArea>
    </format>
    <format dxfId="97">
      <pivotArea outline="0" fieldPosition="0">
        <references count="1">
          <reference field="0" count="1" selected="0">
            <x v="17"/>
          </reference>
        </references>
      </pivotArea>
    </format>
    <format dxfId="96">
      <pivotArea dataOnly="0" labelOnly="1" outline="0" fieldPosition="0">
        <references count="1">
          <reference field="0" count="1">
            <x v="17"/>
          </reference>
        </references>
      </pivotArea>
    </format>
    <format dxfId="95">
      <pivotArea outline="0" fieldPosition="0">
        <references count="1">
          <reference field="0" count="1" selected="0">
            <x v="19"/>
          </reference>
        </references>
      </pivotArea>
    </format>
    <format dxfId="94">
      <pivotArea dataOnly="0" labelOnly="1" outline="0" fieldPosition="0">
        <references count="1">
          <reference field="0" count="1">
            <x v="19"/>
          </reference>
        </references>
      </pivotArea>
    </format>
    <format dxfId="93">
      <pivotArea outline="0" fieldPosition="0">
        <references count="1">
          <reference field="0" count="1" selected="0">
            <x v="21"/>
          </reference>
        </references>
      </pivotArea>
    </format>
    <format dxfId="92">
      <pivotArea dataOnly="0" labelOnly="1" outline="0" fieldPosition="0">
        <references count="1">
          <reference field="0" count="1">
            <x v="21"/>
          </reference>
        </references>
      </pivotArea>
    </format>
    <format dxfId="91">
      <pivotArea outline="0" fieldPosition="0">
        <references count="1">
          <reference field="0" count="1" selected="0">
            <x v="23"/>
          </reference>
        </references>
      </pivotArea>
    </format>
    <format dxfId="90">
      <pivotArea dataOnly="0" labelOnly="1" outline="0" fieldPosition="0">
        <references count="1">
          <reference field="0" count="1">
            <x v="23"/>
          </reference>
        </references>
      </pivotArea>
    </format>
    <format dxfId="89">
      <pivotArea outline="0" fieldPosition="0">
        <references count="1">
          <reference field="0" count="1" selected="0">
            <x v="25"/>
          </reference>
        </references>
      </pivotArea>
    </format>
    <format dxfId="88">
      <pivotArea dataOnly="0" labelOnly="1" outline="0" fieldPosition="0">
        <references count="1">
          <reference field="0" count="1">
            <x v="25"/>
          </reference>
        </references>
      </pivotArea>
    </format>
    <format dxfId="87">
      <pivotArea outline="0" fieldPosition="0">
        <references count="1">
          <reference field="0" count="1" selected="0">
            <x v="27"/>
          </reference>
        </references>
      </pivotArea>
    </format>
    <format dxfId="86">
      <pivotArea dataOnly="0" labelOnly="1" outline="0" fieldPosition="0">
        <references count="1">
          <reference field="0" count="1">
            <x v="27"/>
          </reference>
        </references>
      </pivotArea>
    </format>
    <format dxfId="85">
      <pivotArea outline="0" fieldPosition="0">
        <references count="1">
          <reference field="0" count="1" selected="0">
            <x v="29"/>
          </reference>
        </references>
      </pivotArea>
    </format>
    <format dxfId="84">
      <pivotArea dataOnly="0" labelOnly="1" outline="0" fieldPosition="0">
        <references count="1">
          <reference field="0" count="1">
            <x v="29"/>
          </reference>
        </references>
      </pivotArea>
    </format>
    <format dxfId="83">
      <pivotArea outline="0" fieldPosition="0">
        <references count="1">
          <reference field="0" count="1" selected="0">
            <x v="31"/>
          </reference>
        </references>
      </pivotArea>
    </format>
    <format dxfId="82">
      <pivotArea dataOnly="0" labelOnly="1" outline="0" fieldPosition="0">
        <references count="1">
          <reference field="0" count="1">
            <x v="31"/>
          </reference>
        </references>
      </pivotArea>
    </format>
    <format dxfId="81">
      <pivotArea outline="0" fieldPosition="0">
        <references count="1">
          <reference field="0" count="1" selected="0">
            <x v="33"/>
          </reference>
        </references>
      </pivotArea>
    </format>
    <format dxfId="80">
      <pivotArea dataOnly="0" labelOnly="1" outline="0" fieldPosition="0">
        <references count="1">
          <reference field="0" count="1">
            <x v="33"/>
          </reference>
        </references>
      </pivotArea>
    </format>
    <format dxfId="79">
      <pivotArea outline="0" fieldPosition="0">
        <references count="1">
          <reference field="0" count="1" selected="0">
            <x v="35"/>
          </reference>
        </references>
      </pivotArea>
    </format>
    <format dxfId="78">
      <pivotArea dataOnly="0" labelOnly="1" outline="0" fieldPosition="0">
        <references count="1">
          <reference field="0" count="1">
            <x v="35"/>
          </reference>
        </references>
      </pivotArea>
    </format>
    <format dxfId="77">
      <pivotArea outline="0" fieldPosition="0">
        <references count="1">
          <reference field="0" count="1" selected="0">
            <x v="37"/>
          </reference>
        </references>
      </pivotArea>
    </format>
    <format dxfId="76">
      <pivotArea dataOnly="0" labelOnly="1" outline="0" fieldPosition="0">
        <references count="1">
          <reference field="0" count="1">
            <x v="37"/>
          </reference>
        </references>
      </pivotArea>
    </format>
    <format dxfId="75">
      <pivotArea outline="0" fieldPosition="0">
        <references count="1">
          <reference field="0" count="1" selected="0">
            <x v="39"/>
          </reference>
        </references>
      </pivotArea>
    </format>
    <format dxfId="74">
      <pivotArea dataOnly="0" labelOnly="1" outline="0" fieldPosition="0">
        <references count="1">
          <reference field="0" count="1">
            <x v="39"/>
          </reference>
        </references>
      </pivotArea>
    </format>
    <format dxfId="73">
      <pivotArea outline="0" fieldPosition="0">
        <references count="1">
          <reference field="0" count="1" selected="0">
            <x v="41"/>
          </reference>
        </references>
      </pivotArea>
    </format>
    <format dxfId="72">
      <pivotArea dataOnly="0" labelOnly="1" outline="0" fieldPosition="0">
        <references count="1">
          <reference field="0" count="1">
            <x v="41"/>
          </reference>
        </references>
      </pivotArea>
    </format>
    <format dxfId="71">
      <pivotArea outline="0" fieldPosition="0">
        <references count="1">
          <reference field="0" count="1" selected="0">
            <x v="43"/>
          </reference>
        </references>
      </pivotArea>
    </format>
    <format dxfId="70">
      <pivotArea dataOnly="0" labelOnly="1" outline="0" fieldPosition="0">
        <references count="1">
          <reference field="0" count="1">
            <x v="43"/>
          </reference>
        </references>
      </pivotArea>
    </format>
    <format dxfId="69">
      <pivotArea outline="0" fieldPosition="0">
        <references count="1">
          <reference field="0" count="1" selected="0">
            <x v="45"/>
          </reference>
        </references>
      </pivotArea>
    </format>
    <format dxfId="68">
      <pivotArea dataOnly="0" labelOnly="1" outline="0" fieldPosition="0">
        <references count="1">
          <reference field="0" count="1">
            <x v="45"/>
          </reference>
        </references>
      </pivotArea>
    </format>
    <format dxfId="67">
      <pivotArea outline="0" fieldPosition="0">
        <references count="1">
          <reference field="0" count="1" selected="0">
            <x v="47"/>
          </reference>
        </references>
      </pivotArea>
    </format>
    <format dxfId="66">
      <pivotArea dataOnly="0" labelOnly="1" outline="0" fieldPosition="0">
        <references count="1">
          <reference field="0" count="1">
            <x v="47"/>
          </reference>
        </references>
      </pivotArea>
    </format>
    <format dxfId="65">
      <pivotArea outline="0" fieldPosition="0">
        <references count="1">
          <reference field="0" count="1" selected="0">
            <x v="49"/>
          </reference>
        </references>
      </pivotArea>
    </format>
    <format dxfId="64">
      <pivotArea dataOnly="0" labelOnly="1" outline="0" fieldPosition="0">
        <references count="1">
          <reference field="0" count="1">
            <x v="49"/>
          </reference>
        </references>
      </pivotArea>
    </format>
    <format dxfId="63">
      <pivotArea outline="0" fieldPosition="0">
        <references count="1">
          <reference field="0" count="1" selected="0">
            <x v="51"/>
          </reference>
        </references>
      </pivotArea>
    </format>
    <format dxfId="62">
      <pivotArea dataOnly="0" labelOnly="1" outline="0" fieldPosition="0">
        <references count="1">
          <reference field="0" count="1">
            <x v="51"/>
          </reference>
        </references>
      </pivotArea>
    </format>
    <format dxfId="61">
      <pivotArea outline="0" fieldPosition="0">
        <references count="1">
          <reference field="0" count="1" selected="0">
            <x v="53"/>
          </reference>
        </references>
      </pivotArea>
    </format>
    <format dxfId="60">
      <pivotArea dataOnly="0" labelOnly="1" outline="0" fieldPosition="0">
        <references count="1">
          <reference field="0" count="1">
            <x v="53"/>
          </reference>
        </references>
      </pivotArea>
    </format>
    <format dxfId="59">
      <pivotArea outline="0" fieldPosition="0">
        <references count="1">
          <reference field="0" count="1" selected="0">
            <x v="55"/>
          </reference>
        </references>
      </pivotArea>
    </format>
    <format dxfId="58">
      <pivotArea dataOnly="0" labelOnly="1" outline="0" fieldPosition="0">
        <references count="1">
          <reference field="0" count="1">
            <x v="55"/>
          </reference>
        </references>
      </pivotArea>
    </format>
    <format dxfId="57">
      <pivotArea outline="0" fieldPosition="0">
        <references count="1">
          <reference field="0" count="1" selected="0">
            <x v="57"/>
          </reference>
        </references>
      </pivotArea>
    </format>
    <format dxfId="56">
      <pivotArea dataOnly="0" labelOnly="1" outline="0" fieldPosition="0">
        <references count="1">
          <reference field="0" count="1">
            <x v="57"/>
          </reference>
        </references>
      </pivotArea>
    </format>
    <format dxfId="55">
      <pivotArea outline="0" fieldPosition="0">
        <references count="1">
          <reference field="0" count="1" selected="0">
            <x v="59"/>
          </reference>
        </references>
      </pivotArea>
    </format>
    <format dxfId="54">
      <pivotArea dataOnly="0" labelOnly="1" outline="0" fieldPosition="0">
        <references count="1">
          <reference field="0" count="1">
            <x v="59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1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0" type="button" dataOnly="0" labelOnly="1" outline="0" axis="axisRow" fieldPosition="0"/>
    </format>
    <format dxfId="47">
      <pivotArea dataOnly="0" labelOnly="1" outline="0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46">
      <pivotArea dataOnly="0" labelOnly="1" outline="0" fieldPosition="0">
        <references count="1">
          <reference field="0" count="9"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45">
      <pivotArea dataOnly="0" labelOnly="1" outline="0" fieldPosition="0">
        <references count="1">
          <reference field="1" count="0"/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EE26E9-26D9-427A-891B-5A02162C509F}" autoFormatId="16" applyNumberFormats="0" applyBorderFormats="0" applyFontFormats="0" applyPatternFormats="0" applyAlignmentFormats="0" applyWidthHeightFormats="0">
  <queryTableRefresh nextId="8" unboundColumnsRight="3">
    <queryTableFields count="6">
      <queryTableField id="1" name="Dates" tableColumnId="1"/>
      <queryTableField id="2" name="Asset" tableColumnId="2"/>
      <queryTableField id="3" name="Price" tableColumnId="3"/>
      <queryTableField id="4" dataBound="0" tableColumnId="4"/>
      <queryTableField id="5" dataBound="0" tableColumnId="5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FFC640C-60B8-46F6-8115-BFBD85657B7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ates" tableColumnId="1"/>
      <queryTableField id="2" name="Asset" tableColumnId="2"/>
      <queryTableField id="3" name="Price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405C5-7CC2-4D48-B1FD-CBE56D1ABEDA}" name="Table_Raw_Price" displayName="Table_Raw_Price" ref="A7:F367" tableType="queryTable" totalsRowShown="0" headerRowDxfId="234" dataDxfId="233">
  <autoFilter ref="A7:F367" xr:uid="{2DD405C5-7CC2-4D48-B1FD-CBE56D1ABEDA}"/>
  <tableColumns count="6">
    <tableColumn id="1" xr3:uid="{77773BA6-BDEC-4BF0-9A88-1AAFAB0E6665}" uniqueName="1" name="Dates" queryTableFieldId="1" dataDxfId="232"/>
    <tableColumn id="2" xr3:uid="{3CC7097A-1D6C-4475-A823-B5415B19293B}" uniqueName="2" name="Asset" queryTableFieldId="2" dataDxfId="231"/>
    <tableColumn id="3" xr3:uid="{D1201608-D259-4910-9339-9FC5842CFAB8}" uniqueName="3" name="Price" queryTableFieldId="3" dataDxfId="230"/>
    <tableColumn id="4" xr3:uid="{B7553596-53F6-4AF6-9E93-AC28C066B1AE}" uniqueName="4" name="Year" queryTableFieldId="4" dataDxfId="229">
      <calculatedColumnFormula>YEAR(A8)</calculatedColumnFormula>
    </tableColumn>
    <tableColumn id="5" xr3:uid="{9755539B-F627-417B-B720-EC1C338DC0C2}" uniqueName="5" name="Month" queryTableFieldId="5" dataDxfId="228">
      <calculatedColumnFormula>TEXT(A8,"mmm")</calculatedColumnFormula>
    </tableColumn>
    <tableColumn id="7" xr3:uid="{50699C40-CA3A-4F5A-A4AB-93B8B767450A}" uniqueName="7" name="Check" queryTableFieldId="7" dataDxfId="227">
      <calculatedColumnFormula>IF(C8&lt;=0,"Error","Ok")</calculatedColumnFormula>
    </tableColumn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51B6A-D68A-48EC-AB8E-D5C38116CB24}" name="append_data3" displayName="append_data3" ref="A7:D367" tableType="queryTable" totalsRowShown="0" headerRowDxfId="226" dataDxfId="225">
  <autoFilter ref="A7:D367" xr:uid="{8A351B6A-D68A-48EC-AB8E-D5C38116CB24}"/>
  <sortState xmlns:xlrd2="http://schemas.microsoft.com/office/spreadsheetml/2017/richdata2" ref="A8:D367">
    <sortCondition ref="B8:B367"/>
    <sortCondition ref="A8:A367"/>
  </sortState>
  <tableColumns count="4">
    <tableColumn id="1" xr3:uid="{DD5B2B3A-866F-4361-A961-6778D2DA1163}" uniqueName="1" name="Dates" queryTableFieldId="1" dataDxfId="224"/>
    <tableColumn id="2" xr3:uid="{58B6C349-9C13-47DB-8253-27CFEDBD19E7}" uniqueName="2" name="Asset" queryTableFieldId="2" dataDxfId="223"/>
    <tableColumn id="3" xr3:uid="{9A6A2D05-8648-4E88-8381-A9AFFA38C11B}" uniqueName="3" name="Price" queryTableFieldId="3" dataDxfId="222"/>
    <tableColumn id="4" xr3:uid="{05D50EE8-FCF1-4329-8B27-2C2E0452A392}" uniqueName="4" name="Monthly_Return" queryTableFieldId="4" dataDxfId="221">
      <calculatedColumnFormula>IF(B8=B7,(C8/C7)-1,"")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C020D1-DA37-463F-8DF7-4AD6FF96EB66}" name="Table6" displayName="Table6" ref="B5:E11" totalsRowShown="0" headerRowDxfId="220" dataDxfId="219">
  <autoFilter ref="B5:E11" xr:uid="{C5C020D1-DA37-463F-8DF7-4AD6FF96EB66}"/>
  <tableColumns count="4">
    <tableColumn id="1" xr3:uid="{72B38DD0-6379-47E8-822E-978ABD577C5F}" name="ASSETS " dataDxfId="218"/>
    <tableColumn id="2" xr3:uid="{1C347C31-6E85-4B95-8DEC-EF3C9DACB41A}" name="Avg Monthly Return" dataDxfId="217"/>
    <tableColumn id="3" xr3:uid="{3233DAD4-2C59-4681-9A80-83F2043FEA03}" name="Risk (Std Dev)" dataDxfId="216"/>
    <tableColumn id="4" xr3:uid="{9BEA9506-F738-4987-BE01-60D5CC815910}" name="Risk Category" dataDxfId="215">
      <calculatedColumnFormula>IF(D6&lt;0.01,"Very Low",IF(D6&lt;0.04,"Low",IF(D6&lt;0.07,"Medium","High")))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3C7975-90EF-462B-BC06-10A548C30D30}" name="Table7" displayName="Table7" ref="A6:G12" totalsRowShown="0" headerRowDxfId="135">
  <autoFilter ref="A6:G12" xr:uid="{C13C7975-90EF-462B-BC06-10A548C30D30}"/>
  <tableColumns count="7">
    <tableColumn id="1" xr3:uid="{07EACC30-9F1A-4437-8AF8-647FAB7F20AE}" name="ASSET *ASSET" dataDxfId="134"/>
    <tableColumn id="2" xr3:uid="{5F967BE9-F385-4FDC-A0AD-3F62D9AB8BCA}" name="Debt_Fund" dataDxfId="133"/>
    <tableColumn id="3" xr3:uid="{DEA361FE-B98F-4E85-9CE1-72F060546C8E}" name="GoldBeES" dataDxfId="132"/>
    <tableColumn id="4" xr3:uid="{C867BBF5-B9F0-4EF0-9BAB-32CC495735FB}" name="HDFCBANK" dataDxfId="131"/>
    <tableColumn id="5" xr3:uid="{A4470A19-CF2D-4B2D-B475-BCD0C12E3E43}" name="ITC" dataDxfId="130"/>
    <tableColumn id="6" xr3:uid="{13398168-1A8B-4AA1-950F-3190581AB96C}" name="NIFTY50" dataDxfId="129"/>
    <tableColumn id="7" xr3:uid="{D4E0F956-E89F-47E2-AE4E-4A1C34117AF7}" name="TCS" dataDxfId="128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3D64C5-44B8-416D-8A0F-8E2E5DC09F63}" name="Table8" displayName="Table8" ref="A14:B17" totalsRowShown="0" headerRowDxfId="127">
  <autoFilter ref="A14:B17" xr:uid="{BF3D64C5-44B8-416D-8A0F-8E2E5DC09F63}"/>
  <tableColumns count="2">
    <tableColumn id="1" xr3:uid="{9A7E7CC7-EF16-426A-B3C9-70C1E65B6221}" name="COLOR"/>
    <tableColumn id="2" xr3:uid="{1BEA08ED-9712-46C2-BB5A-3A625B50E772}" name="MEANING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EE26E3-4A13-4ADD-852B-A8155D3FF155}" name="Table10" displayName="Table10" ref="I6:L12" totalsRowShown="0" headerRowDxfId="44" dataDxfId="43">
  <autoFilter ref="I6:L12" xr:uid="{A6EE26E3-4A13-4ADD-852B-A8155D3FF155}"/>
  <tableColumns count="4">
    <tableColumn id="1" xr3:uid="{0FCBADE1-5E57-40C4-B6C9-F5796A62337F}" name="Asset" dataDxfId="42"/>
    <tableColumn id="2" xr3:uid="{813158EC-E02A-44F5-8860-580695E56A3B}" name="Monthly Volatility" dataDxfId="41"/>
    <tableColumn id="3" xr3:uid="{FD7274E4-D097-4219-ADF9-A2D35126B52E}" name="Annual Volatility" dataDxfId="40">
      <calculatedColumnFormula>J7*SQRT(12)</calculatedColumnFormula>
    </tableColumn>
    <tableColumn id="4" xr3:uid="{41F2BCD3-D7AC-4C54-B51E-D0B969E06F39}" name="Risk Category" dataDxfId="39">
      <calculatedColumnFormula>IF($J7&lt;=$S$6,"Low Risk",IF($J7&lt;=$S$7,"Medium Risk","High Risk"))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302B86-7369-4C5A-ACD5-557684C5B0AC}" name="Table11" displayName="Table11" ref="R5:S7" totalsRowShown="0" headerRowDxfId="38">
  <autoFilter ref="R5:S7" xr:uid="{94302B86-7369-4C5A-ACD5-557684C5B0AC}"/>
  <tableColumns count="2">
    <tableColumn id="1" xr3:uid="{1C913367-9D30-44C6-9670-A6C069A78709}" name="Criteria"/>
    <tableColumn id="2" xr3:uid="{3F8EB901-003D-459F-8916-38750BA2F2EB}" name="Numbers" dataDxfId="37">
      <calculatedColumnFormula>_xlfn.PERCENTILE.INC(J6:J11,0.66)</calculatedColumnFormula>
    </tableColumn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36EDB1-20E9-4164-B4C6-C236148F0877}" name="Table3" displayName="Table3" ref="A14:E20" totalsRowShown="0" headerRowDxfId="36" dataDxfId="35">
  <autoFilter ref="A14:E20" xr:uid="{FA36EDB1-20E9-4164-B4C6-C236148F0877}"/>
  <tableColumns count="5">
    <tableColumn id="1" xr3:uid="{54B020F2-4647-4C94-9311-9B9835656411}" name="Asset   " dataDxfId="34"/>
    <tableColumn id="2" xr3:uid="{3231C2E6-37CF-4A34-9BDB-72F44CFAFA07}" name="Avg Annual Return" dataDxfId="33"/>
    <tableColumn id="3" xr3:uid="{033698B7-A562-4C2C-BEAA-2E6327D6DFF9}" name="Annual Volatility" dataDxfId="32">
      <calculatedColumnFormula>'RISK ANALYSIS'!J7*SQRT((12))</calculatedColumnFormula>
    </tableColumn>
    <tableColumn id="4" xr3:uid="{71E5A122-BC6C-4EBC-B88B-E4CF9DB27806}" name="Risk Category" dataDxfId="31">
      <calculatedColumnFormula>IF(C15&lt;0.03,"Low",IF(C15&lt;0.2,"Medium","High"))</calculatedColumnFormula>
    </tableColumn>
    <tableColumn id="5" xr3:uid="{20EFA763-A3D4-4568-BF63-8B3BD16A353A}" name="Risk Score" dataDxfId="30">
      <calculatedColumnFormula>IF(D15="Low",1,IF(D15="Medium",2,3))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A843CD-8432-4F35-A17B-3BE0AD27A04F}" name="Table12" displayName="Table12" ref="A4:C10" totalsRowShown="0" headerRowDxfId="29" dataDxfId="28">
  <autoFilter ref="A4:C10" xr:uid="{D6A843CD-8432-4F35-A17B-3BE0AD27A04F}"/>
  <tableColumns count="3">
    <tableColumn id="1" xr3:uid="{E228FC2E-FB84-468C-9626-6B6021C928B3}" name="Asset   " dataDxfId="27"/>
    <tableColumn id="2" xr3:uid="{E1BB0AF3-C029-4FE2-A6BE-2768EF7719DC}" name="Weight" dataDxfId="26">
      <calculatedColumnFormula>IF('RISK ANALYSIS'!K7&lt;=0.05,0.3 - ('RISK ANALYSIS'!K7/0.05)*0.1,IF('RISK ANALYSIS'!K7&lt;=0.2,0.25 -(('RISK ANALYSIS'!K7-0.05)/0.15)*0.1,IF('RISK ANALYSIS'!K7&lt;=0.3,0.15-(('RISK ANALYSIS'!K7 -0.2)/0.1)*0.1,0.05)))</calculatedColumnFormula>
    </tableColumn>
    <tableColumn id="3" xr3:uid="{90996CEF-1C89-44B9-B5F2-8DE575D1C324}" name="Weighted Volatility" dataDxfId="25">
      <calculatedColumnFormula>B15*B5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C2ADE8-CB42-4E64-9B6C-F358C520CE05}" name="Table13" displayName="Table13" ref="G14:J18" totalsRowShown="0" headerRowDxfId="24" dataDxfId="23">
  <autoFilter ref="G14:J18" xr:uid="{FCC2ADE8-CB42-4E64-9B6C-F358C520CE05}"/>
  <tableColumns count="4">
    <tableColumn id="1" xr3:uid="{D0851988-66A9-49CA-AA01-4D7C74DAB492}" name="Asset_01" dataDxfId="22"/>
    <tableColumn id="2" xr3:uid="{7DB76FB8-F8CF-45CD-B471-C4D3F9DA8D95}" name="Asset_02" dataDxfId="21"/>
    <tableColumn id="3" xr3:uid="{C386F86E-01CF-4117-AEBD-E0BE2A75F652}" name="Correlation " dataDxfId="20"/>
    <tableColumn id="4" xr3:uid="{3B87EEC0-5197-4302-98A2-84013F741672}" name="Interpretation" dataDxfId="19">
      <calculatedColumnFormula>IF(I15&lt;0.3,"Very Low (Diversifier)",IF(I15&lt;0.7,"Moderate","Highly Correlated"))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428446-45D0-4396-8067-419AE6C839E3}" name="Table14" displayName="Table14" ref="G4:H8" totalsRowShown="0" headerRowDxfId="18" dataDxfId="17">
  <autoFilter ref="G4:H8" xr:uid="{2D428446-45D0-4396-8067-419AE6C839E3}"/>
  <tableColumns count="2">
    <tableColumn id="1" xr3:uid="{7C7A8D3D-3865-44CA-835B-017BFC6FE977}" name="Metric                  " dataDxfId="16"/>
    <tableColumn id="2" xr3:uid="{EF8CCFDF-6B57-48F9-B4DF-BCCEC57F3962}" name="Value" dataDxfId="15"/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918A16-6443-43F0-AD29-CAF744927CAE}" name="Table5" displayName="Table5" ref="C22:I28" totalsRowShown="0" headerRowDxfId="14" dataDxfId="13">
  <autoFilter ref="C22:I28" xr:uid="{FF918A16-6443-43F0-AD29-CAF744927CAE}"/>
  <tableColumns count="7">
    <tableColumn id="1" xr3:uid="{AD87A76A-0EA4-400F-87FF-33930E4A02E4}" name="Column1" dataDxfId="12"/>
    <tableColumn id="2" xr3:uid="{B107C7C6-5875-4144-BE82-4C52D608F2F3}" name="Debt_Fund" dataDxfId="11"/>
    <tableColumn id="3" xr3:uid="{647484AC-A6C8-4242-A396-D7ED1B0587DA}" name="GoldBeES" dataDxfId="10"/>
    <tableColumn id="4" xr3:uid="{F50AA1D9-7D4D-49BA-A81C-E2C64EFC0C84}" name="HDFCBANK" dataDxfId="9"/>
    <tableColumn id="5" xr3:uid="{35FA1C6B-1BDE-4B06-A160-8BE7B1ACF396}" name="ITC" dataDxfId="8"/>
    <tableColumn id="6" xr3:uid="{979B5F51-FA7C-4837-85CF-2C1717EE67EB}" name="NIFTY50" dataDxfId="7"/>
    <tableColumn id="7" xr3:uid="{9FB67CBF-40A0-4ED7-8B96-0A41D5A5E36C}" name="TCS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s" xr10:uid="{922F051E-01FB-4C88-844D-6A1DAF2F570B}" sourceName="Dates">
  <pivotTables>
    <pivotTable tabId="1" name="PivotTable1"/>
  </pivotTables>
  <state minimalRefreshVersion="6" lastRefreshVersion="6" pivotCacheId="1018660183" filterType="unknown">
    <bounds startDate="2020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s" xr10:uid="{614DD04C-4307-401D-921D-87B90AA95B5C}" cache="NativeTimeline_Dates" caption="Dates" level="0" selectionLevel="0" scrollPosition="2020-01-01T00:00:00" style="TimeSlicerStyleLight6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2B22-2362-4E22-A40B-D81C1BE88C29}">
  <dimension ref="A4:U367"/>
  <sheetViews>
    <sheetView tabSelected="1" zoomScale="71" workbookViewId="0">
      <selection activeCell="P32" sqref="P32"/>
    </sheetView>
  </sheetViews>
  <sheetFormatPr defaultColWidth="16.77734375" defaultRowHeight="25.95" customHeight="1" x14ac:dyDescent="0.3"/>
  <cols>
    <col min="8" max="8" width="15.109375" bestFit="1" customWidth="1"/>
    <col min="9" max="9" width="10.44140625" bestFit="1" customWidth="1"/>
    <col min="10" max="10" width="9" bestFit="1" customWidth="1"/>
    <col min="11" max="11" width="10.44140625" bestFit="1" customWidth="1"/>
    <col min="12" max="12" width="7.109375" bestFit="1" customWidth="1"/>
    <col min="13" max="13" width="9.33203125" bestFit="1" customWidth="1"/>
    <col min="14" max="14" width="8.21875" bestFit="1" customWidth="1"/>
  </cols>
  <sheetData>
    <row r="4" spans="1:21" ht="25.95" customHeight="1" x14ac:dyDescent="0.3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1" ht="25.95" customHeight="1" x14ac:dyDescent="0.3">
      <c r="G5" s="67"/>
      <c r="O5" s="67"/>
    </row>
    <row r="6" spans="1:21" ht="25.95" customHeight="1" x14ac:dyDescent="0.3">
      <c r="G6" s="67"/>
      <c r="O6" s="67"/>
    </row>
    <row r="7" spans="1:21" ht="25.95" customHeight="1" x14ac:dyDescent="0.3">
      <c r="A7" s="23" t="s">
        <v>0</v>
      </c>
      <c r="B7" s="23" t="s">
        <v>1</v>
      </c>
      <c r="C7" s="23" t="s">
        <v>2</v>
      </c>
      <c r="D7" s="23" t="s">
        <v>35</v>
      </c>
      <c r="E7" s="23" t="s">
        <v>36</v>
      </c>
      <c r="F7" s="23" t="s">
        <v>39</v>
      </c>
      <c r="G7" s="67"/>
      <c r="H7" s="6" t="s">
        <v>38</v>
      </c>
      <c r="I7" s="6" t="s">
        <v>1</v>
      </c>
      <c r="O7" s="67"/>
    </row>
    <row r="8" spans="1:21" ht="25.95" customHeight="1" x14ac:dyDescent="0.3">
      <c r="A8" s="22">
        <v>45657</v>
      </c>
      <c r="B8" s="13" t="s">
        <v>8</v>
      </c>
      <c r="C8" s="13">
        <v>40.617400000000004</v>
      </c>
      <c r="D8" s="13">
        <f t="shared" ref="D8:D71" si="0">YEAR(A8)</f>
        <v>2024</v>
      </c>
      <c r="E8" s="13" t="str">
        <f t="shared" ref="E8:E71" si="1">TEXT(A8,"mmm")</f>
        <v>Dec</v>
      </c>
      <c r="F8" s="13" t="str">
        <f t="shared" ref="F8:F71" si="2">IF(C8&lt;=0,"Error","Ok")</f>
        <v>Ok</v>
      </c>
      <c r="G8" s="67"/>
      <c r="H8" s="11" t="s">
        <v>35</v>
      </c>
      <c r="I8" s="9" t="s">
        <v>8</v>
      </c>
      <c r="J8" s="9" t="s">
        <v>7</v>
      </c>
      <c r="K8" s="9" t="s">
        <v>6</v>
      </c>
      <c r="L8" s="9" t="s">
        <v>5</v>
      </c>
      <c r="M8" s="9" t="s">
        <v>4</v>
      </c>
      <c r="N8" s="9" t="s">
        <v>3</v>
      </c>
      <c r="O8" s="67"/>
    </row>
    <row r="9" spans="1:21" ht="22.2" customHeight="1" x14ac:dyDescent="0.3">
      <c r="A9" s="22">
        <v>45657</v>
      </c>
      <c r="B9" s="13" t="s">
        <v>7</v>
      </c>
      <c r="C9" s="13">
        <v>64</v>
      </c>
      <c r="D9" s="13">
        <f t="shared" si="0"/>
        <v>2024</v>
      </c>
      <c r="E9" s="13" t="str">
        <f t="shared" si="1"/>
        <v>Dec</v>
      </c>
      <c r="F9" s="13" t="str">
        <f t="shared" si="2"/>
        <v>Ok</v>
      </c>
      <c r="G9" s="67"/>
      <c r="H9" s="14">
        <v>2020</v>
      </c>
      <c r="I9" s="15">
        <v>30.615833333333331</v>
      </c>
      <c r="J9" s="15">
        <v>42.083333333333336</v>
      </c>
      <c r="K9" s="15">
        <v>535.66666666666663</v>
      </c>
      <c r="L9" s="15">
        <v>152.66666666666666</v>
      </c>
      <c r="M9" s="15">
        <v>11150.5</v>
      </c>
      <c r="N9" s="15">
        <v>2010.5</v>
      </c>
      <c r="O9" s="67"/>
      <c r="P9" s="19"/>
    </row>
    <row r="10" spans="1:21" ht="15.6" x14ac:dyDescent="0.3">
      <c r="A10" s="22">
        <v>45657</v>
      </c>
      <c r="B10" s="13" t="s">
        <v>6</v>
      </c>
      <c r="C10" s="13">
        <v>875</v>
      </c>
      <c r="D10" s="13">
        <f t="shared" si="0"/>
        <v>2024</v>
      </c>
      <c r="E10" s="13" t="str">
        <f t="shared" si="1"/>
        <v>Dec</v>
      </c>
      <c r="F10" s="13" t="str">
        <f t="shared" si="2"/>
        <v>Ok</v>
      </c>
      <c r="G10" s="67"/>
      <c r="H10" s="14">
        <v>2021</v>
      </c>
      <c r="I10" s="15">
        <v>32.567358333333324</v>
      </c>
      <c r="J10" s="15">
        <v>41.166666666666664</v>
      </c>
      <c r="K10" s="15">
        <v>712.08333333333337</v>
      </c>
      <c r="L10" s="15">
        <v>180.91666666666666</v>
      </c>
      <c r="M10" s="15">
        <v>15942.75</v>
      </c>
      <c r="N10" s="15">
        <v>3005</v>
      </c>
      <c r="O10" s="67"/>
      <c r="P10" s="19"/>
    </row>
    <row r="11" spans="1:21" ht="25.95" customHeight="1" x14ac:dyDescent="0.3">
      <c r="A11" s="22">
        <v>45657</v>
      </c>
      <c r="B11" s="13" t="s">
        <v>5</v>
      </c>
      <c r="C11" s="13">
        <v>468</v>
      </c>
      <c r="D11" s="13">
        <f t="shared" si="0"/>
        <v>2024</v>
      </c>
      <c r="E11" s="13" t="str">
        <f t="shared" si="1"/>
        <v>Dec</v>
      </c>
      <c r="F11" s="13" t="str">
        <f t="shared" si="2"/>
        <v>Ok</v>
      </c>
      <c r="G11" s="67"/>
      <c r="H11" s="14">
        <v>2022</v>
      </c>
      <c r="I11" s="15">
        <v>33.549466666666667</v>
      </c>
      <c r="J11" s="15">
        <v>44</v>
      </c>
      <c r="K11" s="15">
        <v>701.58333333333337</v>
      </c>
      <c r="L11" s="15">
        <v>257.91666666666669</v>
      </c>
      <c r="M11" s="15">
        <v>17329.416666666668</v>
      </c>
      <c r="N11" s="15">
        <v>3074.0833333333335</v>
      </c>
      <c r="O11" s="67"/>
      <c r="P11" s="19"/>
    </row>
    <row r="12" spans="1:21" ht="25.95" customHeight="1" x14ac:dyDescent="0.3">
      <c r="A12" s="22">
        <v>45657</v>
      </c>
      <c r="B12" s="13" t="s">
        <v>4</v>
      </c>
      <c r="C12" s="13">
        <v>23645</v>
      </c>
      <c r="D12" s="13">
        <f t="shared" si="0"/>
        <v>2024</v>
      </c>
      <c r="E12" s="13" t="str">
        <f t="shared" si="1"/>
        <v>Dec</v>
      </c>
      <c r="F12" s="13" t="str">
        <f t="shared" si="2"/>
        <v>Ok</v>
      </c>
      <c r="G12" s="67"/>
      <c r="H12" s="14">
        <v>2023</v>
      </c>
      <c r="I12" s="15">
        <v>35.947650000000003</v>
      </c>
      <c r="J12" s="15">
        <v>50.583333333333336</v>
      </c>
      <c r="K12" s="15">
        <v>779.41666666666663</v>
      </c>
      <c r="L12" s="15">
        <v>394.66666666666669</v>
      </c>
      <c r="M12" s="15">
        <v>18975.333333333332</v>
      </c>
      <c r="N12" s="15">
        <v>3182.9166666666665</v>
      </c>
      <c r="O12" s="67"/>
    </row>
    <row r="13" spans="1:21" ht="25.95" customHeight="1" x14ac:dyDescent="0.3">
      <c r="A13" s="22">
        <v>45657</v>
      </c>
      <c r="B13" s="13" t="s">
        <v>3</v>
      </c>
      <c r="C13" s="13">
        <v>3957</v>
      </c>
      <c r="D13" s="13">
        <f t="shared" si="0"/>
        <v>2024</v>
      </c>
      <c r="E13" s="13" t="str">
        <f t="shared" si="1"/>
        <v>Dec</v>
      </c>
      <c r="F13" s="13" t="str">
        <f t="shared" si="2"/>
        <v>Ok</v>
      </c>
      <c r="G13" s="67"/>
      <c r="H13" s="14">
        <v>2024</v>
      </c>
      <c r="I13" s="15">
        <v>39.075108333333333</v>
      </c>
      <c r="J13" s="15">
        <v>60.416666666666664</v>
      </c>
      <c r="K13" s="15">
        <v>791</v>
      </c>
      <c r="L13" s="15">
        <v>440.75</v>
      </c>
      <c r="M13" s="15">
        <v>23596.833333333332</v>
      </c>
      <c r="N13" s="15">
        <v>3897.5</v>
      </c>
      <c r="O13" s="67"/>
      <c r="Q13" s="12"/>
      <c r="R13" s="12"/>
      <c r="S13" s="12"/>
      <c r="T13" s="12"/>
      <c r="U13" s="12"/>
    </row>
    <row r="14" spans="1:21" ht="25.95" customHeight="1" x14ac:dyDescent="0.3">
      <c r="A14" s="22">
        <v>45626</v>
      </c>
      <c r="B14" s="13" t="s">
        <v>8</v>
      </c>
      <c r="C14" s="13">
        <v>40.425199999999997</v>
      </c>
      <c r="D14" s="13">
        <f t="shared" si="0"/>
        <v>2024</v>
      </c>
      <c r="E14" s="13" t="str">
        <f t="shared" si="1"/>
        <v>Nov</v>
      </c>
      <c r="F14" s="13" t="str">
        <f t="shared" si="2"/>
        <v>Ok</v>
      </c>
      <c r="G14" s="67"/>
      <c r="H14" s="14" t="s">
        <v>37</v>
      </c>
      <c r="I14" s="15">
        <v>34.351083333333335</v>
      </c>
      <c r="J14" s="15">
        <v>47.65</v>
      </c>
      <c r="K14" s="15">
        <v>703.95</v>
      </c>
      <c r="L14" s="15">
        <v>285.38333333333333</v>
      </c>
      <c r="M14" s="15">
        <v>17398.966666666667</v>
      </c>
      <c r="N14" s="15">
        <v>3034</v>
      </c>
      <c r="O14" s="67"/>
      <c r="Q14" s="12"/>
      <c r="R14" s="12"/>
      <c r="S14" s="12"/>
      <c r="T14" s="12"/>
      <c r="U14" s="12"/>
    </row>
    <row r="15" spans="1:21" ht="25.95" customHeight="1" x14ac:dyDescent="0.3">
      <c r="A15" s="22">
        <v>45626</v>
      </c>
      <c r="B15" s="13" t="s">
        <v>7</v>
      </c>
      <c r="C15" s="13">
        <v>64</v>
      </c>
      <c r="D15" s="13">
        <f t="shared" si="0"/>
        <v>2024</v>
      </c>
      <c r="E15" s="13" t="str">
        <f t="shared" si="1"/>
        <v>Nov</v>
      </c>
      <c r="F15" s="13" t="str">
        <f t="shared" si="2"/>
        <v>Ok</v>
      </c>
      <c r="G15" s="67"/>
      <c r="H15" s="67"/>
      <c r="I15" s="67"/>
      <c r="J15" s="67"/>
      <c r="K15" s="67"/>
      <c r="L15" s="67"/>
      <c r="M15" s="67"/>
      <c r="N15" s="67"/>
      <c r="O15" s="67"/>
      <c r="Q15" s="12"/>
      <c r="R15" s="12"/>
      <c r="S15" s="12"/>
      <c r="T15" s="12"/>
      <c r="U15" s="12"/>
    </row>
    <row r="16" spans="1:21" ht="25.95" customHeight="1" x14ac:dyDescent="0.3">
      <c r="A16" s="22">
        <v>45626</v>
      </c>
      <c r="B16" s="13" t="s">
        <v>6</v>
      </c>
      <c r="C16" s="13">
        <v>886</v>
      </c>
      <c r="D16" s="13">
        <f t="shared" si="0"/>
        <v>2024</v>
      </c>
      <c r="E16" s="13" t="str">
        <f t="shared" si="1"/>
        <v>Nov</v>
      </c>
      <c r="F16" s="13" t="str">
        <f t="shared" si="2"/>
        <v>Ok</v>
      </c>
      <c r="G16" s="67"/>
      <c r="O16" s="67"/>
    </row>
    <row r="17" spans="1:15" ht="25.95" customHeight="1" x14ac:dyDescent="0.3">
      <c r="A17" s="22">
        <v>45626</v>
      </c>
      <c r="B17" s="13" t="s">
        <v>5</v>
      </c>
      <c r="C17" s="13">
        <v>461</v>
      </c>
      <c r="D17" s="13">
        <f t="shared" si="0"/>
        <v>2024</v>
      </c>
      <c r="E17" s="13" t="str">
        <f t="shared" si="1"/>
        <v>Nov</v>
      </c>
      <c r="F17" s="13" t="str">
        <f t="shared" si="2"/>
        <v>Ok</v>
      </c>
      <c r="G17" s="67"/>
      <c r="O17" s="67"/>
    </row>
    <row r="18" spans="1:15" ht="25.95" customHeight="1" x14ac:dyDescent="0.3">
      <c r="A18" s="22">
        <v>45626</v>
      </c>
      <c r="B18" s="13" t="s">
        <v>4</v>
      </c>
      <c r="C18" s="13">
        <v>24131</v>
      </c>
      <c r="D18" s="13">
        <f t="shared" si="0"/>
        <v>2024</v>
      </c>
      <c r="E18" s="13" t="str">
        <f t="shared" si="1"/>
        <v>Nov</v>
      </c>
      <c r="F18" s="13" t="str">
        <f t="shared" si="2"/>
        <v>Ok</v>
      </c>
      <c r="G18" s="67"/>
      <c r="O18" s="67"/>
    </row>
    <row r="19" spans="1:15" ht="25.95" customHeight="1" x14ac:dyDescent="0.3">
      <c r="A19" s="22">
        <v>45626</v>
      </c>
      <c r="B19" s="13" t="s">
        <v>3</v>
      </c>
      <c r="C19" s="13">
        <v>4127</v>
      </c>
      <c r="D19" s="13">
        <f t="shared" si="0"/>
        <v>2024</v>
      </c>
      <c r="E19" s="13" t="str">
        <f t="shared" si="1"/>
        <v>Nov</v>
      </c>
      <c r="F19" s="13" t="str">
        <f t="shared" si="2"/>
        <v>Ok</v>
      </c>
      <c r="G19" s="67"/>
      <c r="O19" s="67"/>
    </row>
    <row r="20" spans="1:15" ht="25.95" customHeight="1" x14ac:dyDescent="0.3">
      <c r="A20" s="22">
        <v>45596</v>
      </c>
      <c r="B20" s="13" t="s">
        <v>8</v>
      </c>
      <c r="C20" s="13">
        <v>40.114400000000003</v>
      </c>
      <c r="D20" s="13">
        <f t="shared" si="0"/>
        <v>2024</v>
      </c>
      <c r="E20" s="13" t="str">
        <f t="shared" si="1"/>
        <v>Oct</v>
      </c>
      <c r="F20" s="13" t="str">
        <f t="shared" si="2"/>
        <v>Ok</v>
      </c>
      <c r="G20" s="67"/>
      <c r="O20" s="67"/>
    </row>
    <row r="21" spans="1:15" ht="25.95" customHeight="1" x14ac:dyDescent="0.3">
      <c r="A21" s="22">
        <v>45596</v>
      </c>
      <c r="B21" s="13" t="s">
        <v>7</v>
      </c>
      <c r="C21" s="13">
        <v>67</v>
      </c>
      <c r="D21" s="13">
        <f t="shared" si="0"/>
        <v>2024</v>
      </c>
      <c r="E21" s="13" t="str">
        <f t="shared" si="1"/>
        <v>Oct</v>
      </c>
      <c r="F21" s="13" t="str">
        <f t="shared" si="2"/>
        <v>Ok</v>
      </c>
      <c r="G21" s="67"/>
      <c r="O21" s="67"/>
    </row>
    <row r="22" spans="1:15" ht="25.95" customHeight="1" x14ac:dyDescent="0.3">
      <c r="A22" s="22">
        <v>45596</v>
      </c>
      <c r="B22" s="13" t="s">
        <v>6</v>
      </c>
      <c r="C22" s="13">
        <v>856</v>
      </c>
      <c r="D22" s="13">
        <f t="shared" si="0"/>
        <v>2024</v>
      </c>
      <c r="E22" s="13" t="str">
        <f t="shared" si="1"/>
        <v>Oct</v>
      </c>
      <c r="F22" s="13" t="str">
        <f t="shared" si="2"/>
        <v>Ok</v>
      </c>
      <c r="G22" s="67"/>
      <c r="O22" s="67"/>
    </row>
    <row r="23" spans="1:15" ht="25.95" customHeight="1" x14ac:dyDescent="0.3">
      <c r="A23" s="22">
        <v>45596</v>
      </c>
      <c r="B23" s="13" t="s">
        <v>5</v>
      </c>
      <c r="C23" s="13">
        <v>472</v>
      </c>
      <c r="D23" s="13">
        <f t="shared" si="0"/>
        <v>2024</v>
      </c>
      <c r="E23" s="13" t="str">
        <f t="shared" si="1"/>
        <v>Oct</v>
      </c>
      <c r="F23" s="13" t="str">
        <f t="shared" si="2"/>
        <v>Ok</v>
      </c>
      <c r="G23" s="67"/>
      <c r="O23" s="67"/>
    </row>
    <row r="24" spans="1:15" ht="25.95" customHeight="1" x14ac:dyDescent="0.3">
      <c r="A24" s="22">
        <v>45596</v>
      </c>
      <c r="B24" s="13" t="s">
        <v>4</v>
      </c>
      <c r="C24" s="13">
        <v>24205</v>
      </c>
      <c r="D24" s="13">
        <f t="shared" si="0"/>
        <v>2024</v>
      </c>
      <c r="E24" s="13" t="str">
        <f t="shared" si="1"/>
        <v>Oct</v>
      </c>
      <c r="F24" s="13" t="str">
        <f t="shared" si="2"/>
        <v>Ok</v>
      </c>
      <c r="G24" s="67"/>
      <c r="H24" s="67"/>
      <c r="I24" s="67"/>
      <c r="J24" s="67"/>
      <c r="K24" s="67"/>
      <c r="L24" s="67"/>
      <c r="M24" s="67"/>
      <c r="N24" s="67"/>
      <c r="O24" s="67"/>
    </row>
    <row r="25" spans="1:15" ht="25.95" customHeight="1" x14ac:dyDescent="0.3">
      <c r="A25" s="22">
        <v>45596</v>
      </c>
      <c r="B25" s="13" t="s">
        <v>3</v>
      </c>
      <c r="C25" s="13">
        <v>3826</v>
      </c>
      <c r="D25" s="13">
        <f t="shared" si="0"/>
        <v>2024</v>
      </c>
      <c r="E25" s="13" t="str">
        <f t="shared" si="1"/>
        <v>Oct</v>
      </c>
      <c r="F25" s="13" t="str">
        <f t="shared" si="2"/>
        <v>Ok</v>
      </c>
      <c r="G25" s="67"/>
      <c r="H25" s="67"/>
      <c r="I25" s="67"/>
      <c r="J25" s="67"/>
      <c r="K25" s="67"/>
      <c r="L25" s="67"/>
      <c r="M25" s="67"/>
      <c r="N25" s="67"/>
      <c r="O25" s="67"/>
    </row>
    <row r="26" spans="1:15" ht="25.95" customHeight="1" x14ac:dyDescent="0.3">
      <c r="A26" s="22">
        <v>45565</v>
      </c>
      <c r="B26" s="13" t="s">
        <v>8</v>
      </c>
      <c r="C26" s="13">
        <v>39.996200000000002</v>
      </c>
      <c r="D26" s="13">
        <f t="shared" si="0"/>
        <v>2024</v>
      </c>
      <c r="E26" s="13" t="str">
        <f t="shared" si="1"/>
        <v>Sep</v>
      </c>
      <c r="F26" s="13" t="str">
        <f t="shared" si="2"/>
        <v>Ok</v>
      </c>
      <c r="G26" s="67"/>
      <c r="H26" s="67"/>
      <c r="I26" s="67"/>
      <c r="J26" s="67"/>
      <c r="K26" s="67"/>
      <c r="L26" s="67"/>
      <c r="M26" s="67"/>
      <c r="N26" s="67"/>
      <c r="O26" s="67"/>
    </row>
    <row r="27" spans="1:15" ht="25.95" customHeight="1" x14ac:dyDescent="0.3">
      <c r="A27" s="22">
        <v>45565</v>
      </c>
      <c r="B27" s="13" t="s">
        <v>7</v>
      </c>
      <c r="C27" s="13">
        <v>64</v>
      </c>
      <c r="D27" s="13">
        <f t="shared" si="0"/>
        <v>2024</v>
      </c>
      <c r="E27" s="13" t="str">
        <f t="shared" si="1"/>
        <v>Sep</v>
      </c>
      <c r="F27" s="13" t="str">
        <f t="shared" si="2"/>
        <v>Ok</v>
      </c>
      <c r="G27" s="67"/>
      <c r="H27" s="67"/>
      <c r="I27" s="67"/>
      <c r="J27" s="67"/>
      <c r="K27" s="67"/>
      <c r="L27" s="67"/>
      <c r="M27" s="67"/>
      <c r="N27" s="67"/>
      <c r="O27" s="67"/>
    </row>
    <row r="28" spans="1:15" ht="25.95" customHeight="1" x14ac:dyDescent="0.3">
      <c r="A28" s="22">
        <v>45565</v>
      </c>
      <c r="B28" s="13" t="s">
        <v>6</v>
      </c>
      <c r="C28" s="13">
        <v>854</v>
      </c>
      <c r="D28" s="13">
        <f t="shared" si="0"/>
        <v>2024</v>
      </c>
      <c r="E28" s="13" t="str">
        <f t="shared" si="1"/>
        <v>Sep</v>
      </c>
      <c r="F28" s="13" t="str">
        <f t="shared" si="2"/>
        <v>Ok</v>
      </c>
      <c r="G28" s="67"/>
      <c r="H28" s="67"/>
      <c r="I28" s="67"/>
      <c r="J28" s="67"/>
      <c r="K28" s="67"/>
      <c r="L28" s="67"/>
      <c r="M28" s="67"/>
      <c r="N28" s="67"/>
      <c r="O28" s="67"/>
    </row>
    <row r="29" spans="1:15" ht="25.95" customHeight="1" x14ac:dyDescent="0.3">
      <c r="A29" s="22">
        <v>45565</v>
      </c>
      <c r="B29" s="13" t="s">
        <v>5</v>
      </c>
      <c r="C29" s="13">
        <v>501</v>
      </c>
      <c r="D29" s="13">
        <f t="shared" si="0"/>
        <v>2024</v>
      </c>
      <c r="E29" s="13" t="str">
        <f t="shared" si="1"/>
        <v>Sep</v>
      </c>
      <c r="F29" s="13" t="str">
        <f t="shared" si="2"/>
        <v>Ok</v>
      </c>
      <c r="G29" s="67"/>
      <c r="H29" s="67"/>
      <c r="I29" s="67"/>
      <c r="J29" s="67"/>
      <c r="K29" s="67"/>
      <c r="L29" s="67"/>
      <c r="M29" s="67"/>
      <c r="N29" s="67"/>
      <c r="O29" s="67"/>
    </row>
    <row r="30" spans="1:15" ht="25.95" customHeight="1" x14ac:dyDescent="0.3">
      <c r="A30" s="22">
        <v>45565</v>
      </c>
      <c r="B30" s="13" t="s">
        <v>4</v>
      </c>
      <c r="C30" s="13">
        <v>25811</v>
      </c>
      <c r="D30" s="13">
        <f t="shared" si="0"/>
        <v>2024</v>
      </c>
      <c r="E30" s="13" t="str">
        <f t="shared" si="1"/>
        <v>Sep</v>
      </c>
      <c r="F30" s="13" t="str">
        <f t="shared" si="2"/>
        <v>Ok</v>
      </c>
      <c r="G30" s="67"/>
      <c r="H30" s="67"/>
      <c r="I30" s="67"/>
      <c r="J30" s="67"/>
      <c r="K30" s="67"/>
      <c r="L30" s="67"/>
      <c r="M30" s="67"/>
      <c r="N30" s="67"/>
      <c r="O30" s="67"/>
    </row>
    <row r="31" spans="1:15" ht="25.95" customHeight="1" x14ac:dyDescent="0.3">
      <c r="A31" s="22">
        <v>45565</v>
      </c>
      <c r="B31" s="13" t="s">
        <v>3</v>
      </c>
      <c r="C31" s="13">
        <v>4115</v>
      </c>
      <c r="D31" s="13">
        <f t="shared" si="0"/>
        <v>2024</v>
      </c>
      <c r="E31" s="13" t="str">
        <f t="shared" si="1"/>
        <v>Sep</v>
      </c>
      <c r="F31" s="13" t="str">
        <f t="shared" si="2"/>
        <v>Ok</v>
      </c>
    </row>
    <row r="32" spans="1:15" ht="25.95" customHeight="1" x14ac:dyDescent="0.3">
      <c r="A32" s="22">
        <v>45535</v>
      </c>
      <c r="B32" s="13" t="s">
        <v>8</v>
      </c>
      <c r="C32" s="13">
        <v>39.534799999999997</v>
      </c>
      <c r="D32" s="13">
        <f t="shared" si="0"/>
        <v>2024</v>
      </c>
      <c r="E32" s="13" t="str">
        <f t="shared" si="1"/>
        <v>Aug</v>
      </c>
      <c r="F32" s="13" t="str">
        <f t="shared" si="2"/>
        <v>Ok</v>
      </c>
    </row>
    <row r="33" spans="1:9" ht="25.95" customHeight="1" x14ac:dyDescent="0.3">
      <c r="A33" s="22">
        <v>45535</v>
      </c>
      <c r="B33" s="13" t="s">
        <v>7</v>
      </c>
      <c r="C33" s="13">
        <v>61</v>
      </c>
      <c r="D33" s="13">
        <f t="shared" si="0"/>
        <v>2024</v>
      </c>
      <c r="E33" s="13" t="str">
        <f t="shared" si="1"/>
        <v>Aug</v>
      </c>
      <c r="F33" s="13" t="str">
        <f t="shared" si="2"/>
        <v>Ok</v>
      </c>
    </row>
    <row r="34" spans="1:9" ht="25.95" customHeight="1" x14ac:dyDescent="0.3">
      <c r="A34" s="22">
        <v>45535</v>
      </c>
      <c r="B34" s="13" t="s">
        <v>6</v>
      </c>
      <c r="C34" s="13">
        <v>808</v>
      </c>
      <c r="D34" s="13">
        <f t="shared" si="0"/>
        <v>2024</v>
      </c>
      <c r="E34" s="13" t="str">
        <f t="shared" si="1"/>
        <v>Aug</v>
      </c>
      <c r="F34" s="13" t="str">
        <f t="shared" si="2"/>
        <v>Ok</v>
      </c>
    </row>
    <row r="35" spans="1:9" ht="25.95" customHeight="1" x14ac:dyDescent="0.3">
      <c r="A35" s="22">
        <v>45535</v>
      </c>
      <c r="B35" s="13" t="s">
        <v>5</v>
      </c>
      <c r="C35" s="13">
        <v>485</v>
      </c>
      <c r="D35" s="13">
        <f t="shared" si="0"/>
        <v>2024</v>
      </c>
      <c r="E35" s="13" t="str">
        <f t="shared" si="1"/>
        <v>Aug</v>
      </c>
      <c r="F35" s="13" t="str">
        <f t="shared" si="2"/>
        <v>Ok</v>
      </c>
    </row>
    <row r="36" spans="1:9" ht="25.95" customHeight="1" x14ac:dyDescent="0.3">
      <c r="A36" s="22">
        <v>45535</v>
      </c>
      <c r="B36" s="13" t="s">
        <v>4</v>
      </c>
      <c r="C36" s="13">
        <v>25236</v>
      </c>
      <c r="D36" s="13">
        <f t="shared" si="0"/>
        <v>2024</v>
      </c>
      <c r="E36" s="13" t="str">
        <f t="shared" si="1"/>
        <v>Aug</v>
      </c>
      <c r="F36" s="13" t="str">
        <f t="shared" si="2"/>
        <v>Ok</v>
      </c>
    </row>
    <row r="37" spans="1:9" ht="25.95" customHeight="1" x14ac:dyDescent="0.3">
      <c r="A37" s="22">
        <v>45535</v>
      </c>
      <c r="B37" s="13" t="s">
        <v>3</v>
      </c>
      <c r="C37" s="13">
        <v>4390</v>
      </c>
      <c r="D37" s="13">
        <f t="shared" si="0"/>
        <v>2024</v>
      </c>
      <c r="E37" s="13" t="str">
        <f t="shared" si="1"/>
        <v>Aug</v>
      </c>
      <c r="F37" s="13" t="str">
        <f t="shared" si="2"/>
        <v>Ok</v>
      </c>
    </row>
    <row r="38" spans="1:9" ht="25.95" customHeight="1" x14ac:dyDescent="0.65">
      <c r="A38" s="22">
        <v>45504</v>
      </c>
      <c r="B38" s="13" t="s">
        <v>8</v>
      </c>
      <c r="C38" s="13">
        <v>39.193300000000001</v>
      </c>
      <c r="D38" s="13">
        <f t="shared" si="0"/>
        <v>2024</v>
      </c>
      <c r="E38" s="13" t="str">
        <f t="shared" si="1"/>
        <v>Jul</v>
      </c>
      <c r="F38" s="13" t="str">
        <f t="shared" si="2"/>
        <v>Ok</v>
      </c>
      <c r="I38" s="20"/>
    </row>
    <row r="39" spans="1:9" ht="25.95" customHeight="1" x14ac:dyDescent="0.3">
      <c r="A39" s="22">
        <v>45504</v>
      </c>
      <c r="B39" s="13" t="s">
        <v>7</v>
      </c>
      <c r="C39" s="13">
        <v>59</v>
      </c>
      <c r="D39" s="13">
        <f t="shared" si="0"/>
        <v>2024</v>
      </c>
      <c r="E39" s="13" t="str">
        <f t="shared" si="1"/>
        <v>Jul</v>
      </c>
      <c r="F39" s="13" t="str">
        <f t="shared" si="2"/>
        <v>Ok</v>
      </c>
    </row>
    <row r="40" spans="1:9" ht="25.95" customHeight="1" x14ac:dyDescent="0.3">
      <c r="A40" s="22">
        <v>45504</v>
      </c>
      <c r="B40" s="13" t="s">
        <v>6</v>
      </c>
      <c r="C40" s="13">
        <v>797</v>
      </c>
      <c r="D40" s="13">
        <f t="shared" si="0"/>
        <v>2024</v>
      </c>
      <c r="E40" s="13" t="str">
        <f t="shared" si="1"/>
        <v>Jul</v>
      </c>
      <c r="F40" s="13" t="str">
        <f t="shared" si="2"/>
        <v>Ok</v>
      </c>
    </row>
    <row r="41" spans="1:9" ht="25.95" customHeight="1" x14ac:dyDescent="0.3">
      <c r="A41" s="22">
        <v>45504</v>
      </c>
      <c r="B41" s="13" t="s">
        <v>5</v>
      </c>
      <c r="C41" s="13">
        <v>479</v>
      </c>
      <c r="D41" s="13">
        <f t="shared" si="0"/>
        <v>2024</v>
      </c>
      <c r="E41" s="13" t="str">
        <f t="shared" si="1"/>
        <v>Jul</v>
      </c>
      <c r="F41" s="13" t="str">
        <f t="shared" si="2"/>
        <v>Ok</v>
      </c>
    </row>
    <row r="42" spans="1:9" ht="25.95" customHeight="1" x14ac:dyDescent="0.3">
      <c r="A42" s="22">
        <v>45504</v>
      </c>
      <c r="B42" s="13" t="s">
        <v>4</v>
      </c>
      <c r="C42" s="13">
        <v>24951</v>
      </c>
      <c r="D42" s="13">
        <f t="shared" si="0"/>
        <v>2024</v>
      </c>
      <c r="E42" s="13" t="str">
        <f t="shared" si="1"/>
        <v>Jul</v>
      </c>
      <c r="F42" s="13" t="str">
        <f t="shared" si="2"/>
        <v>Ok</v>
      </c>
    </row>
    <row r="43" spans="1:9" ht="25.95" customHeight="1" x14ac:dyDescent="0.3">
      <c r="A43" s="22">
        <v>45504</v>
      </c>
      <c r="B43" s="13" t="s">
        <v>3</v>
      </c>
      <c r="C43" s="13">
        <v>4218</v>
      </c>
      <c r="D43" s="13">
        <f t="shared" si="0"/>
        <v>2024</v>
      </c>
      <c r="E43" s="13" t="str">
        <f t="shared" si="1"/>
        <v>Jul</v>
      </c>
      <c r="F43" s="13" t="str">
        <f t="shared" si="2"/>
        <v>Ok</v>
      </c>
    </row>
    <row r="44" spans="1:9" ht="25.95" customHeight="1" x14ac:dyDescent="0.3">
      <c r="A44" s="22">
        <v>45473</v>
      </c>
      <c r="B44" s="13" t="s">
        <v>8</v>
      </c>
      <c r="C44" s="13">
        <v>38.793100000000003</v>
      </c>
      <c r="D44" s="13">
        <f t="shared" si="0"/>
        <v>2024</v>
      </c>
      <c r="E44" s="13" t="str">
        <f t="shared" si="1"/>
        <v>Jun</v>
      </c>
      <c r="F44" s="13" t="str">
        <f t="shared" si="2"/>
        <v>Ok</v>
      </c>
    </row>
    <row r="45" spans="1:9" ht="25.95" customHeight="1" x14ac:dyDescent="0.3">
      <c r="A45" s="22">
        <v>45473</v>
      </c>
      <c r="B45" s="13" t="s">
        <v>7</v>
      </c>
      <c r="C45" s="13">
        <v>61</v>
      </c>
      <c r="D45" s="13">
        <f t="shared" si="0"/>
        <v>2024</v>
      </c>
      <c r="E45" s="13" t="str">
        <f t="shared" si="1"/>
        <v>Jun</v>
      </c>
      <c r="F45" s="13" t="str">
        <f t="shared" si="2"/>
        <v>Ok</v>
      </c>
    </row>
    <row r="46" spans="1:9" ht="25.95" customHeight="1" x14ac:dyDescent="0.3">
      <c r="A46" s="22">
        <v>45473</v>
      </c>
      <c r="B46" s="13" t="s">
        <v>6</v>
      </c>
      <c r="C46" s="13">
        <v>831</v>
      </c>
      <c r="D46" s="13">
        <f t="shared" si="0"/>
        <v>2024</v>
      </c>
      <c r="E46" s="13" t="str">
        <f t="shared" si="1"/>
        <v>Jun</v>
      </c>
      <c r="F46" s="13" t="str">
        <f t="shared" si="2"/>
        <v>Ok</v>
      </c>
    </row>
    <row r="47" spans="1:9" ht="25.95" customHeight="1" x14ac:dyDescent="0.3">
      <c r="A47" s="22">
        <v>45473</v>
      </c>
      <c r="B47" s="13" t="s">
        <v>5</v>
      </c>
      <c r="C47" s="13">
        <v>404</v>
      </c>
      <c r="D47" s="13">
        <f t="shared" si="0"/>
        <v>2024</v>
      </c>
      <c r="E47" s="13" t="str">
        <f t="shared" si="1"/>
        <v>Jun</v>
      </c>
      <c r="F47" s="13" t="str">
        <f t="shared" si="2"/>
        <v>Ok</v>
      </c>
    </row>
    <row r="48" spans="1:9" ht="25.95" customHeight="1" x14ac:dyDescent="0.3">
      <c r="A48" s="22">
        <v>45473</v>
      </c>
      <c r="B48" s="13" t="s">
        <v>4</v>
      </c>
      <c r="C48" s="13">
        <v>24011</v>
      </c>
      <c r="D48" s="13">
        <f t="shared" si="0"/>
        <v>2024</v>
      </c>
      <c r="E48" s="13" t="str">
        <f t="shared" si="1"/>
        <v>Jun</v>
      </c>
      <c r="F48" s="13" t="str">
        <f t="shared" si="2"/>
        <v>Ok</v>
      </c>
    </row>
    <row r="49" spans="1:6" ht="25.95" customHeight="1" x14ac:dyDescent="0.3">
      <c r="A49" s="22">
        <v>45473</v>
      </c>
      <c r="B49" s="13" t="s">
        <v>3</v>
      </c>
      <c r="C49" s="13">
        <v>3755</v>
      </c>
      <c r="D49" s="13">
        <f t="shared" si="0"/>
        <v>2024</v>
      </c>
      <c r="E49" s="13" t="str">
        <f t="shared" si="1"/>
        <v>Jun</v>
      </c>
      <c r="F49" s="13" t="str">
        <f t="shared" si="2"/>
        <v>Ok</v>
      </c>
    </row>
    <row r="50" spans="1:6" ht="25.95" customHeight="1" x14ac:dyDescent="0.3">
      <c r="A50" s="22">
        <v>45443</v>
      </c>
      <c r="B50" s="13" t="s">
        <v>8</v>
      </c>
      <c r="C50" s="13">
        <v>38.600999999999999</v>
      </c>
      <c r="D50" s="13">
        <f t="shared" si="0"/>
        <v>2024</v>
      </c>
      <c r="E50" s="13" t="str">
        <f t="shared" si="1"/>
        <v>May</v>
      </c>
      <c r="F50" s="13" t="str">
        <f t="shared" si="2"/>
        <v>Ok</v>
      </c>
    </row>
    <row r="51" spans="1:6" ht="25.95" customHeight="1" x14ac:dyDescent="0.3">
      <c r="A51" s="22">
        <v>45443</v>
      </c>
      <c r="B51" s="13" t="s">
        <v>7</v>
      </c>
      <c r="C51" s="13">
        <v>61</v>
      </c>
      <c r="D51" s="13">
        <f t="shared" si="0"/>
        <v>2024</v>
      </c>
      <c r="E51" s="13" t="str">
        <f t="shared" si="1"/>
        <v>May</v>
      </c>
      <c r="F51" s="13" t="str">
        <f t="shared" si="2"/>
        <v>Ok</v>
      </c>
    </row>
    <row r="52" spans="1:6" ht="25.95" customHeight="1" x14ac:dyDescent="0.3">
      <c r="A52" s="22">
        <v>45443</v>
      </c>
      <c r="B52" s="13" t="s">
        <v>6</v>
      </c>
      <c r="C52" s="13">
        <v>745</v>
      </c>
      <c r="D52" s="13">
        <f t="shared" si="0"/>
        <v>2024</v>
      </c>
      <c r="E52" s="13" t="str">
        <f t="shared" si="1"/>
        <v>May</v>
      </c>
      <c r="F52" s="13" t="str">
        <f t="shared" si="2"/>
        <v>Ok</v>
      </c>
    </row>
    <row r="53" spans="1:6" ht="25.95" customHeight="1" x14ac:dyDescent="0.3">
      <c r="A53" s="22">
        <v>45443</v>
      </c>
      <c r="B53" s="13" t="s">
        <v>5</v>
      </c>
      <c r="C53" s="13">
        <v>405</v>
      </c>
      <c r="D53" s="13">
        <f t="shared" si="0"/>
        <v>2024</v>
      </c>
      <c r="E53" s="13" t="str">
        <f t="shared" si="1"/>
        <v>May</v>
      </c>
      <c r="F53" s="13" t="str">
        <f t="shared" si="2"/>
        <v>Ok</v>
      </c>
    </row>
    <row r="54" spans="1:6" ht="25.95" customHeight="1" x14ac:dyDescent="0.3">
      <c r="A54" s="22">
        <v>45443</v>
      </c>
      <c r="B54" s="13" t="s">
        <v>4</v>
      </c>
      <c r="C54" s="13">
        <v>22531</v>
      </c>
      <c r="D54" s="13">
        <f t="shared" si="0"/>
        <v>2024</v>
      </c>
      <c r="E54" s="13" t="str">
        <f t="shared" si="1"/>
        <v>May</v>
      </c>
      <c r="F54" s="13" t="str">
        <f t="shared" si="2"/>
        <v>Ok</v>
      </c>
    </row>
    <row r="55" spans="1:6" ht="25.95" customHeight="1" x14ac:dyDescent="0.3">
      <c r="A55" s="22">
        <v>45443</v>
      </c>
      <c r="B55" s="13" t="s">
        <v>3</v>
      </c>
      <c r="C55" s="13">
        <v>3505</v>
      </c>
      <c r="D55" s="13">
        <f t="shared" si="0"/>
        <v>2024</v>
      </c>
      <c r="E55" s="13" t="str">
        <f t="shared" si="1"/>
        <v>May</v>
      </c>
      <c r="F55" s="13" t="str">
        <f t="shared" si="2"/>
        <v>Ok</v>
      </c>
    </row>
    <row r="56" spans="1:6" ht="25.95" customHeight="1" x14ac:dyDescent="0.3">
      <c r="A56" s="22">
        <v>45412</v>
      </c>
      <c r="B56" s="13" t="s">
        <v>8</v>
      </c>
      <c r="C56" s="13">
        <v>38.079500000000003</v>
      </c>
      <c r="D56" s="13">
        <f t="shared" si="0"/>
        <v>2024</v>
      </c>
      <c r="E56" s="13" t="str">
        <f t="shared" si="1"/>
        <v>Apr</v>
      </c>
      <c r="F56" s="13" t="str">
        <f t="shared" si="2"/>
        <v>Ok</v>
      </c>
    </row>
    <row r="57" spans="1:6" ht="25.95" customHeight="1" x14ac:dyDescent="0.3">
      <c r="A57" s="22">
        <v>45412</v>
      </c>
      <c r="B57" s="13" t="s">
        <v>7</v>
      </c>
      <c r="C57" s="13">
        <v>61</v>
      </c>
      <c r="D57" s="13">
        <f t="shared" si="0"/>
        <v>2024</v>
      </c>
      <c r="E57" s="13" t="str">
        <f t="shared" si="1"/>
        <v>Apr</v>
      </c>
      <c r="F57" s="13" t="str">
        <f t="shared" si="2"/>
        <v>Ok</v>
      </c>
    </row>
    <row r="58" spans="1:6" ht="25.95" customHeight="1" x14ac:dyDescent="0.3">
      <c r="A58" s="22">
        <v>45412</v>
      </c>
      <c r="B58" s="13" t="s">
        <v>6</v>
      </c>
      <c r="C58" s="13">
        <v>740</v>
      </c>
      <c r="D58" s="13">
        <f t="shared" si="0"/>
        <v>2024</v>
      </c>
      <c r="E58" s="13" t="str">
        <f t="shared" si="1"/>
        <v>Apr</v>
      </c>
      <c r="F58" s="13" t="str">
        <f t="shared" si="2"/>
        <v>Ok</v>
      </c>
    </row>
    <row r="59" spans="1:6" ht="25.95" customHeight="1" x14ac:dyDescent="0.3">
      <c r="A59" s="22">
        <v>45412</v>
      </c>
      <c r="B59" s="13" t="s">
        <v>5</v>
      </c>
      <c r="C59" s="13">
        <v>414</v>
      </c>
      <c r="D59" s="13">
        <f t="shared" si="0"/>
        <v>2024</v>
      </c>
      <c r="E59" s="13" t="str">
        <f t="shared" si="1"/>
        <v>Apr</v>
      </c>
      <c r="F59" s="13" t="str">
        <f t="shared" si="2"/>
        <v>Ok</v>
      </c>
    </row>
    <row r="60" spans="1:6" ht="25.95" customHeight="1" x14ac:dyDescent="0.3">
      <c r="A60" s="22">
        <v>45412</v>
      </c>
      <c r="B60" s="13" t="s">
        <v>4</v>
      </c>
      <c r="C60" s="13">
        <v>22605</v>
      </c>
      <c r="D60" s="13">
        <f t="shared" si="0"/>
        <v>2024</v>
      </c>
      <c r="E60" s="13" t="str">
        <f t="shared" si="1"/>
        <v>Apr</v>
      </c>
      <c r="F60" s="13" t="str">
        <f t="shared" si="2"/>
        <v>Ok</v>
      </c>
    </row>
    <row r="61" spans="1:6" ht="25.95" customHeight="1" x14ac:dyDescent="0.3">
      <c r="A61" s="22">
        <v>45412</v>
      </c>
      <c r="B61" s="13" t="s">
        <v>3</v>
      </c>
      <c r="C61" s="13">
        <v>3648</v>
      </c>
      <c r="D61" s="13">
        <f t="shared" si="0"/>
        <v>2024</v>
      </c>
      <c r="E61" s="13" t="str">
        <f t="shared" si="1"/>
        <v>Apr</v>
      </c>
      <c r="F61" s="13" t="str">
        <f t="shared" si="2"/>
        <v>Ok</v>
      </c>
    </row>
    <row r="62" spans="1:6" ht="25.95" customHeight="1" x14ac:dyDescent="0.3">
      <c r="A62" s="22">
        <v>45382</v>
      </c>
      <c r="B62" s="13" t="s">
        <v>8</v>
      </c>
      <c r="C62" s="13">
        <v>38.164400000000001</v>
      </c>
      <c r="D62" s="13">
        <f t="shared" si="0"/>
        <v>2024</v>
      </c>
      <c r="E62" s="13" t="str">
        <f t="shared" si="1"/>
        <v>Mar</v>
      </c>
      <c r="F62" s="13" t="str">
        <f t="shared" si="2"/>
        <v>Ok</v>
      </c>
    </row>
    <row r="63" spans="1:6" ht="25.95" customHeight="1" x14ac:dyDescent="0.3">
      <c r="A63" s="22">
        <v>45382</v>
      </c>
      <c r="B63" s="13" t="s">
        <v>7</v>
      </c>
      <c r="C63" s="13">
        <v>57</v>
      </c>
      <c r="D63" s="13">
        <f t="shared" si="0"/>
        <v>2024</v>
      </c>
      <c r="E63" s="13" t="str">
        <f t="shared" si="1"/>
        <v>Mar</v>
      </c>
      <c r="F63" s="13" t="str">
        <f t="shared" si="2"/>
        <v>Ok</v>
      </c>
    </row>
    <row r="64" spans="1:6" ht="25.95" customHeight="1" x14ac:dyDescent="0.3">
      <c r="A64" s="22">
        <v>45382</v>
      </c>
      <c r="B64" s="13" t="s">
        <v>6</v>
      </c>
      <c r="C64" s="13">
        <v>705</v>
      </c>
      <c r="D64" s="13">
        <f t="shared" si="0"/>
        <v>2024</v>
      </c>
      <c r="E64" s="13" t="str">
        <f t="shared" si="1"/>
        <v>Mar</v>
      </c>
      <c r="F64" s="13" t="str">
        <f t="shared" si="2"/>
        <v>Ok</v>
      </c>
    </row>
    <row r="65" spans="1:6" ht="25.95" customHeight="1" x14ac:dyDescent="0.3">
      <c r="A65" s="22">
        <v>45382</v>
      </c>
      <c r="B65" s="13" t="s">
        <v>5</v>
      </c>
      <c r="C65" s="13">
        <v>407</v>
      </c>
      <c r="D65" s="13">
        <f t="shared" si="0"/>
        <v>2024</v>
      </c>
      <c r="E65" s="13" t="str">
        <f t="shared" si="1"/>
        <v>Mar</v>
      </c>
      <c r="F65" s="13" t="str">
        <f t="shared" si="2"/>
        <v>Ok</v>
      </c>
    </row>
    <row r="66" spans="1:6" ht="25.95" customHeight="1" x14ac:dyDescent="0.3">
      <c r="A66" s="22">
        <v>45382</v>
      </c>
      <c r="B66" s="13" t="s">
        <v>4</v>
      </c>
      <c r="C66" s="13">
        <v>22327</v>
      </c>
      <c r="D66" s="13">
        <f t="shared" si="0"/>
        <v>2024</v>
      </c>
      <c r="E66" s="13" t="str">
        <f t="shared" si="1"/>
        <v>Mar</v>
      </c>
      <c r="F66" s="13" t="str">
        <f t="shared" si="2"/>
        <v>Ok</v>
      </c>
    </row>
    <row r="67" spans="1:6" ht="25.95" customHeight="1" x14ac:dyDescent="0.3">
      <c r="A67" s="22">
        <v>45382</v>
      </c>
      <c r="B67" s="13" t="s">
        <v>3</v>
      </c>
      <c r="C67" s="13">
        <v>3701</v>
      </c>
      <c r="D67" s="13">
        <f t="shared" si="0"/>
        <v>2024</v>
      </c>
      <c r="E67" s="13" t="str">
        <f t="shared" si="1"/>
        <v>Mar</v>
      </c>
      <c r="F67" s="13" t="str">
        <f t="shared" si="2"/>
        <v>Ok</v>
      </c>
    </row>
    <row r="68" spans="1:6" ht="25.95" customHeight="1" x14ac:dyDescent="0.3">
      <c r="A68" s="22">
        <v>45351</v>
      </c>
      <c r="B68" s="13" t="s">
        <v>8</v>
      </c>
      <c r="C68" s="13">
        <v>37.865499999999997</v>
      </c>
      <c r="D68" s="13">
        <f t="shared" si="0"/>
        <v>2024</v>
      </c>
      <c r="E68" s="13" t="str">
        <f t="shared" si="1"/>
        <v>Feb</v>
      </c>
      <c r="F68" s="13" t="str">
        <f t="shared" si="2"/>
        <v>Ok</v>
      </c>
    </row>
    <row r="69" spans="1:6" ht="25.95" customHeight="1" x14ac:dyDescent="0.3">
      <c r="A69" s="22">
        <v>45351</v>
      </c>
      <c r="B69" s="13" t="s">
        <v>7</v>
      </c>
      <c r="C69" s="13">
        <v>53</v>
      </c>
      <c r="D69" s="13">
        <f t="shared" si="0"/>
        <v>2024</v>
      </c>
      <c r="E69" s="13" t="str">
        <f t="shared" si="1"/>
        <v>Feb</v>
      </c>
      <c r="F69" s="13" t="str">
        <f t="shared" si="2"/>
        <v>Ok</v>
      </c>
    </row>
    <row r="70" spans="1:6" ht="25.95" customHeight="1" x14ac:dyDescent="0.3">
      <c r="A70" s="22">
        <v>45351</v>
      </c>
      <c r="B70" s="13" t="s">
        <v>6</v>
      </c>
      <c r="C70" s="13">
        <v>683</v>
      </c>
      <c r="D70" s="13">
        <f t="shared" si="0"/>
        <v>2024</v>
      </c>
      <c r="E70" s="13" t="str">
        <f t="shared" si="1"/>
        <v>Feb</v>
      </c>
      <c r="F70" s="13" t="str">
        <f t="shared" si="2"/>
        <v>Ok</v>
      </c>
    </row>
    <row r="71" spans="1:6" ht="25.95" customHeight="1" x14ac:dyDescent="0.3">
      <c r="A71" s="22">
        <v>45351</v>
      </c>
      <c r="B71" s="13" t="s">
        <v>5</v>
      </c>
      <c r="C71" s="13">
        <v>380</v>
      </c>
      <c r="D71" s="13">
        <f t="shared" si="0"/>
        <v>2024</v>
      </c>
      <c r="E71" s="13" t="str">
        <f t="shared" si="1"/>
        <v>Feb</v>
      </c>
      <c r="F71" s="13" t="str">
        <f t="shared" si="2"/>
        <v>Ok</v>
      </c>
    </row>
    <row r="72" spans="1:6" ht="25.95" customHeight="1" x14ac:dyDescent="0.3">
      <c r="A72" s="22">
        <v>45351</v>
      </c>
      <c r="B72" s="13" t="s">
        <v>4</v>
      </c>
      <c r="C72" s="13">
        <v>21983</v>
      </c>
      <c r="D72" s="13">
        <f t="shared" ref="D72:D135" si="3">YEAR(A72)</f>
        <v>2024</v>
      </c>
      <c r="E72" s="13" t="str">
        <f t="shared" ref="E72:E135" si="4">TEXT(A72,"mmm")</f>
        <v>Feb</v>
      </c>
      <c r="F72" s="13" t="str">
        <f t="shared" ref="F72:F135" si="5">IF(C72&lt;=0,"Error","Ok")</f>
        <v>Ok</v>
      </c>
    </row>
    <row r="73" spans="1:6" ht="25.95" customHeight="1" x14ac:dyDescent="0.3">
      <c r="A73" s="22">
        <v>45351</v>
      </c>
      <c r="B73" s="13" t="s">
        <v>3</v>
      </c>
      <c r="C73" s="13">
        <v>3910</v>
      </c>
      <c r="D73" s="13">
        <f t="shared" si="3"/>
        <v>2024</v>
      </c>
      <c r="E73" s="13" t="str">
        <f t="shared" si="4"/>
        <v>Feb</v>
      </c>
      <c r="F73" s="13" t="str">
        <f t="shared" si="5"/>
        <v>Ok</v>
      </c>
    </row>
    <row r="74" spans="1:6" ht="25.95" customHeight="1" x14ac:dyDescent="0.3">
      <c r="A74" s="22">
        <v>45322</v>
      </c>
      <c r="B74" s="13" t="s">
        <v>8</v>
      </c>
      <c r="C74" s="13">
        <v>37.516500000000001</v>
      </c>
      <c r="D74" s="13">
        <f t="shared" si="3"/>
        <v>2024</v>
      </c>
      <c r="E74" s="13" t="str">
        <f t="shared" si="4"/>
        <v>Jan</v>
      </c>
      <c r="F74" s="13" t="str">
        <f t="shared" si="5"/>
        <v>Ok</v>
      </c>
    </row>
    <row r="75" spans="1:6" ht="25.95" customHeight="1" x14ac:dyDescent="0.3">
      <c r="A75" s="22">
        <v>45322</v>
      </c>
      <c r="B75" s="13" t="s">
        <v>7</v>
      </c>
      <c r="C75" s="13">
        <v>53</v>
      </c>
      <c r="D75" s="13">
        <f t="shared" si="3"/>
        <v>2024</v>
      </c>
      <c r="E75" s="13" t="str">
        <f t="shared" si="4"/>
        <v>Jan</v>
      </c>
      <c r="F75" s="13" t="str">
        <f t="shared" si="5"/>
        <v>Ok</v>
      </c>
    </row>
    <row r="76" spans="1:6" ht="25.95" customHeight="1" x14ac:dyDescent="0.3">
      <c r="A76" s="22">
        <v>45322</v>
      </c>
      <c r="B76" s="13" t="s">
        <v>6</v>
      </c>
      <c r="C76" s="13">
        <v>712</v>
      </c>
      <c r="D76" s="13">
        <f t="shared" si="3"/>
        <v>2024</v>
      </c>
      <c r="E76" s="13" t="str">
        <f t="shared" si="4"/>
        <v>Jan</v>
      </c>
      <c r="F76" s="13" t="str">
        <f t="shared" si="5"/>
        <v>Ok</v>
      </c>
    </row>
    <row r="77" spans="1:6" ht="25.95" customHeight="1" x14ac:dyDescent="0.3">
      <c r="A77" s="22">
        <v>45322</v>
      </c>
      <c r="B77" s="13" t="s">
        <v>5</v>
      </c>
      <c r="C77" s="13">
        <v>413</v>
      </c>
      <c r="D77" s="13">
        <f t="shared" si="3"/>
        <v>2024</v>
      </c>
      <c r="E77" s="13" t="str">
        <f t="shared" si="4"/>
        <v>Jan</v>
      </c>
      <c r="F77" s="13" t="str">
        <f t="shared" si="5"/>
        <v>Ok</v>
      </c>
    </row>
    <row r="78" spans="1:6" ht="25.95" customHeight="1" x14ac:dyDescent="0.3">
      <c r="A78" s="22">
        <v>45322</v>
      </c>
      <c r="B78" s="13" t="s">
        <v>4</v>
      </c>
      <c r="C78" s="13">
        <v>21726</v>
      </c>
      <c r="D78" s="13">
        <f t="shared" si="3"/>
        <v>2024</v>
      </c>
      <c r="E78" s="13" t="str">
        <f t="shared" si="4"/>
        <v>Jan</v>
      </c>
      <c r="F78" s="13" t="str">
        <f t="shared" si="5"/>
        <v>Ok</v>
      </c>
    </row>
    <row r="79" spans="1:6" ht="25.95" customHeight="1" x14ac:dyDescent="0.3">
      <c r="A79" s="22">
        <v>45322</v>
      </c>
      <c r="B79" s="13" t="s">
        <v>3</v>
      </c>
      <c r="C79" s="13">
        <v>3618</v>
      </c>
      <c r="D79" s="13">
        <f t="shared" si="3"/>
        <v>2024</v>
      </c>
      <c r="E79" s="13" t="str">
        <f t="shared" si="4"/>
        <v>Jan</v>
      </c>
      <c r="F79" s="13" t="str">
        <f t="shared" si="5"/>
        <v>Ok</v>
      </c>
    </row>
    <row r="80" spans="1:6" ht="25.95" customHeight="1" x14ac:dyDescent="0.3">
      <c r="A80" s="22">
        <v>45291</v>
      </c>
      <c r="B80" s="13" t="s">
        <v>8</v>
      </c>
      <c r="C80" s="13">
        <v>37.264099999999999</v>
      </c>
      <c r="D80" s="13">
        <f t="shared" si="3"/>
        <v>2023</v>
      </c>
      <c r="E80" s="13" t="str">
        <f t="shared" si="4"/>
        <v>Dec</v>
      </c>
      <c r="F80" s="13" t="str">
        <f t="shared" si="5"/>
        <v>Ok</v>
      </c>
    </row>
    <row r="81" spans="1:6" ht="25.95" customHeight="1" x14ac:dyDescent="0.3">
      <c r="A81" s="22">
        <v>45291</v>
      </c>
      <c r="B81" s="13" t="s">
        <v>7</v>
      </c>
      <c r="C81" s="13">
        <v>54</v>
      </c>
      <c r="D81" s="13">
        <f t="shared" si="3"/>
        <v>2023</v>
      </c>
      <c r="E81" s="13" t="str">
        <f t="shared" si="4"/>
        <v>Dec</v>
      </c>
      <c r="F81" s="13" t="str">
        <f t="shared" si="5"/>
        <v>Ok</v>
      </c>
    </row>
    <row r="82" spans="1:6" ht="25.95" customHeight="1" x14ac:dyDescent="0.3">
      <c r="A82" s="22">
        <v>45291</v>
      </c>
      <c r="B82" s="13" t="s">
        <v>6</v>
      </c>
      <c r="C82" s="13">
        <v>832</v>
      </c>
      <c r="D82" s="13">
        <f t="shared" si="3"/>
        <v>2023</v>
      </c>
      <c r="E82" s="13" t="str">
        <f t="shared" si="4"/>
        <v>Dec</v>
      </c>
      <c r="F82" s="13" t="str">
        <f t="shared" si="5"/>
        <v>Ok</v>
      </c>
    </row>
    <row r="83" spans="1:6" ht="25.95" customHeight="1" x14ac:dyDescent="0.3">
      <c r="A83" s="22">
        <v>45291</v>
      </c>
      <c r="B83" s="13" t="s">
        <v>5</v>
      </c>
      <c r="C83" s="13">
        <v>433</v>
      </c>
      <c r="D83" s="13">
        <f t="shared" si="3"/>
        <v>2023</v>
      </c>
      <c r="E83" s="13" t="str">
        <f t="shared" si="4"/>
        <v>Dec</v>
      </c>
      <c r="F83" s="13" t="str">
        <f t="shared" si="5"/>
        <v>Ok</v>
      </c>
    </row>
    <row r="84" spans="1:6" ht="25.95" customHeight="1" x14ac:dyDescent="0.3">
      <c r="A84" s="22">
        <v>45291</v>
      </c>
      <c r="B84" s="13" t="s">
        <v>4</v>
      </c>
      <c r="C84" s="13">
        <v>21731</v>
      </c>
      <c r="D84" s="13">
        <f t="shared" si="3"/>
        <v>2023</v>
      </c>
      <c r="E84" s="13" t="str">
        <f t="shared" si="4"/>
        <v>Dec</v>
      </c>
      <c r="F84" s="13" t="str">
        <f t="shared" si="5"/>
        <v>Ok</v>
      </c>
    </row>
    <row r="85" spans="1:6" ht="25.95" customHeight="1" x14ac:dyDescent="0.3">
      <c r="A85" s="22">
        <v>45291</v>
      </c>
      <c r="B85" s="13" t="s">
        <v>3</v>
      </c>
      <c r="C85" s="13">
        <v>3597</v>
      </c>
      <c r="D85" s="13">
        <f t="shared" si="3"/>
        <v>2023</v>
      </c>
      <c r="E85" s="13" t="str">
        <f t="shared" si="4"/>
        <v>Dec</v>
      </c>
      <c r="F85" s="13" t="str">
        <f t="shared" si="5"/>
        <v>Ok</v>
      </c>
    </row>
    <row r="86" spans="1:6" ht="25.95" customHeight="1" x14ac:dyDescent="0.3">
      <c r="A86" s="22">
        <v>45260</v>
      </c>
      <c r="B86" s="13" t="s">
        <v>8</v>
      </c>
      <c r="C86" s="13">
        <v>36.871099999999998</v>
      </c>
      <c r="D86" s="13">
        <f t="shared" si="3"/>
        <v>2023</v>
      </c>
      <c r="E86" s="13" t="str">
        <f t="shared" si="4"/>
        <v>Nov</v>
      </c>
      <c r="F86" s="13" t="str">
        <f t="shared" si="5"/>
        <v>Ok</v>
      </c>
    </row>
    <row r="87" spans="1:6" ht="25.95" customHeight="1" x14ac:dyDescent="0.3">
      <c r="A87" s="22">
        <v>45260</v>
      </c>
      <c r="B87" s="13" t="s">
        <v>7</v>
      </c>
      <c r="C87" s="13">
        <v>53</v>
      </c>
      <c r="D87" s="13">
        <f t="shared" si="3"/>
        <v>2023</v>
      </c>
      <c r="E87" s="13" t="str">
        <f t="shared" si="4"/>
        <v>Nov</v>
      </c>
      <c r="F87" s="13" t="str">
        <f t="shared" si="5"/>
        <v>Ok</v>
      </c>
    </row>
    <row r="88" spans="1:6" ht="25.95" customHeight="1" x14ac:dyDescent="0.3">
      <c r="A88" s="22">
        <v>45260</v>
      </c>
      <c r="B88" s="13" t="s">
        <v>6</v>
      </c>
      <c r="C88" s="13">
        <v>759</v>
      </c>
      <c r="D88" s="13">
        <f t="shared" si="3"/>
        <v>2023</v>
      </c>
      <c r="E88" s="13" t="str">
        <f t="shared" si="4"/>
        <v>Nov</v>
      </c>
      <c r="F88" s="13" t="str">
        <f t="shared" si="5"/>
        <v>Ok</v>
      </c>
    </row>
    <row r="89" spans="1:6" ht="25.95" customHeight="1" x14ac:dyDescent="0.3">
      <c r="A89" s="22">
        <v>45260</v>
      </c>
      <c r="B89" s="13" t="s">
        <v>5</v>
      </c>
      <c r="C89" s="13">
        <v>408</v>
      </c>
      <c r="D89" s="13">
        <f t="shared" si="3"/>
        <v>2023</v>
      </c>
      <c r="E89" s="13" t="str">
        <f t="shared" si="4"/>
        <v>Nov</v>
      </c>
      <c r="F89" s="13" t="str">
        <f t="shared" si="5"/>
        <v>Ok</v>
      </c>
    </row>
    <row r="90" spans="1:6" ht="25.95" customHeight="1" x14ac:dyDescent="0.3">
      <c r="A90" s="22">
        <v>45260</v>
      </c>
      <c r="B90" s="13" t="s">
        <v>4</v>
      </c>
      <c r="C90" s="13">
        <v>20133</v>
      </c>
      <c r="D90" s="13">
        <f t="shared" si="3"/>
        <v>2023</v>
      </c>
      <c r="E90" s="13" t="str">
        <f t="shared" si="4"/>
        <v>Nov</v>
      </c>
      <c r="F90" s="13" t="str">
        <f t="shared" si="5"/>
        <v>Ok</v>
      </c>
    </row>
    <row r="91" spans="1:6" ht="25.95" customHeight="1" x14ac:dyDescent="0.3">
      <c r="A91" s="22">
        <v>45260</v>
      </c>
      <c r="B91" s="13" t="s">
        <v>3</v>
      </c>
      <c r="C91" s="13">
        <v>3307</v>
      </c>
      <c r="D91" s="13">
        <f t="shared" si="3"/>
        <v>2023</v>
      </c>
      <c r="E91" s="13" t="str">
        <f t="shared" si="4"/>
        <v>Nov</v>
      </c>
      <c r="F91" s="13" t="str">
        <f t="shared" si="5"/>
        <v>Ok</v>
      </c>
    </row>
    <row r="92" spans="1:6" ht="25.95" customHeight="1" x14ac:dyDescent="0.3">
      <c r="A92" s="22">
        <v>45230</v>
      </c>
      <c r="B92" s="13" t="s">
        <v>8</v>
      </c>
      <c r="C92" s="13">
        <v>36.552599999999998</v>
      </c>
      <c r="D92" s="13">
        <f t="shared" si="3"/>
        <v>2023</v>
      </c>
      <c r="E92" s="13" t="str">
        <f t="shared" si="4"/>
        <v>Oct</v>
      </c>
      <c r="F92" s="13" t="str">
        <f t="shared" si="5"/>
        <v>Ok</v>
      </c>
    </row>
    <row r="93" spans="1:6" ht="25.95" customHeight="1" x14ac:dyDescent="0.3">
      <c r="A93" s="22">
        <v>45230</v>
      </c>
      <c r="B93" s="13" t="s">
        <v>7</v>
      </c>
      <c r="C93" s="13">
        <v>52</v>
      </c>
      <c r="D93" s="13">
        <f t="shared" si="3"/>
        <v>2023</v>
      </c>
      <c r="E93" s="13" t="str">
        <f t="shared" si="4"/>
        <v>Oct</v>
      </c>
      <c r="F93" s="13" t="str">
        <f t="shared" si="5"/>
        <v>Ok</v>
      </c>
    </row>
    <row r="94" spans="1:6" ht="25.95" customHeight="1" x14ac:dyDescent="0.3">
      <c r="A94" s="22">
        <v>45230</v>
      </c>
      <c r="B94" s="13" t="s">
        <v>6</v>
      </c>
      <c r="C94" s="13">
        <v>719</v>
      </c>
      <c r="D94" s="13">
        <f t="shared" si="3"/>
        <v>2023</v>
      </c>
      <c r="E94" s="13" t="str">
        <f t="shared" si="4"/>
        <v>Oct</v>
      </c>
      <c r="F94" s="13" t="str">
        <f t="shared" si="5"/>
        <v>Ok</v>
      </c>
    </row>
    <row r="95" spans="1:6" ht="25.95" customHeight="1" x14ac:dyDescent="0.3">
      <c r="A95" s="22">
        <v>45230</v>
      </c>
      <c r="B95" s="13" t="s">
        <v>5</v>
      </c>
      <c r="C95" s="13">
        <v>401</v>
      </c>
      <c r="D95" s="13">
        <f t="shared" si="3"/>
        <v>2023</v>
      </c>
      <c r="E95" s="13" t="str">
        <f t="shared" si="4"/>
        <v>Oct</v>
      </c>
      <c r="F95" s="13" t="str">
        <f t="shared" si="5"/>
        <v>Ok</v>
      </c>
    </row>
    <row r="96" spans="1:6" ht="25.95" customHeight="1" x14ac:dyDescent="0.3">
      <c r="A96" s="22">
        <v>45230</v>
      </c>
      <c r="B96" s="13" t="s">
        <v>4</v>
      </c>
      <c r="C96" s="13">
        <v>19080</v>
      </c>
      <c r="D96" s="13">
        <f t="shared" si="3"/>
        <v>2023</v>
      </c>
      <c r="E96" s="13" t="str">
        <f t="shared" si="4"/>
        <v>Oct</v>
      </c>
      <c r="F96" s="13" t="str">
        <f t="shared" si="5"/>
        <v>Ok</v>
      </c>
    </row>
    <row r="97" spans="1:6" ht="25.95" customHeight="1" x14ac:dyDescent="0.3">
      <c r="A97" s="22">
        <v>45230</v>
      </c>
      <c r="B97" s="13" t="s">
        <v>3</v>
      </c>
      <c r="C97" s="13">
        <v>3186</v>
      </c>
      <c r="D97" s="13">
        <f t="shared" si="3"/>
        <v>2023</v>
      </c>
      <c r="E97" s="13" t="str">
        <f t="shared" si="4"/>
        <v>Oct</v>
      </c>
      <c r="F97" s="13" t="str">
        <f t="shared" si="5"/>
        <v>Ok</v>
      </c>
    </row>
    <row r="98" spans="1:6" ht="25.95" customHeight="1" x14ac:dyDescent="0.3">
      <c r="A98" s="22">
        <v>45199</v>
      </c>
      <c r="B98" s="13" t="s">
        <v>8</v>
      </c>
      <c r="C98" s="13">
        <v>36.491</v>
      </c>
      <c r="D98" s="13">
        <f t="shared" si="3"/>
        <v>2023</v>
      </c>
      <c r="E98" s="13" t="str">
        <f t="shared" si="4"/>
        <v>Sep</v>
      </c>
      <c r="F98" s="13" t="str">
        <f t="shared" si="5"/>
        <v>Ok</v>
      </c>
    </row>
    <row r="99" spans="1:6" ht="25.95" customHeight="1" x14ac:dyDescent="0.3">
      <c r="A99" s="22">
        <v>45199</v>
      </c>
      <c r="B99" s="13" t="s">
        <v>7</v>
      </c>
      <c r="C99" s="13">
        <v>49</v>
      </c>
      <c r="D99" s="13">
        <f t="shared" si="3"/>
        <v>2023</v>
      </c>
      <c r="E99" s="13" t="str">
        <f t="shared" si="4"/>
        <v>Sep</v>
      </c>
      <c r="F99" s="13" t="str">
        <f t="shared" si="5"/>
        <v>Ok</v>
      </c>
    </row>
    <row r="100" spans="1:6" ht="25.95" customHeight="1" x14ac:dyDescent="0.3">
      <c r="A100" s="22">
        <v>45199</v>
      </c>
      <c r="B100" s="13" t="s">
        <v>6</v>
      </c>
      <c r="C100" s="13">
        <v>743</v>
      </c>
      <c r="D100" s="13">
        <f t="shared" si="3"/>
        <v>2023</v>
      </c>
      <c r="E100" s="13" t="str">
        <f t="shared" si="4"/>
        <v>Sep</v>
      </c>
      <c r="F100" s="13" t="str">
        <f t="shared" si="5"/>
        <v>Ok</v>
      </c>
    </row>
    <row r="101" spans="1:6" ht="25.95" customHeight="1" x14ac:dyDescent="0.3">
      <c r="A101" s="22">
        <v>45199</v>
      </c>
      <c r="B101" s="13" t="s">
        <v>5</v>
      </c>
      <c r="C101" s="13">
        <v>416</v>
      </c>
      <c r="D101" s="13">
        <f t="shared" si="3"/>
        <v>2023</v>
      </c>
      <c r="E101" s="13" t="str">
        <f t="shared" si="4"/>
        <v>Sep</v>
      </c>
      <c r="F101" s="13" t="str">
        <f t="shared" si="5"/>
        <v>Ok</v>
      </c>
    </row>
    <row r="102" spans="1:6" ht="25.95" customHeight="1" x14ac:dyDescent="0.3">
      <c r="A102" s="22">
        <v>45199</v>
      </c>
      <c r="B102" s="13" t="s">
        <v>4</v>
      </c>
      <c r="C102" s="13">
        <v>19638</v>
      </c>
      <c r="D102" s="13">
        <f t="shared" si="3"/>
        <v>2023</v>
      </c>
      <c r="E102" s="13" t="str">
        <f t="shared" si="4"/>
        <v>Sep</v>
      </c>
      <c r="F102" s="13" t="str">
        <f t="shared" si="5"/>
        <v>Ok</v>
      </c>
    </row>
    <row r="103" spans="1:6" ht="25.95" customHeight="1" x14ac:dyDescent="0.3">
      <c r="A103" s="22">
        <v>45199</v>
      </c>
      <c r="B103" s="13" t="s">
        <v>3</v>
      </c>
      <c r="C103" s="13">
        <v>3337</v>
      </c>
      <c r="D103" s="13">
        <f t="shared" si="3"/>
        <v>2023</v>
      </c>
      <c r="E103" s="13" t="str">
        <f t="shared" si="4"/>
        <v>Sep</v>
      </c>
      <c r="F103" s="13" t="str">
        <f t="shared" si="5"/>
        <v>Ok</v>
      </c>
    </row>
    <row r="104" spans="1:6" ht="25.95" customHeight="1" x14ac:dyDescent="0.3">
      <c r="A104" s="22">
        <v>45169</v>
      </c>
      <c r="B104" s="13" t="s">
        <v>8</v>
      </c>
      <c r="C104" s="13">
        <v>36.3752</v>
      </c>
      <c r="D104" s="13">
        <f t="shared" si="3"/>
        <v>2023</v>
      </c>
      <c r="E104" s="13" t="str">
        <f t="shared" si="4"/>
        <v>Aug</v>
      </c>
      <c r="F104" s="13" t="str">
        <f t="shared" si="5"/>
        <v>Ok</v>
      </c>
    </row>
    <row r="105" spans="1:6" ht="25.95" customHeight="1" x14ac:dyDescent="0.3">
      <c r="A105" s="22">
        <v>45169</v>
      </c>
      <c r="B105" s="13" t="s">
        <v>7</v>
      </c>
      <c r="C105" s="13">
        <v>50</v>
      </c>
      <c r="D105" s="13">
        <f t="shared" si="3"/>
        <v>2023</v>
      </c>
      <c r="E105" s="13" t="str">
        <f t="shared" si="4"/>
        <v>Aug</v>
      </c>
      <c r="F105" s="13" t="str">
        <f t="shared" si="5"/>
        <v>Ok</v>
      </c>
    </row>
    <row r="106" spans="1:6" ht="25.95" customHeight="1" x14ac:dyDescent="0.3">
      <c r="A106" s="22">
        <v>45169</v>
      </c>
      <c r="B106" s="13" t="s">
        <v>6</v>
      </c>
      <c r="C106" s="13">
        <v>765</v>
      </c>
      <c r="D106" s="13">
        <f t="shared" si="3"/>
        <v>2023</v>
      </c>
      <c r="E106" s="13" t="str">
        <f t="shared" si="4"/>
        <v>Aug</v>
      </c>
      <c r="F106" s="13" t="str">
        <f t="shared" si="5"/>
        <v>Ok</v>
      </c>
    </row>
    <row r="107" spans="1:6" ht="25.95" customHeight="1" x14ac:dyDescent="0.3">
      <c r="A107" s="22">
        <v>45169</v>
      </c>
      <c r="B107" s="13" t="s">
        <v>5</v>
      </c>
      <c r="C107" s="13">
        <v>412</v>
      </c>
      <c r="D107" s="13">
        <f t="shared" si="3"/>
        <v>2023</v>
      </c>
      <c r="E107" s="13" t="str">
        <f t="shared" si="4"/>
        <v>Aug</v>
      </c>
      <c r="F107" s="13" t="str">
        <f t="shared" si="5"/>
        <v>Ok</v>
      </c>
    </row>
    <row r="108" spans="1:6" ht="25.95" customHeight="1" x14ac:dyDescent="0.3">
      <c r="A108" s="22">
        <v>45169</v>
      </c>
      <c r="B108" s="13" t="s">
        <v>4</v>
      </c>
      <c r="C108" s="13">
        <v>19254</v>
      </c>
      <c r="D108" s="13">
        <f t="shared" si="3"/>
        <v>2023</v>
      </c>
      <c r="E108" s="13" t="str">
        <f t="shared" si="4"/>
        <v>Aug</v>
      </c>
      <c r="F108" s="13" t="str">
        <f t="shared" si="5"/>
        <v>Ok</v>
      </c>
    </row>
    <row r="109" spans="1:6" ht="25.95" customHeight="1" x14ac:dyDescent="0.3">
      <c r="A109" s="22">
        <v>45169</v>
      </c>
      <c r="B109" s="13" t="s">
        <v>3</v>
      </c>
      <c r="C109" s="13">
        <v>3175</v>
      </c>
      <c r="D109" s="13">
        <f t="shared" si="3"/>
        <v>2023</v>
      </c>
      <c r="E109" s="13" t="str">
        <f t="shared" si="4"/>
        <v>Aug</v>
      </c>
      <c r="F109" s="13" t="str">
        <f t="shared" si="5"/>
        <v>Ok</v>
      </c>
    </row>
    <row r="110" spans="1:6" ht="25.95" customHeight="1" x14ac:dyDescent="0.3">
      <c r="A110" s="22">
        <v>45138</v>
      </c>
      <c r="B110" s="13" t="s">
        <v>8</v>
      </c>
      <c r="C110" s="13">
        <v>36.1327</v>
      </c>
      <c r="D110" s="13">
        <f t="shared" si="3"/>
        <v>2023</v>
      </c>
      <c r="E110" s="13" t="str">
        <f t="shared" si="4"/>
        <v>Jul</v>
      </c>
      <c r="F110" s="13" t="str">
        <f t="shared" si="5"/>
        <v>Ok</v>
      </c>
    </row>
    <row r="111" spans="1:6" ht="25.95" customHeight="1" x14ac:dyDescent="0.3">
      <c r="A111" s="22">
        <v>45138</v>
      </c>
      <c r="B111" s="13" t="s">
        <v>7</v>
      </c>
      <c r="C111" s="13">
        <v>51</v>
      </c>
      <c r="D111" s="13">
        <f t="shared" si="3"/>
        <v>2023</v>
      </c>
      <c r="E111" s="13" t="str">
        <f t="shared" si="4"/>
        <v>Jul</v>
      </c>
      <c r="F111" s="13" t="str">
        <f t="shared" si="5"/>
        <v>Ok</v>
      </c>
    </row>
    <row r="112" spans="1:6" ht="25.95" customHeight="1" x14ac:dyDescent="0.3">
      <c r="A112" s="22">
        <v>45138</v>
      </c>
      <c r="B112" s="13" t="s">
        <v>6</v>
      </c>
      <c r="C112" s="13">
        <v>804</v>
      </c>
      <c r="D112" s="13">
        <f t="shared" si="3"/>
        <v>2023</v>
      </c>
      <c r="E112" s="13" t="str">
        <f t="shared" si="4"/>
        <v>Jul</v>
      </c>
      <c r="F112" s="13" t="str">
        <f t="shared" si="5"/>
        <v>Ok</v>
      </c>
    </row>
    <row r="113" spans="1:6" ht="25.95" customHeight="1" x14ac:dyDescent="0.3">
      <c r="A113" s="22">
        <v>45138</v>
      </c>
      <c r="B113" s="13" t="s">
        <v>5</v>
      </c>
      <c r="C113" s="13">
        <v>436</v>
      </c>
      <c r="D113" s="13">
        <f t="shared" si="3"/>
        <v>2023</v>
      </c>
      <c r="E113" s="13" t="str">
        <f t="shared" si="4"/>
        <v>Jul</v>
      </c>
      <c r="F113" s="13" t="str">
        <f t="shared" si="5"/>
        <v>Ok</v>
      </c>
    </row>
    <row r="114" spans="1:6" ht="25.95" customHeight="1" x14ac:dyDescent="0.3">
      <c r="A114" s="22">
        <v>45138</v>
      </c>
      <c r="B114" s="13" t="s">
        <v>4</v>
      </c>
      <c r="C114" s="13">
        <v>19754</v>
      </c>
      <c r="D114" s="13">
        <f t="shared" si="3"/>
        <v>2023</v>
      </c>
      <c r="E114" s="13" t="str">
        <f t="shared" si="4"/>
        <v>Jul</v>
      </c>
      <c r="F114" s="13" t="str">
        <f t="shared" si="5"/>
        <v>Ok</v>
      </c>
    </row>
    <row r="115" spans="1:6" ht="25.95" customHeight="1" x14ac:dyDescent="0.3">
      <c r="A115" s="22">
        <v>45138</v>
      </c>
      <c r="B115" s="13" t="s">
        <v>3</v>
      </c>
      <c r="C115" s="13">
        <v>3228</v>
      </c>
      <c r="D115" s="13">
        <f t="shared" si="3"/>
        <v>2023</v>
      </c>
      <c r="E115" s="13" t="str">
        <f t="shared" si="4"/>
        <v>Jul</v>
      </c>
      <c r="F115" s="13" t="str">
        <f t="shared" si="5"/>
        <v>Ok</v>
      </c>
    </row>
    <row r="116" spans="1:6" ht="25.95" customHeight="1" x14ac:dyDescent="0.3">
      <c r="A116" s="22">
        <v>45107</v>
      </c>
      <c r="B116" s="13" t="s">
        <v>8</v>
      </c>
      <c r="C116" s="13">
        <v>35.9726</v>
      </c>
      <c r="D116" s="13">
        <f t="shared" si="3"/>
        <v>2023</v>
      </c>
      <c r="E116" s="13" t="str">
        <f t="shared" si="4"/>
        <v>Jun</v>
      </c>
      <c r="F116" s="13" t="str">
        <f t="shared" si="5"/>
        <v>Ok</v>
      </c>
    </row>
    <row r="117" spans="1:6" ht="25.95" customHeight="1" x14ac:dyDescent="0.3">
      <c r="A117" s="22">
        <v>45107</v>
      </c>
      <c r="B117" s="13" t="s">
        <v>7</v>
      </c>
      <c r="C117" s="13">
        <v>49</v>
      </c>
      <c r="D117" s="13">
        <f t="shared" si="3"/>
        <v>2023</v>
      </c>
      <c r="E117" s="13" t="str">
        <f t="shared" si="4"/>
        <v>Jun</v>
      </c>
      <c r="F117" s="13" t="str">
        <f t="shared" si="5"/>
        <v>Ok</v>
      </c>
    </row>
    <row r="118" spans="1:6" ht="25.95" customHeight="1" x14ac:dyDescent="0.3">
      <c r="A118" s="22">
        <v>45107</v>
      </c>
      <c r="B118" s="13" t="s">
        <v>6</v>
      </c>
      <c r="C118" s="13">
        <v>828</v>
      </c>
      <c r="D118" s="13">
        <f t="shared" si="3"/>
        <v>2023</v>
      </c>
      <c r="E118" s="13" t="str">
        <f t="shared" si="4"/>
        <v>Jun</v>
      </c>
      <c r="F118" s="13" t="str">
        <f t="shared" si="5"/>
        <v>Ok</v>
      </c>
    </row>
    <row r="119" spans="1:6" ht="25.95" customHeight="1" x14ac:dyDescent="0.3">
      <c r="A119" s="22">
        <v>45107</v>
      </c>
      <c r="B119" s="13" t="s">
        <v>5</v>
      </c>
      <c r="C119" s="13">
        <v>423</v>
      </c>
      <c r="D119" s="13">
        <f t="shared" si="3"/>
        <v>2023</v>
      </c>
      <c r="E119" s="13" t="str">
        <f t="shared" si="4"/>
        <v>Jun</v>
      </c>
      <c r="F119" s="13" t="str">
        <f t="shared" si="5"/>
        <v>Ok</v>
      </c>
    </row>
    <row r="120" spans="1:6" ht="25.95" customHeight="1" x14ac:dyDescent="0.3">
      <c r="A120" s="22">
        <v>45107</v>
      </c>
      <c r="B120" s="13" t="s">
        <v>4</v>
      </c>
      <c r="C120" s="13">
        <v>19189</v>
      </c>
      <c r="D120" s="13">
        <f t="shared" si="3"/>
        <v>2023</v>
      </c>
      <c r="E120" s="13" t="str">
        <f t="shared" si="4"/>
        <v>Jun</v>
      </c>
      <c r="F120" s="13" t="str">
        <f t="shared" si="5"/>
        <v>Ok</v>
      </c>
    </row>
    <row r="121" spans="1:6" ht="25.95" customHeight="1" x14ac:dyDescent="0.3">
      <c r="A121" s="22">
        <v>45107</v>
      </c>
      <c r="B121" s="13" t="s">
        <v>3</v>
      </c>
      <c r="C121" s="13">
        <v>3092</v>
      </c>
      <c r="D121" s="13">
        <f t="shared" si="3"/>
        <v>2023</v>
      </c>
      <c r="E121" s="13" t="str">
        <f t="shared" si="4"/>
        <v>Jun</v>
      </c>
      <c r="F121" s="13" t="str">
        <f t="shared" si="5"/>
        <v>Ok</v>
      </c>
    </row>
    <row r="122" spans="1:6" ht="25.95" customHeight="1" x14ac:dyDescent="0.3">
      <c r="A122" s="22">
        <v>45077</v>
      </c>
      <c r="B122" s="13" t="s">
        <v>8</v>
      </c>
      <c r="C122" s="13">
        <v>35.902700000000003</v>
      </c>
      <c r="D122" s="13">
        <f t="shared" si="3"/>
        <v>2023</v>
      </c>
      <c r="E122" s="13" t="str">
        <f t="shared" si="4"/>
        <v>May</v>
      </c>
      <c r="F122" s="13" t="str">
        <f t="shared" si="5"/>
        <v>Ok</v>
      </c>
    </row>
    <row r="123" spans="1:6" ht="25.95" customHeight="1" x14ac:dyDescent="0.3">
      <c r="A123" s="22">
        <v>45077</v>
      </c>
      <c r="B123" s="13" t="s">
        <v>7</v>
      </c>
      <c r="C123" s="13">
        <v>51</v>
      </c>
      <c r="D123" s="13">
        <f t="shared" si="3"/>
        <v>2023</v>
      </c>
      <c r="E123" s="13" t="str">
        <f t="shared" si="4"/>
        <v>May</v>
      </c>
      <c r="F123" s="13" t="str">
        <f t="shared" si="5"/>
        <v>Ok</v>
      </c>
    </row>
    <row r="124" spans="1:6" ht="25.95" customHeight="1" x14ac:dyDescent="0.3">
      <c r="A124" s="22">
        <v>45077</v>
      </c>
      <c r="B124" s="13" t="s">
        <v>6</v>
      </c>
      <c r="C124" s="13">
        <v>775</v>
      </c>
      <c r="D124" s="13">
        <f t="shared" si="3"/>
        <v>2023</v>
      </c>
      <c r="E124" s="13" t="str">
        <f t="shared" si="4"/>
        <v>May</v>
      </c>
      <c r="F124" s="13" t="str">
        <f t="shared" si="5"/>
        <v>Ok</v>
      </c>
    </row>
    <row r="125" spans="1:6" ht="25.95" customHeight="1" x14ac:dyDescent="0.3">
      <c r="A125" s="22">
        <v>45077</v>
      </c>
      <c r="B125" s="13" t="s">
        <v>5</v>
      </c>
      <c r="C125" s="13">
        <v>408</v>
      </c>
      <c r="D125" s="13">
        <f t="shared" si="3"/>
        <v>2023</v>
      </c>
      <c r="E125" s="13" t="str">
        <f t="shared" si="4"/>
        <v>May</v>
      </c>
      <c r="F125" s="13" t="str">
        <f t="shared" si="5"/>
        <v>Ok</v>
      </c>
    </row>
    <row r="126" spans="1:6" ht="25.95" customHeight="1" x14ac:dyDescent="0.3">
      <c r="A126" s="22">
        <v>45077</v>
      </c>
      <c r="B126" s="13" t="s">
        <v>4</v>
      </c>
      <c r="C126" s="13">
        <v>18534</v>
      </c>
      <c r="D126" s="13">
        <f t="shared" si="3"/>
        <v>2023</v>
      </c>
      <c r="E126" s="13" t="str">
        <f t="shared" si="4"/>
        <v>May</v>
      </c>
      <c r="F126" s="13" t="str">
        <f t="shared" si="5"/>
        <v>Ok</v>
      </c>
    </row>
    <row r="127" spans="1:6" ht="25.95" customHeight="1" x14ac:dyDescent="0.3">
      <c r="A127" s="22">
        <v>45077</v>
      </c>
      <c r="B127" s="13" t="s">
        <v>3</v>
      </c>
      <c r="C127" s="13">
        <v>3080</v>
      </c>
      <c r="D127" s="13">
        <f t="shared" si="3"/>
        <v>2023</v>
      </c>
      <c r="E127" s="13" t="str">
        <f t="shared" si="4"/>
        <v>May</v>
      </c>
      <c r="F127" s="13" t="str">
        <f t="shared" si="5"/>
        <v>Ok</v>
      </c>
    </row>
    <row r="128" spans="1:6" ht="25.95" customHeight="1" x14ac:dyDescent="0.3">
      <c r="A128" s="22">
        <v>45046</v>
      </c>
      <c r="B128" s="13" t="s">
        <v>8</v>
      </c>
      <c r="C128" s="13">
        <v>35.493899999999996</v>
      </c>
      <c r="D128" s="13">
        <f t="shared" si="3"/>
        <v>2023</v>
      </c>
      <c r="E128" s="13" t="str">
        <f t="shared" si="4"/>
        <v>Apr</v>
      </c>
      <c r="F128" s="13" t="str">
        <f t="shared" si="5"/>
        <v>Ok</v>
      </c>
    </row>
    <row r="129" spans="1:6" ht="25.95" customHeight="1" x14ac:dyDescent="0.3">
      <c r="A129" s="22">
        <v>45046</v>
      </c>
      <c r="B129" s="13" t="s">
        <v>7</v>
      </c>
      <c r="C129" s="13">
        <v>51</v>
      </c>
      <c r="D129" s="13">
        <f t="shared" si="3"/>
        <v>2023</v>
      </c>
      <c r="E129" s="13" t="str">
        <f t="shared" si="4"/>
        <v>Apr</v>
      </c>
      <c r="F129" s="13" t="str">
        <f t="shared" si="5"/>
        <v>Ok</v>
      </c>
    </row>
    <row r="130" spans="1:6" ht="25.95" customHeight="1" x14ac:dyDescent="0.3">
      <c r="A130" s="22">
        <v>45046</v>
      </c>
      <c r="B130" s="13" t="s">
        <v>6</v>
      </c>
      <c r="C130" s="13">
        <v>812</v>
      </c>
      <c r="D130" s="13">
        <f t="shared" si="3"/>
        <v>2023</v>
      </c>
      <c r="E130" s="13" t="str">
        <f t="shared" si="4"/>
        <v>Apr</v>
      </c>
      <c r="F130" s="13" t="str">
        <f t="shared" si="5"/>
        <v>Ok</v>
      </c>
    </row>
    <row r="131" spans="1:6" ht="25.95" customHeight="1" x14ac:dyDescent="0.3">
      <c r="A131" s="22">
        <v>45046</v>
      </c>
      <c r="B131" s="13" t="s">
        <v>5</v>
      </c>
      <c r="C131" s="13">
        <v>390</v>
      </c>
      <c r="D131" s="13">
        <f t="shared" si="3"/>
        <v>2023</v>
      </c>
      <c r="E131" s="13" t="str">
        <f t="shared" si="4"/>
        <v>Apr</v>
      </c>
      <c r="F131" s="13" t="str">
        <f t="shared" si="5"/>
        <v>Ok</v>
      </c>
    </row>
    <row r="132" spans="1:6" ht="25.95" customHeight="1" x14ac:dyDescent="0.3">
      <c r="A132" s="22">
        <v>45046</v>
      </c>
      <c r="B132" s="13" t="s">
        <v>4</v>
      </c>
      <c r="C132" s="13">
        <v>18065</v>
      </c>
      <c r="D132" s="13">
        <f t="shared" si="3"/>
        <v>2023</v>
      </c>
      <c r="E132" s="13" t="str">
        <f t="shared" si="4"/>
        <v>Apr</v>
      </c>
      <c r="F132" s="13" t="str">
        <f t="shared" si="5"/>
        <v>Ok</v>
      </c>
    </row>
    <row r="133" spans="1:6" ht="25.95" customHeight="1" x14ac:dyDescent="0.3">
      <c r="A133" s="22">
        <v>45046</v>
      </c>
      <c r="B133" s="13" t="s">
        <v>3</v>
      </c>
      <c r="C133" s="13">
        <v>3014</v>
      </c>
      <c r="D133" s="13">
        <f t="shared" si="3"/>
        <v>2023</v>
      </c>
      <c r="E133" s="13" t="str">
        <f t="shared" si="4"/>
        <v>Apr</v>
      </c>
      <c r="F133" s="13" t="str">
        <f t="shared" si="5"/>
        <v>Ok</v>
      </c>
    </row>
    <row r="134" spans="1:6" ht="25.95" customHeight="1" x14ac:dyDescent="0.3">
      <c r="A134" s="22">
        <v>45016</v>
      </c>
      <c r="B134" s="13" t="s">
        <v>8</v>
      </c>
      <c r="C134" s="13">
        <v>35.0349</v>
      </c>
      <c r="D134" s="13">
        <f t="shared" si="3"/>
        <v>2023</v>
      </c>
      <c r="E134" s="13" t="str">
        <f t="shared" si="4"/>
        <v>Mar</v>
      </c>
      <c r="F134" s="13" t="str">
        <f t="shared" si="5"/>
        <v>Ok</v>
      </c>
    </row>
    <row r="135" spans="1:6" ht="25.95" customHeight="1" x14ac:dyDescent="0.3">
      <c r="A135" s="22">
        <v>45016</v>
      </c>
      <c r="B135" s="13" t="s">
        <v>7</v>
      </c>
      <c r="C135" s="13">
        <v>51</v>
      </c>
      <c r="D135" s="13">
        <f t="shared" si="3"/>
        <v>2023</v>
      </c>
      <c r="E135" s="13" t="str">
        <f t="shared" si="4"/>
        <v>Mar</v>
      </c>
      <c r="F135" s="13" t="str">
        <f t="shared" si="5"/>
        <v>Ok</v>
      </c>
    </row>
    <row r="136" spans="1:6" ht="25.95" customHeight="1" x14ac:dyDescent="0.3">
      <c r="A136" s="22">
        <v>45016</v>
      </c>
      <c r="B136" s="13" t="s">
        <v>6</v>
      </c>
      <c r="C136" s="13">
        <v>774</v>
      </c>
      <c r="D136" s="13">
        <f t="shared" ref="D136:D199" si="6">YEAR(A136)</f>
        <v>2023</v>
      </c>
      <c r="E136" s="13" t="str">
        <f t="shared" ref="E136:E199" si="7">TEXT(A136,"mmm")</f>
        <v>Mar</v>
      </c>
      <c r="F136" s="13" t="str">
        <f t="shared" ref="F136:F199" si="8">IF(C136&lt;=0,"Error","Ok")</f>
        <v>Ok</v>
      </c>
    </row>
    <row r="137" spans="1:6" ht="25.95" customHeight="1" x14ac:dyDescent="0.3">
      <c r="A137" s="22">
        <v>45016</v>
      </c>
      <c r="B137" s="13" t="s">
        <v>5</v>
      </c>
      <c r="C137" s="13">
        <v>351</v>
      </c>
      <c r="D137" s="13">
        <f t="shared" si="6"/>
        <v>2023</v>
      </c>
      <c r="E137" s="13" t="str">
        <f t="shared" si="7"/>
        <v>Mar</v>
      </c>
      <c r="F137" s="13" t="str">
        <f t="shared" si="8"/>
        <v>Ok</v>
      </c>
    </row>
    <row r="138" spans="1:6" ht="25.95" customHeight="1" x14ac:dyDescent="0.3">
      <c r="A138" s="22">
        <v>45016</v>
      </c>
      <c r="B138" s="13" t="s">
        <v>4</v>
      </c>
      <c r="C138" s="13">
        <v>17360</v>
      </c>
      <c r="D138" s="13">
        <f t="shared" si="6"/>
        <v>2023</v>
      </c>
      <c r="E138" s="13" t="str">
        <f t="shared" si="7"/>
        <v>Mar</v>
      </c>
      <c r="F138" s="13" t="str">
        <f t="shared" si="8"/>
        <v>Ok</v>
      </c>
    </row>
    <row r="139" spans="1:6" ht="25.95" customHeight="1" x14ac:dyDescent="0.3">
      <c r="A139" s="22">
        <v>45016</v>
      </c>
      <c r="B139" s="13" t="s">
        <v>3</v>
      </c>
      <c r="C139" s="13">
        <v>3002</v>
      </c>
      <c r="D139" s="13">
        <f t="shared" si="6"/>
        <v>2023</v>
      </c>
      <c r="E139" s="13" t="str">
        <f t="shared" si="7"/>
        <v>Mar</v>
      </c>
      <c r="F139" s="13" t="str">
        <f t="shared" si="8"/>
        <v>Ok</v>
      </c>
    </row>
    <row r="140" spans="1:6" ht="25.95" customHeight="1" x14ac:dyDescent="0.3">
      <c r="A140" s="22">
        <v>44985</v>
      </c>
      <c r="B140" s="13" t="s">
        <v>8</v>
      </c>
      <c r="C140" s="13">
        <v>34.685400000000001</v>
      </c>
      <c r="D140" s="13">
        <f t="shared" si="6"/>
        <v>2023</v>
      </c>
      <c r="E140" s="13" t="str">
        <f t="shared" si="7"/>
        <v>Feb</v>
      </c>
      <c r="F140" s="13" t="str">
        <f t="shared" si="8"/>
        <v>Ok</v>
      </c>
    </row>
    <row r="141" spans="1:6" ht="25.95" customHeight="1" x14ac:dyDescent="0.3">
      <c r="A141" s="22">
        <v>44985</v>
      </c>
      <c r="B141" s="13" t="s">
        <v>7</v>
      </c>
      <c r="C141" s="13">
        <v>47</v>
      </c>
      <c r="D141" s="13">
        <f t="shared" si="6"/>
        <v>2023</v>
      </c>
      <c r="E141" s="13" t="str">
        <f t="shared" si="7"/>
        <v>Feb</v>
      </c>
      <c r="F141" s="13" t="str">
        <f t="shared" si="8"/>
        <v>Ok</v>
      </c>
    </row>
    <row r="142" spans="1:6" ht="25.95" customHeight="1" x14ac:dyDescent="0.3">
      <c r="A142" s="22">
        <v>44985</v>
      </c>
      <c r="B142" s="13" t="s">
        <v>6</v>
      </c>
      <c r="C142" s="13">
        <v>770</v>
      </c>
      <c r="D142" s="13">
        <f t="shared" si="6"/>
        <v>2023</v>
      </c>
      <c r="E142" s="13" t="str">
        <f t="shared" si="7"/>
        <v>Feb</v>
      </c>
      <c r="F142" s="13" t="str">
        <f t="shared" si="8"/>
        <v>Ok</v>
      </c>
    </row>
    <row r="143" spans="1:6" ht="25.95" customHeight="1" x14ac:dyDescent="0.3">
      <c r="A143" s="22">
        <v>44985</v>
      </c>
      <c r="B143" s="13" t="s">
        <v>5</v>
      </c>
      <c r="C143" s="13">
        <v>340</v>
      </c>
      <c r="D143" s="13">
        <f t="shared" si="6"/>
        <v>2023</v>
      </c>
      <c r="E143" s="13" t="str">
        <f t="shared" si="7"/>
        <v>Feb</v>
      </c>
      <c r="F143" s="13" t="str">
        <f t="shared" si="8"/>
        <v>Ok</v>
      </c>
    </row>
    <row r="144" spans="1:6" ht="25.95" customHeight="1" x14ac:dyDescent="0.3">
      <c r="A144" s="22">
        <v>44985</v>
      </c>
      <c r="B144" s="13" t="s">
        <v>4</v>
      </c>
      <c r="C144" s="13">
        <v>17304</v>
      </c>
      <c r="D144" s="13">
        <f t="shared" si="6"/>
        <v>2023</v>
      </c>
      <c r="E144" s="13" t="str">
        <f t="shared" si="7"/>
        <v>Feb</v>
      </c>
      <c r="F144" s="13" t="str">
        <f t="shared" si="8"/>
        <v>Ok</v>
      </c>
    </row>
    <row r="145" spans="1:6" ht="25.95" customHeight="1" x14ac:dyDescent="0.3">
      <c r="A145" s="22">
        <v>44985</v>
      </c>
      <c r="B145" s="13" t="s">
        <v>3</v>
      </c>
      <c r="C145" s="13">
        <v>3102</v>
      </c>
      <c r="D145" s="13">
        <f t="shared" si="6"/>
        <v>2023</v>
      </c>
      <c r="E145" s="13" t="str">
        <f t="shared" si="7"/>
        <v>Feb</v>
      </c>
      <c r="F145" s="13" t="str">
        <f t="shared" si="8"/>
        <v>Ok</v>
      </c>
    </row>
    <row r="146" spans="1:6" ht="25.95" customHeight="1" x14ac:dyDescent="0.3">
      <c r="A146" s="22">
        <v>44957</v>
      </c>
      <c r="B146" s="13" t="s">
        <v>8</v>
      </c>
      <c r="C146" s="13">
        <v>34.595599999999997</v>
      </c>
      <c r="D146" s="13">
        <f t="shared" si="6"/>
        <v>2023</v>
      </c>
      <c r="E146" s="13" t="str">
        <f t="shared" si="7"/>
        <v>Jan</v>
      </c>
      <c r="F146" s="13" t="str">
        <f t="shared" si="8"/>
        <v>Ok</v>
      </c>
    </row>
    <row r="147" spans="1:6" ht="25.95" customHeight="1" x14ac:dyDescent="0.3">
      <c r="A147" s="22">
        <v>44957</v>
      </c>
      <c r="B147" s="13" t="s">
        <v>7</v>
      </c>
      <c r="C147" s="13">
        <v>49</v>
      </c>
      <c r="D147" s="13">
        <f t="shared" si="6"/>
        <v>2023</v>
      </c>
      <c r="E147" s="13" t="str">
        <f t="shared" si="7"/>
        <v>Jan</v>
      </c>
      <c r="F147" s="13" t="str">
        <f t="shared" si="8"/>
        <v>Ok</v>
      </c>
    </row>
    <row r="148" spans="1:6" ht="25.95" customHeight="1" x14ac:dyDescent="0.3">
      <c r="A148" s="22">
        <v>44957</v>
      </c>
      <c r="B148" s="13" t="s">
        <v>6</v>
      </c>
      <c r="C148" s="13">
        <v>772</v>
      </c>
      <c r="D148" s="13">
        <f t="shared" si="6"/>
        <v>2023</v>
      </c>
      <c r="E148" s="13" t="str">
        <f t="shared" si="7"/>
        <v>Jan</v>
      </c>
      <c r="F148" s="13" t="str">
        <f t="shared" si="8"/>
        <v>Ok</v>
      </c>
    </row>
    <row r="149" spans="1:6" ht="25.95" customHeight="1" x14ac:dyDescent="0.3">
      <c r="A149" s="22">
        <v>44957</v>
      </c>
      <c r="B149" s="13" t="s">
        <v>5</v>
      </c>
      <c r="C149" s="13">
        <v>318</v>
      </c>
      <c r="D149" s="13">
        <f t="shared" si="6"/>
        <v>2023</v>
      </c>
      <c r="E149" s="13" t="str">
        <f t="shared" si="7"/>
        <v>Jan</v>
      </c>
      <c r="F149" s="13" t="str">
        <f t="shared" si="8"/>
        <v>Ok</v>
      </c>
    </row>
    <row r="150" spans="1:6" ht="25.95" customHeight="1" x14ac:dyDescent="0.3">
      <c r="A150" s="22">
        <v>44957</v>
      </c>
      <c r="B150" s="13" t="s">
        <v>4</v>
      </c>
      <c r="C150" s="13">
        <v>17662</v>
      </c>
      <c r="D150" s="13">
        <f t="shared" si="6"/>
        <v>2023</v>
      </c>
      <c r="E150" s="13" t="str">
        <f t="shared" si="7"/>
        <v>Jan</v>
      </c>
      <c r="F150" s="13" t="str">
        <f t="shared" si="8"/>
        <v>Ok</v>
      </c>
    </row>
    <row r="151" spans="1:6" ht="25.95" customHeight="1" x14ac:dyDescent="0.3">
      <c r="A151" s="22">
        <v>44957</v>
      </c>
      <c r="B151" s="13" t="s">
        <v>3</v>
      </c>
      <c r="C151" s="13">
        <v>3075</v>
      </c>
      <c r="D151" s="13">
        <f t="shared" si="6"/>
        <v>2023</v>
      </c>
      <c r="E151" s="13" t="str">
        <f t="shared" si="7"/>
        <v>Jan</v>
      </c>
      <c r="F151" s="13" t="str">
        <f t="shared" si="8"/>
        <v>Ok</v>
      </c>
    </row>
    <row r="152" spans="1:6" ht="25.95" customHeight="1" x14ac:dyDescent="0.3">
      <c r="A152" s="22">
        <v>44926</v>
      </c>
      <c r="B152" s="13" t="s">
        <v>8</v>
      </c>
      <c r="C152" s="13">
        <v>34.459099999999999</v>
      </c>
      <c r="D152" s="13">
        <f t="shared" si="6"/>
        <v>2022</v>
      </c>
      <c r="E152" s="13" t="str">
        <f t="shared" si="7"/>
        <v>Dec</v>
      </c>
      <c r="F152" s="13" t="str">
        <f t="shared" si="8"/>
        <v>Ok</v>
      </c>
    </row>
    <row r="153" spans="1:6" ht="25.95" customHeight="1" x14ac:dyDescent="0.3">
      <c r="A153" s="22">
        <v>44926</v>
      </c>
      <c r="B153" s="13" t="s">
        <v>7</v>
      </c>
      <c r="C153" s="13">
        <v>47</v>
      </c>
      <c r="D153" s="13">
        <f t="shared" si="6"/>
        <v>2022</v>
      </c>
      <c r="E153" s="13" t="str">
        <f t="shared" si="7"/>
        <v>Dec</v>
      </c>
      <c r="F153" s="13" t="str">
        <f t="shared" si="8"/>
        <v>Ok</v>
      </c>
    </row>
    <row r="154" spans="1:6" ht="25.95" customHeight="1" x14ac:dyDescent="0.3">
      <c r="A154" s="22">
        <v>44926</v>
      </c>
      <c r="B154" s="13" t="s">
        <v>6</v>
      </c>
      <c r="C154" s="13">
        <v>783</v>
      </c>
      <c r="D154" s="13">
        <f t="shared" si="6"/>
        <v>2022</v>
      </c>
      <c r="E154" s="13" t="str">
        <f t="shared" si="7"/>
        <v>Dec</v>
      </c>
      <c r="F154" s="13" t="str">
        <f t="shared" si="8"/>
        <v>Ok</v>
      </c>
    </row>
    <row r="155" spans="1:6" ht="25.95" customHeight="1" x14ac:dyDescent="0.3">
      <c r="A155" s="22">
        <v>44926</v>
      </c>
      <c r="B155" s="13" t="s">
        <v>5</v>
      </c>
      <c r="C155" s="13">
        <v>299</v>
      </c>
      <c r="D155" s="13">
        <f t="shared" si="6"/>
        <v>2022</v>
      </c>
      <c r="E155" s="13" t="str">
        <f t="shared" si="7"/>
        <v>Dec</v>
      </c>
      <c r="F155" s="13" t="str">
        <f t="shared" si="8"/>
        <v>Ok</v>
      </c>
    </row>
    <row r="156" spans="1:6" ht="25.95" customHeight="1" x14ac:dyDescent="0.3">
      <c r="A156" s="22">
        <v>44926</v>
      </c>
      <c r="B156" s="13" t="s">
        <v>4</v>
      </c>
      <c r="C156" s="13">
        <v>18105</v>
      </c>
      <c r="D156" s="13">
        <f t="shared" si="6"/>
        <v>2022</v>
      </c>
      <c r="E156" s="13" t="str">
        <f t="shared" si="7"/>
        <v>Dec</v>
      </c>
      <c r="F156" s="13" t="str">
        <f t="shared" si="8"/>
        <v>Ok</v>
      </c>
    </row>
    <row r="157" spans="1:6" ht="25.95" customHeight="1" x14ac:dyDescent="0.3">
      <c r="A157" s="22">
        <v>44926</v>
      </c>
      <c r="B157" s="13" t="s">
        <v>3</v>
      </c>
      <c r="C157" s="13">
        <v>2982</v>
      </c>
      <c r="D157" s="13">
        <f t="shared" si="6"/>
        <v>2022</v>
      </c>
      <c r="E157" s="13" t="str">
        <f t="shared" si="7"/>
        <v>Dec</v>
      </c>
      <c r="F157" s="13" t="str">
        <f t="shared" si="8"/>
        <v>Ok</v>
      </c>
    </row>
    <row r="158" spans="1:6" ht="25.95" customHeight="1" x14ac:dyDescent="0.3">
      <c r="A158" s="22">
        <v>44895</v>
      </c>
      <c r="B158" s="13" t="s">
        <v>8</v>
      </c>
      <c r="C158" s="13">
        <v>34.350200000000001</v>
      </c>
      <c r="D158" s="13">
        <f t="shared" si="6"/>
        <v>2022</v>
      </c>
      <c r="E158" s="13" t="str">
        <f t="shared" si="7"/>
        <v>Nov</v>
      </c>
      <c r="F158" s="13" t="str">
        <f t="shared" si="8"/>
        <v>Ok</v>
      </c>
    </row>
    <row r="159" spans="1:6" ht="25.95" customHeight="1" x14ac:dyDescent="0.3">
      <c r="A159" s="22">
        <v>44895</v>
      </c>
      <c r="B159" s="13" t="s">
        <v>7</v>
      </c>
      <c r="C159" s="13">
        <v>45</v>
      </c>
      <c r="D159" s="13">
        <f t="shared" si="6"/>
        <v>2022</v>
      </c>
      <c r="E159" s="13" t="str">
        <f t="shared" si="7"/>
        <v>Nov</v>
      </c>
      <c r="F159" s="13" t="str">
        <f t="shared" si="8"/>
        <v>Ok</v>
      </c>
    </row>
    <row r="160" spans="1:6" ht="25.95" customHeight="1" x14ac:dyDescent="0.3">
      <c r="A160" s="22">
        <v>44895</v>
      </c>
      <c r="B160" s="13" t="s">
        <v>6</v>
      </c>
      <c r="C160" s="13">
        <v>774</v>
      </c>
      <c r="D160" s="13">
        <f t="shared" si="6"/>
        <v>2022</v>
      </c>
      <c r="E160" s="13" t="str">
        <f t="shared" si="7"/>
        <v>Nov</v>
      </c>
      <c r="F160" s="13" t="str">
        <f t="shared" si="8"/>
        <v>Ok</v>
      </c>
    </row>
    <row r="161" spans="1:6" ht="25.95" customHeight="1" x14ac:dyDescent="0.3">
      <c r="A161" s="22">
        <v>44895</v>
      </c>
      <c r="B161" s="13" t="s">
        <v>5</v>
      </c>
      <c r="C161" s="13">
        <v>307</v>
      </c>
      <c r="D161" s="13">
        <f t="shared" si="6"/>
        <v>2022</v>
      </c>
      <c r="E161" s="13" t="str">
        <f t="shared" si="7"/>
        <v>Nov</v>
      </c>
      <c r="F161" s="13" t="str">
        <f t="shared" si="8"/>
        <v>Ok</v>
      </c>
    </row>
    <row r="162" spans="1:6" ht="25.95" customHeight="1" x14ac:dyDescent="0.3">
      <c r="A162" s="22">
        <v>44895</v>
      </c>
      <c r="B162" s="13" t="s">
        <v>4</v>
      </c>
      <c r="C162" s="13">
        <v>18758</v>
      </c>
      <c r="D162" s="13">
        <f t="shared" si="6"/>
        <v>2022</v>
      </c>
      <c r="E162" s="13" t="str">
        <f t="shared" si="7"/>
        <v>Nov</v>
      </c>
      <c r="F162" s="13" t="str">
        <f t="shared" si="8"/>
        <v>Ok</v>
      </c>
    </row>
    <row r="163" spans="1:6" ht="25.95" customHeight="1" x14ac:dyDescent="0.3">
      <c r="A163" s="22">
        <v>44895</v>
      </c>
      <c r="B163" s="13" t="s">
        <v>3</v>
      </c>
      <c r="C163" s="13">
        <v>3105</v>
      </c>
      <c r="D163" s="13">
        <f t="shared" si="6"/>
        <v>2022</v>
      </c>
      <c r="E163" s="13" t="str">
        <f t="shared" si="7"/>
        <v>Nov</v>
      </c>
      <c r="F163" s="13" t="str">
        <f t="shared" si="8"/>
        <v>Ok</v>
      </c>
    </row>
    <row r="164" spans="1:6" ht="25.95" customHeight="1" x14ac:dyDescent="0.3">
      <c r="A164" s="22">
        <v>44865</v>
      </c>
      <c r="B164" s="13" t="s">
        <v>8</v>
      </c>
      <c r="C164" s="13">
        <v>33.970500000000001</v>
      </c>
      <c r="D164" s="13">
        <f t="shared" si="6"/>
        <v>2022</v>
      </c>
      <c r="E164" s="13" t="str">
        <f t="shared" si="7"/>
        <v>Oct</v>
      </c>
      <c r="F164" s="13" t="str">
        <f t="shared" si="8"/>
        <v>Ok</v>
      </c>
    </row>
    <row r="165" spans="1:6" ht="25.95" customHeight="1" x14ac:dyDescent="0.3">
      <c r="A165" s="22">
        <v>44865</v>
      </c>
      <c r="B165" s="13" t="s">
        <v>7</v>
      </c>
      <c r="C165" s="13">
        <v>43</v>
      </c>
      <c r="D165" s="13">
        <f t="shared" si="6"/>
        <v>2022</v>
      </c>
      <c r="E165" s="13" t="str">
        <f t="shared" si="7"/>
        <v>Oct</v>
      </c>
      <c r="F165" s="13" t="str">
        <f t="shared" si="8"/>
        <v>Ok</v>
      </c>
    </row>
    <row r="166" spans="1:6" ht="25.95" customHeight="1" x14ac:dyDescent="0.3">
      <c r="A166" s="22">
        <v>44865</v>
      </c>
      <c r="B166" s="13" t="s">
        <v>6</v>
      </c>
      <c r="C166" s="13">
        <v>720</v>
      </c>
      <c r="D166" s="13">
        <f t="shared" si="6"/>
        <v>2022</v>
      </c>
      <c r="E166" s="13" t="str">
        <f t="shared" si="7"/>
        <v>Oct</v>
      </c>
      <c r="F166" s="13" t="str">
        <f t="shared" si="8"/>
        <v>Ok</v>
      </c>
    </row>
    <row r="167" spans="1:6" ht="25.95" customHeight="1" x14ac:dyDescent="0.3">
      <c r="A167" s="22">
        <v>44865</v>
      </c>
      <c r="B167" s="13" t="s">
        <v>5</v>
      </c>
      <c r="C167" s="13">
        <v>315</v>
      </c>
      <c r="D167" s="13">
        <f t="shared" si="6"/>
        <v>2022</v>
      </c>
      <c r="E167" s="13" t="str">
        <f t="shared" si="7"/>
        <v>Oct</v>
      </c>
      <c r="F167" s="13" t="str">
        <f t="shared" si="8"/>
        <v>Ok</v>
      </c>
    </row>
    <row r="168" spans="1:6" ht="25.95" customHeight="1" x14ac:dyDescent="0.3">
      <c r="A168" s="22">
        <v>44865</v>
      </c>
      <c r="B168" s="13" t="s">
        <v>4</v>
      </c>
      <c r="C168" s="13">
        <v>18012</v>
      </c>
      <c r="D168" s="13">
        <f t="shared" si="6"/>
        <v>2022</v>
      </c>
      <c r="E168" s="13" t="str">
        <f t="shared" si="7"/>
        <v>Oct</v>
      </c>
      <c r="F168" s="13" t="str">
        <f t="shared" si="8"/>
        <v>Ok</v>
      </c>
    </row>
    <row r="169" spans="1:6" ht="25.95" customHeight="1" x14ac:dyDescent="0.3">
      <c r="A169" s="22">
        <v>44865</v>
      </c>
      <c r="B169" s="13" t="s">
        <v>3</v>
      </c>
      <c r="C169" s="13">
        <v>2916</v>
      </c>
      <c r="D169" s="13">
        <f t="shared" si="6"/>
        <v>2022</v>
      </c>
      <c r="E169" s="13" t="str">
        <f t="shared" si="7"/>
        <v>Oct</v>
      </c>
      <c r="F169" s="13" t="str">
        <f t="shared" si="8"/>
        <v>Ok</v>
      </c>
    </row>
    <row r="170" spans="1:6" ht="25.95" customHeight="1" x14ac:dyDescent="0.3">
      <c r="A170" s="22">
        <v>44834</v>
      </c>
      <c r="B170" s="13" t="s">
        <v>8</v>
      </c>
      <c r="C170" s="13">
        <v>33.8553</v>
      </c>
      <c r="D170" s="13">
        <f t="shared" si="6"/>
        <v>2022</v>
      </c>
      <c r="E170" s="13" t="str">
        <f t="shared" si="7"/>
        <v>Sep</v>
      </c>
      <c r="F170" s="13" t="str">
        <f t="shared" si="8"/>
        <v>Ok</v>
      </c>
    </row>
    <row r="171" spans="1:6" ht="25.95" customHeight="1" x14ac:dyDescent="0.3">
      <c r="A171" s="22">
        <v>44834</v>
      </c>
      <c r="B171" s="13" t="s">
        <v>7</v>
      </c>
      <c r="C171" s="13">
        <v>43</v>
      </c>
      <c r="D171" s="13">
        <f t="shared" si="6"/>
        <v>2022</v>
      </c>
      <c r="E171" s="13" t="str">
        <f t="shared" si="7"/>
        <v>Sep</v>
      </c>
      <c r="F171" s="13" t="str">
        <f t="shared" si="8"/>
        <v>Ok</v>
      </c>
    </row>
    <row r="172" spans="1:6" ht="25.95" customHeight="1" x14ac:dyDescent="0.3">
      <c r="A172" s="22">
        <v>44834</v>
      </c>
      <c r="B172" s="13" t="s">
        <v>6</v>
      </c>
      <c r="C172" s="13">
        <v>684</v>
      </c>
      <c r="D172" s="13">
        <f t="shared" si="6"/>
        <v>2022</v>
      </c>
      <c r="E172" s="13" t="str">
        <f t="shared" si="7"/>
        <v>Sep</v>
      </c>
      <c r="F172" s="13" t="str">
        <f t="shared" si="8"/>
        <v>Ok</v>
      </c>
    </row>
    <row r="173" spans="1:6" ht="25.95" customHeight="1" x14ac:dyDescent="0.3">
      <c r="A173" s="22">
        <v>44834</v>
      </c>
      <c r="B173" s="13" t="s">
        <v>5</v>
      </c>
      <c r="C173" s="13">
        <v>300</v>
      </c>
      <c r="D173" s="13">
        <f t="shared" si="6"/>
        <v>2022</v>
      </c>
      <c r="E173" s="13" t="str">
        <f t="shared" si="7"/>
        <v>Sep</v>
      </c>
      <c r="F173" s="13" t="str">
        <f t="shared" si="8"/>
        <v>Ok</v>
      </c>
    </row>
    <row r="174" spans="1:6" ht="25.95" customHeight="1" x14ac:dyDescent="0.3">
      <c r="A174" s="22">
        <v>44834</v>
      </c>
      <c r="B174" s="13" t="s">
        <v>4</v>
      </c>
      <c r="C174" s="13">
        <v>17094</v>
      </c>
      <c r="D174" s="13">
        <f t="shared" si="6"/>
        <v>2022</v>
      </c>
      <c r="E174" s="13" t="str">
        <f t="shared" si="7"/>
        <v>Sep</v>
      </c>
      <c r="F174" s="13" t="str">
        <f t="shared" si="8"/>
        <v>Ok</v>
      </c>
    </row>
    <row r="175" spans="1:6" ht="25.95" customHeight="1" x14ac:dyDescent="0.3">
      <c r="A175" s="22">
        <v>44834</v>
      </c>
      <c r="B175" s="13" t="s">
        <v>3</v>
      </c>
      <c r="C175" s="13">
        <v>2744</v>
      </c>
      <c r="D175" s="13">
        <f t="shared" si="6"/>
        <v>2022</v>
      </c>
      <c r="E175" s="13" t="str">
        <f t="shared" si="7"/>
        <v>Sep</v>
      </c>
      <c r="F175" s="13" t="str">
        <f t="shared" si="8"/>
        <v>Ok</v>
      </c>
    </row>
    <row r="176" spans="1:6" ht="25.95" customHeight="1" x14ac:dyDescent="0.3">
      <c r="A176" s="22">
        <v>44804</v>
      </c>
      <c r="B176" s="13" t="s">
        <v>8</v>
      </c>
      <c r="C176" s="13">
        <v>33.847799999999999</v>
      </c>
      <c r="D176" s="13">
        <f t="shared" si="6"/>
        <v>2022</v>
      </c>
      <c r="E176" s="13" t="str">
        <f t="shared" si="7"/>
        <v>Aug</v>
      </c>
      <c r="F176" s="13" t="str">
        <f t="shared" si="8"/>
        <v>Ok</v>
      </c>
    </row>
    <row r="177" spans="1:6" ht="25.95" customHeight="1" x14ac:dyDescent="0.3">
      <c r="A177" s="22">
        <v>44804</v>
      </c>
      <c r="B177" s="13" t="s">
        <v>7</v>
      </c>
      <c r="C177" s="13">
        <v>44</v>
      </c>
      <c r="D177" s="13">
        <f t="shared" si="6"/>
        <v>2022</v>
      </c>
      <c r="E177" s="13" t="str">
        <f t="shared" si="7"/>
        <v>Aug</v>
      </c>
      <c r="F177" s="13" t="str">
        <f t="shared" si="8"/>
        <v>Ok</v>
      </c>
    </row>
    <row r="178" spans="1:6" ht="25.95" customHeight="1" x14ac:dyDescent="0.3">
      <c r="A178" s="22">
        <v>44804</v>
      </c>
      <c r="B178" s="13" t="s">
        <v>6</v>
      </c>
      <c r="C178" s="13">
        <v>715</v>
      </c>
      <c r="D178" s="13">
        <f t="shared" si="6"/>
        <v>2022</v>
      </c>
      <c r="E178" s="13" t="str">
        <f t="shared" si="7"/>
        <v>Aug</v>
      </c>
      <c r="F178" s="13" t="str">
        <f t="shared" si="8"/>
        <v>Ok</v>
      </c>
    </row>
    <row r="179" spans="1:6" ht="25.95" customHeight="1" x14ac:dyDescent="0.3">
      <c r="A179" s="22">
        <v>44804</v>
      </c>
      <c r="B179" s="13" t="s">
        <v>5</v>
      </c>
      <c r="C179" s="13">
        <v>289</v>
      </c>
      <c r="D179" s="13">
        <f t="shared" si="6"/>
        <v>2022</v>
      </c>
      <c r="E179" s="13" t="str">
        <f t="shared" si="7"/>
        <v>Aug</v>
      </c>
      <c r="F179" s="13" t="str">
        <f t="shared" si="8"/>
        <v>Ok</v>
      </c>
    </row>
    <row r="180" spans="1:6" ht="25.95" customHeight="1" x14ac:dyDescent="0.3">
      <c r="A180" s="22">
        <v>44804</v>
      </c>
      <c r="B180" s="13" t="s">
        <v>4</v>
      </c>
      <c r="C180" s="13">
        <v>17759</v>
      </c>
      <c r="D180" s="13">
        <f t="shared" si="6"/>
        <v>2022</v>
      </c>
      <c r="E180" s="13" t="str">
        <f t="shared" si="7"/>
        <v>Aug</v>
      </c>
      <c r="F180" s="13" t="str">
        <f t="shared" si="8"/>
        <v>Ok</v>
      </c>
    </row>
    <row r="181" spans="1:6" ht="25.95" customHeight="1" x14ac:dyDescent="0.3">
      <c r="A181" s="22">
        <v>44804</v>
      </c>
      <c r="B181" s="13" t="s">
        <v>3</v>
      </c>
      <c r="C181" s="13">
        <v>2932</v>
      </c>
      <c r="D181" s="13">
        <f t="shared" si="6"/>
        <v>2022</v>
      </c>
      <c r="E181" s="13" t="str">
        <f t="shared" si="7"/>
        <v>Aug</v>
      </c>
      <c r="F181" s="13" t="str">
        <f t="shared" si="8"/>
        <v>Ok</v>
      </c>
    </row>
    <row r="182" spans="1:6" ht="25.95" customHeight="1" x14ac:dyDescent="0.3">
      <c r="A182" s="22">
        <v>44773</v>
      </c>
      <c r="B182" s="13" t="s">
        <v>8</v>
      </c>
      <c r="C182" s="13">
        <v>33.437600000000003</v>
      </c>
      <c r="D182" s="13">
        <f t="shared" si="6"/>
        <v>2022</v>
      </c>
      <c r="E182" s="13" t="str">
        <f t="shared" si="7"/>
        <v>Jul</v>
      </c>
      <c r="F182" s="13" t="str">
        <f t="shared" si="8"/>
        <v>Ok</v>
      </c>
    </row>
    <row r="183" spans="1:6" ht="25.95" customHeight="1" x14ac:dyDescent="0.3">
      <c r="A183" s="22">
        <v>44773</v>
      </c>
      <c r="B183" s="13" t="s">
        <v>7</v>
      </c>
      <c r="C183" s="13">
        <v>44</v>
      </c>
      <c r="D183" s="13">
        <f t="shared" si="6"/>
        <v>2022</v>
      </c>
      <c r="E183" s="13" t="str">
        <f t="shared" si="7"/>
        <v>Jul</v>
      </c>
      <c r="F183" s="13" t="str">
        <f t="shared" si="8"/>
        <v>Ok</v>
      </c>
    </row>
    <row r="184" spans="1:6" ht="25.95" customHeight="1" x14ac:dyDescent="0.3">
      <c r="A184" s="22">
        <v>44773</v>
      </c>
      <c r="B184" s="13" t="s">
        <v>6</v>
      </c>
      <c r="C184" s="13">
        <v>690</v>
      </c>
      <c r="D184" s="13">
        <f t="shared" si="6"/>
        <v>2022</v>
      </c>
      <c r="E184" s="13" t="str">
        <f t="shared" si="7"/>
        <v>Jul</v>
      </c>
      <c r="F184" s="13" t="str">
        <f t="shared" si="8"/>
        <v>Ok</v>
      </c>
    </row>
    <row r="185" spans="1:6" ht="25.95" customHeight="1" x14ac:dyDescent="0.3">
      <c r="A185" s="22">
        <v>44773</v>
      </c>
      <c r="B185" s="13" t="s">
        <v>5</v>
      </c>
      <c r="C185" s="13">
        <v>273</v>
      </c>
      <c r="D185" s="13">
        <f t="shared" si="6"/>
        <v>2022</v>
      </c>
      <c r="E185" s="13" t="str">
        <f t="shared" si="7"/>
        <v>Jul</v>
      </c>
      <c r="F185" s="13" t="str">
        <f t="shared" si="8"/>
        <v>Ok</v>
      </c>
    </row>
    <row r="186" spans="1:6" ht="25.95" customHeight="1" x14ac:dyDescent="0.3">
      <c r="A186" s="22">
        <v>44773</v>
      </c>
      <c r="B186" s="13" t="s">
        <v>4</v>
      </c>
      <c r="C186" s="13">
        <v>17158</v>
      </c>
      <c r="D186" s="13">
        <f t="shared" si="6"/>
        <v>2022</v>
      </c>
      <c r="E186" s="13" t="str">
        <f t="shared" si="7"/>
        <v>Jul</v>
      </c>
      <c r="F186" s="13" t="str">
        <f t="shared" si="8"/>
        <v>Ok</v>
      </c>
    </row>
    <row r="187" spans="1:6" ht="25.95" customHeight="1" x14ac:dyDescent="0.3">
      <c r="A187" s="22">
        <v>44773</v>
      </c>
      <c r="B187" s="13" t="s">
        <v>3</v>
      </c>
      <c r="C187" s="13">
        <v>3007</v>
      </c>
      <c r="D187" s="13">
        <f t="shared" si="6"/>
        <v>2022</v>
      </c>
      <c r="E187" s="13" t="str">
        <f t="shared" si="7"/>
        <v>Jul</v>
      </c>
      <c r="F187" s="13" t="str">
        <f t="shared" si="8"/>
        <v>Ok</v>
      </c>
    </row>
    <row r="188" spans="1:6" ht="25.95" customHeight="1" x14ac:dyDescent="0.3">
      <c r="A188" s="22">
        <v>44742</v>
      </c>
      <c r="B188" s="13" t="s">
        <v>8</v>
      </c>
      <c r="C188" s="13">
        <v>33.052300000000002</v>
      </c>
      <c r="D188" s="13">
        <f t="shared" si="6"/>
        <v>2022</v>
      </c>
      <c r="E188" s="13" t="str">
        <f t="shared" si="7"/>
        <v>Jun</v>
      </c>
      <c r="F188" s="13" t="str">
        <f t="shared" si="8"/>
        <v>Ok</v>
      </c>
    </row>
    <row r="189" spans="1:6" ht="25.95" customHeight="1" x14ac:dyDescent="0.3">
      <c r="A189" s="22">
        <v>44742</v>
      </c>
      <c r="B189" s="13" t="s">
        <v>7</v>
      </c>
      <c r="C189" s="13">
        <v>44</v>
      </c>
      <c r="D189" s="13">
        <f t="shared" si="6"/>
        <v>2022</v>
      </c>
      <c r="E189" s="13" t="str">
        <f t="shared" si="7"/>
        <v>Jun</v>
      </c>
      <c r="F189" s="13" t="str">
        <f t="shared" si="8"/>
        <v>Ok</v>
      </c>
    </row>
    <row r="190" spans="1:6" ht="25.95" customHeight="1" x14ac:dyDescent="0.3">
      <c r="A190" s="22">
        <v>44742</v>
      </c>
      <c r="B190" s="13" t="s">
        <v>6</v>
      </c>
      <c r="C190" s="13">
        <v>649</v>
      </c>
      <c r="D190" s="13">
        <f t="shared" si="6"/>
        <v>2022</v>
      </c>
      <c r="E190" s="13" t="str">
        <f t="shared" si="7"/>
        <v>Jun</v>
      </c>
      <c r="F190" s="13" t="str">
        <f t="shared" si="8"/>
        <v>Ok</v>
      </c>
    </row>
    <row r="191" spans="1:6" ht="25.95" customHeight="1" x14ac:dyDescent="0.3">
      <c r="A191" s="22">
        <v>44742</v>
      </c>
      <c r="B191" s="13" t="s">
        <v>5</v>
      </c>
      <c r="C191" s="13">
        <v>247</v>
      </c>
      <c r="D191" s="13">
        <f t="shared" si="6"/>
        <v>2022</v>
      </c>
      <c r="E191" s="13" t="str">
        <f t="shared" si="7"/>
        <v>Jun</v>
      </c>
      <c r="F191" s="13" t="str">
        <f t="shared" si="8"/>
        <v>Ok</v>
      </c>
    </row>
    <row r="192" spans="1:6" ht="25.95" customHeight="1" x14ac:dyDescent="0.3">
      <c r="A192" s="22">
        <v>44742</v>
      </c>
      <c r="B192" s="13" t="s">
        <v>4</v>
      </c>
      <c r="C192" s="13">
        <v>15780</v>
      </c>
      <c r="D192" s="13">
        <f t="shared" si="6"/>
        <v>2022</v>
      </c>
      <c r="E192" s="13" t="str">
        <f t="shared" si="7"/>
        <v>Jun</v>
      </c>
      <c r="F192" s="13" t="str">
        <f t="shared" si="8"/>
        <v>Ok</v>
      </c>
    </row>
    <row r="193" spans="1:6" ht="25.95" customHeight="1" x14ac:dyDescent="0.3">
      <c r="A193" s="22">
        <v>44742</v>
      </c>
      <c r="B193" s="13" t="s">
        <v>3</v>
      </c>
      <c r="C193" s="13">
        <v>2976</v>
      </c>
      <c r="D193" s="13">
        <f t="shared" si="6"/>
        <v>2022</v>
      </c>
      <c r="E193" s="13" t="str">
        <f t="shared" si="7"/>
        <v>Jun</v>
      </c>
      <c r="F193" s="13" t="str">
        <f t="shared" si="8"/>
        <v>Ok</v>
      </c>
    </row>
    <row r="194" spans="1:6" ht="25.95" customHeight="1" x14ac:dyDescent="0.3">
      <c r="A194" s="22">
        <v>44712</v>
      </c>
      <c r="B194" s="13" t="s">
        <v>8</v>
      </c>
      <c r="C194" s="13">
        <v>32.921399999999998</v>
      </c>
      <c r="D194" s="13">
        <f t="shared" si="6"/>
        <v>2022</v>
      </c>
      <c r="E194" s="13" t="str">
        <f t="shared" si="7"/>
        <v>May</v>
      </c>
      <c r="F194" s="13" t="str">
        <f t="shared" si="8"/>
        <v>Ok</v>
      </c>
    </row>
    <row r="195" spans="1:6" ht="25.95" customHeight="1" x14ac:dyDescent="0.3">
      <c r="A195" s="22">
        <v>44712</v>
      </c>
      <c r="B195" s="13" t="s">
        <v>7</v>
      </c>
      <c r="C195" s="13">
        <v>44</v>
      </c>
      <c r="D195" s="13">
        <f t="shared" si="6"/>
        <v>2022</v>
      </c>
      <c r="E195" s="13" t="str">
        <f t="shared" si="7"/>
        <v>May</v>
      </c>
      <c r="F195" s="13" t="str">
        <f t="shared" si="8"/>
        <v>Ok</v>
      </c>
    </row>
    <row r="196" spans="1:6" ht="25.95" customHeight="1" x14ac:dyDescent="0.3">
      <c r="A196" s="22">
        <v>44712</v>
      </c>
      <c r="B196" s="13" t="s">
        <v>6</v>
      </c>
      <c r="C196" s="13">
        <v>661</v>
      </c>
      <c r="D196" s="13">
        <f t="shared" si="6"/>
        <v>2022</v>
      </c>
      <c r="E196" s="13" t="str">
        <f t="shared" si="7"/>
        <v>May</v>
      </c>
      <c r="F196" s="13" t="str">
        <f t="shared" si="8"/>
        <v>Ok</v>
      </c>
    </row>
    <row r="197" spans="1:6" ht="25.95" customHeight="1" x14ac:dyDescent="0.3">
      <c r="A197" s="22">
        <v>44712</v>
      </c>
      <c r="B197" s="13" t="s">
        <v>5</v>
      </c>
      <c r="C197" s="13">
        <v>239</v>
      </c>
      <c r="D197" s="13">
        <f t="shared" si="6"/>
        <v>2022</v>
      </c>
      <c r="E197" s="13" t="str">
        <f t="shared" si="7"/>
        <v>May</v>
      </c>
      <c r="F197" s="13" t="str">
        <f t="shared" si="8"/>
        <v>Ok</v>
      </c>
    </row>
    <row r="198" spans="1:6" ht="25.95" customHeight="1" x14ac:dyDescent="0.3">
      <c r="A198" s="22">
        <v>44712</v>
      </c>
      <c r="B198" s="13" t="s">
        <v>4</v>
      </c>
      <c r="C198" s="13">
        <v>16585</v>
      </c>
      <c r="D198" s="13">
        <f t="shared" si="6"/>
        <v>2022</v>
      </c>
      <c r="E198" s="13" t="str">
        <f t="shared" si="7"/>
        <v>May</v>
      </c>
      <c r="F198" s="13" t="str">
        <f t="shared" si="8"/>
        <v>Ok</v>
      </c>
    </row>
    <row r="199" spans="1:6" ht="25.95" customHeight="1" x14ac:dyDescent="0.3">
      <c r="A199" s="22">
        <v>44712</v>
      </c>
      <c r="B199" s="13" t="s">
        <v>3</v>
      </c>
      <c r="C199" s="13">
        <v>3044</v>
      </c>
      <c r="D199" s="13">
        <f t="shared" si="6"/>
        <v>2022</v>
      </c>
      <c r="E199" s="13" t="str">
        <f t="shared" si="7"/>
        <v>May</v>
      </c>
      <c r="F199" s="13" t="str">
        <f t="shared" si="8"/>
        <v>Ok</v>
      </c>
    </row>
    <row r="200" spans="1:6" ht="25.95" customHeight="1" x14ac:dyDescent="0.3">
      <c r="A200" s="22">
        <v>44681</v>
      </c>
      <c r="B200" s="13" t="s">
        <v>8</v>
      </c>
      <c r="C200" s="13">
        <v>33.161299999999997</v>
      </c>
      <c r="D200" s="13">
        <f t="shared" ref="D200:D263" si="9">YEAR(A200)</f>
        <v>2022</v>
      </c>
      <c r="E200" s="13" t="str">
        <f t="shared" ref="E200:E263" si="10">TEXT(A200,"mmm")</f>
        <v>Apr</v>
      </c>
      <c r="F200" s="13" t="str">
        <f t="shared" ref="F200:F263" si="11">IF(C200&lt;=0,"Error","Ok")</f>
        <v>Ok</v>
      </c>
    </row>
    <row r="201" spans="1:6" ht="25.95" customHeight="1" x14ac:dyDescent="0.3">
      <c r="A201" s="22">
        <v>44681</v>
      </c>
      <c r="B201" s="13" t="s">
        <v>7</v>
      </c>
      <c r="C201" s="13">
        <v>45</v>
      </c>
      <c r="D201" s="13">
        <f t="shared" si="9"/>
        <v>2022</v>
      </c>
      <c r="E201" s="13" t="str">
        <f t="shared" si="10"/>
        <v>Apr</v>
      </c>
      <c r="F201" s="13" t="str">
        <f t="shared" si="11"/>
        <v>Ok</v>
      </c>
    </row>
    <row r="202" spans="1:6" ht="25.95" customHeight="1" x14ac:dyDescent="0.3">
      <c r="A202" s="22">
        <v>44681</v>
      </c>
      <c r="B202" s="13" t="s">
        <v>6</v>
      </c>
      <c r="C202" s="13">
        <v>659</v>
      </c>
      <c r="D202" s="13">
        <f t="shared" si="9"/>
        <v>2022</v>
      </c>
      <c r="E202" s="13" t="str">
        <f t="shared" si="10"/>
        <v>Apr</v>
      </c>
      <c r="F202" s="13" t="str">
        <f t="shared" si="11"/>
        <v>Ok</v>
      </c>
    </row>
    <row r="203" spans="1:6" ht="25.95" customHeight="1" x14ac:dyDescent="0.3">
      <c r="A203" s="22">
        <v>44681</v>
      </c>
      <c r="B203" s="13" t="s">
        <v>5</v>
      </c>
      <c r="C203" s="13">
        <v>229</v>
      </c>
      <c r="D203" s="13">
        <f t="shared" si="9"/>
        <v>2022</v>
      </c>
      <c r="E203" s="13" t="str">
        <f t="shared" si="10"/>
        <v>Apr</v>
      </c>
      <c r="F203" s="13" t="str">
        <f t="shared" si="11"/>
        <v>Ok</v>
      </c>
    </row>
    <row r="204" spans="1:6" ht="25.95" customHeight="1" x14ac:dyDescent="0.3">
      <c r="A204" s="22">
        <v>44681</v>
      </c>
      <c r="B204" s="13" t="s">
        <v>4</v>
      </c>
      <c r="C204" s="13">
        <v>17103</v>
      </c>
      <c r="D204" s="13">
        <f t="shared" si="9"/>
        <v>2022</v>
      </c>
      <c r="E204" s="13" t="str">
        <f t="shared" si="10"/>
        <v>Apr</v>
      </c>
      <c r="F204" s="13" t="str">
        <f t="shared" si="11"/>
        <v>Ok</v>
      </c>
    </row>
    <row r="205" spans="1:6" ht="25.95" customHeight="1" x14ac:dyDescent="0.3">
      <c r="A205" s="22">
        <v>44681</v>
      </c>
      <c r="B205" s="13" t="s">
        <v>3</v>
      </c>
      <c r="C205" s="13">
        <v>3209</v>
      </c>
      <c r="D205" s="13">
        <f t="shared" si="9"/>
        <v>2022</v>
      </c>
      <c r="E205" s="13" t="str">
        <f t="shared" si="10"/>
        <v>Apr</v>
      </c>
      <c r="F205" s="13" t="str">
        <f t="shared" si="11"/>
        <v>Ok</v>
      </c>
    </row>
    <row r="206" spans="1:6" ht="25.95" customHeight="1" x14ac:dyDescent="0.3">
      <c r="A206" s="22">
        <v>44651</v>
      </c>
      <c r="B206" s="13" t="s">
        <v>8</v>
      </c>
      <c r="C206" s="13">
        <v>33.271299999999997</v>
      </c>
      <c r="D206" s="13">
        <f t="shared" si="9"/>
        <v>2022</v>
      </c>
      <c r="E206" s="13" t="str">
        <f t="shared" si="10"/>
        <v>Mar</v>
      </c>
      <c r="F206" s="13" t="str">
        <f t="shared" si="11"/>
        <v>Ok</v>
      </c>
    </row>
    <row r="207" spans="1:6" ht="25.95" customHeight="1" x14ac:dyDescent="0.3">
      <c r="A207" s="22">
        <v>44651</v>
      </c>
      <c r="B207" s="13" t="s">
        <v>7</v>
      </c>
      <c r="C207" s="13">
        <v>44</v>
      </c>
      <c r="D207" s="13">
        <f t="shared" si="9"/>
        <v>2022</v>
      </c>
      <c r="E207" s="13" t="str">
        <f t="shared" si="10"/>
        <v>Mar</v>
      </c>
      <c r="F207" s="13" t="str">
        <f t="shared" si="11"/>
        <v>Ok</v>
      </c>
    </row>
    <row r="208" spans="1:6" ht="25.95" customHeight="1" x14ac:dyDescent="0.3">
      <c r="A208" s="22">
        <v>44651</v>
      </c>
      <c r="B208" s="13" t="s">
        <v>6</v>
      </c>
      <c r="C208" s="13">
        <v>699</v>
      </c>
      <c r="D208" s="13">
        <f t="shared" si="9"/>
        <v>2022</v>
      </c>
      <c r="E208" s="13" t="str">
        <f t="shared" si="10"/>
        <v>Mar</v>
      </c>
      <c r="F208" s="13" t="str">
        <f t="shared" si="11"/>
        <v>Ok</v>
      </c>
    </row>
    <row r="209" spans="1:6" ht="25.95" customHeight="1" x14ac:dyDescent="0.3">
      <c r="A209" s="22">
        <v>44651</v>
      </c>
      <c r="B209" s="13" t="s">
        <v>5</v>
      </c>
      <c r="C209" s="13">
        <v>221</v>
      </c>
      <c r="D209" s="13">
        <f t="shared" si="9"/>
        <v>2022</v>
      </c>
      <c r="E209" s="13" t="str">
        <f t="shared" si="10"/>
        <v>Mar</v>
      </c>
      <c r="F209" s="13" t="str">
        <f t="shared" si="11"/>
        <v>Ok</v>
      </c>
    </row>
    <row r="210" spans="1:6" ht="25.95" customHeight="1" x14ac:dyDescent="0.3">
      <c r="A210" s="22">
        <v>44651</v>
      </c>
      <c r="B210" s="13" t="s">
        <v>4</v>
      </c>
      <c r="C210" s="13">
        <v>17465</v>
      </c>
      <c r="D210" s="13">
        <f t="shared" si="9"/>
        <v>2022</v>
      </c>
      <c r="E210" s="13" t="str">
        <f t="shared" si="10"/>
        <v>Mar</v>
      </c>
      <c r="F210" s="13" t="str">
        <f t="shared" si="11"/>
        <v>Ok</v>
      </c>
    </row>
    <row r="211" spans="1:6" ht="25.95" customHeight="1" x14ac:dyDescent="0.3">
      <c r="A211" s="22">
        <v>44651</v>
      </c>
      <c r="B211" s="13" t="s">
        <v>3</v>
      </c>
      <c r="C211" s="13">
        <v>3384</v>
      </c>
      <c r="D211" s="13">
        <f t="shared" si="9"/>
        <v>2022</v>
      </c>
      <c r="E211" s="13" t="str">
        <f t="shared" si="10"/>
        <v>Mar</v>
      </c>
      <c r="F211" s="13" t="str">
        <f t="shared" si="11"/>
        <v>Ok</v>
      </c>
    </row>
    <row r="212" spans="1:6" ht="25.95" customHeight="1" x14ac:dyDescent="0.3">
      <c r="A212" s="22">
        <v>44620</v>
      </c>
      <c r="B212" s="13" t="s">
        <v>8</v>
      </c>
      <c r="C212" s="13">
        <v>33.224299999999999</v>
      </c>
      <c r="D212" s="13">
        <f t="shared" si="9"/>
        <v>2022</v>
      </c>
      <c r="E212" s="13" t="str">
        <f t="shared" si="10"/>
        <v>Feb</v>
      </c>
      <c r="F212" s="13" t="str">
        <f t="shared" si="11"/>
        <v>Ok</v>
      </c>
    </row>
    <row r="213" spans="1:6" ht="25.95" customHeight="1" x14ac:dyDescent="0.3">
      <c r="A213" s="22">
        <v>44620</v>
      </c>
      <c r="B213" s="13" t="s">
        <v>7</v>
      </c>
      <c r="C213" s="13">
        <v>44</v>
      </c>
      <c r="D213" s="13">
        <f t="shared" si="9"/>
        <v>2022</v>
      </c>
      <c r="E213" s="13" t="str">
        <f t="shared" si="10"/>
        <v>Feb</v>
      </c>
      <c r="F213" s="13" t="str">
        <f t="shared" si="11"/>
        <v>Ok</v>
      </c>
    </row>
    <row r="214" spans="1:6" ht="25.95" customHeight="1" x14ac:dyDescent="0.3">
      <c r="A214" s="22">
        <v>44620</v>
      </c>
      <c r="B214" s="13" t="s">
        <v>6</v>
      </c>
      <c r="C214" s="13">
        <v>678</v>
      </c>
      <c r="D214" s="13">
        <f t="shared" si="9"/>
        <v>2022</v>
      </c>
      <c r="E214" s="13" t="str">
        <f t="shared" si="10"/>
        <v>Feb</v>
      </c>
      <c r="F214" s="13" t="str">
        <f t="shared" si="11"/>
        <v>Ok</v>
      </c>
    </row>
    <row r="215" spans="1:6" ht="25.95" customHeight="1" x14ac:dyDescent="0.3">
      <c r="A215" s="22">
        <v>44620</v>
      </c>
      <c r="B215" s="13" t="s">
        <v>5</v>
      </c>
      <c r="C215" s="13">
        <v>186</v>
      </c>
      <c r="D215" s="13">
        <f t="shared" si="9"/>
        <v>2022</v>
      </c>
      <c r="E215" s="13" t="str">
        <f t="shared" si="10"/>
        <v>Feb</v>
      </c>
      <c r="F215" s="13" t="str">
        <f t="shared" si="11"/>
        <v>Ok</v>
      </c>
    </row>
    <row r="216" spans="1:6" ht="25.95" customHeight="1" x14ac:dyDescent="0.3">
      <c r="A216" s="22">
        <v>44620</v>
      </c>
      <c r="B216" s="13" t="s">
        <v>4</v>
      </c>
      <c r="C216" s="13">
        <v>16794</v>
      </c>
      <c r="D216" s="13">
        <f t="shared" si="9"/>
        <v>2022</v>
      </c>
      <c r="E216" s="13" t="str">
        <f t="shared" si="10"/>
        <v>Feb</v>
      </c>
      <c r="F216" s="13" t="str">
        <f t="shared" si="11"/>
        <v>Ok</v>
      </c>
    </row>
    <row r="217" spans="1:6" ht="25.95" customHeight="1" x14ac:dyDescent="0.3">
      <c r="A217" s="22">
        <v>44620</v>
      </c>
      <c r="B217" s="13" t="s">
        <v>3</v>
      </c>
      <c r="C217" s="13">
        <v>3216</v>
      </c>
      <c r="D217" s="13">
        <f t="shared" si="9"/>
        <v>2022</v>
      </c>
      <c r="E217" s="13" t="str">
        <f t="shared" si="10"/>
        <v>Feb</v>
      </c>
      <c r="F217" s="13" t="str">
        <f t="shared" si="11"/>
        <v>Ok</v>
      </c>
    </row>
    <row r="218" spans="1:6" ht="25.95" customHeight="1" x14ac:dyDescent="0.3">
      <c r="A218" s="22">
        <v>44592</v>
      </c>
      <c r="B218" s="13" t="s">
        <v>8</v>
      </c>
      <c r="C218" s="13">
        <v>33.042499999999997</v>
      </c>
      <c r="D218" s="13">
        <f t="shared" si="9"/>
        <v>2022</v>
      </c>
      <c r="E218" s="13" t="str">
        <f t="shared" si="10"/>
        <v>Jan</v>
      </c>
      <c r="F218" s="13" t="str">
        <f t="shared" si="11"/>
        <v>Ok</v>
      </c>
    </row>
    <row r="219" spans="1:6" ht="25.95" customHeight="1" x14ac:dyDescent="0.3">
      <c r="A219" s="22">
        <v>44592</v>
      </c>
      <c r="B219" s="13" t="s">
        <v>7</v>
      </c>
      <c r="C219" s="13">
        <v>41</v>
      </c>
      <c r="D219" s="13">
        <f t="shared" si="9"/>
        <v>2022</v>
      </c>
      <c r="E219" s="13" t="str">
        <f t="shared" si="10"/>
        <v>Jan</v>
      </c>
      <c r="F219" s="13" t="str">
        <f t="shared" si="11"/>
        <v>Ok</v>
      </c>
    </row>
    <row r="220" spans="1:6" ht="25.95" customHeight="1" x14ac:dyDescent="0.3">
      <c r="A220" s="22">
        <v>44592</v>
      </c>
      <c r="B220" s="13" t="s">
        <v>6</v>
      </c>
      <c r="C220" s="13">
        <v>707</v>
      </c>
      <c r="D220" s="13">
        <f t="shared" si="9"/>
        <v>2022</v>
      </c>
      <c r="E220" s="13" t="str">
        <f t="shared" si="10"/>
        <v>Jan</v>
      </c>
      <c r="F220" s="13" t="str">
        <f t="shared" si="11"/>
        <v>Ok</v>
      </c>
    </row>
    <row r="221" spans="1:6" ht="25.95" customHeight="1" x14ac:dyDescent="0.3">
      <c r="A221" s="22">
        <v>44592</v>
      </c>
      <c r="B221" s="13" t="s">
        <v>5</v>
      </c>
      <c r="C221" s="13">
        <v>190</v>
      </c>
      <c r="D221" s="13">
        <f t="shared" si="9"/>
        <v>2022</v>
      </c>
      <c r="E221" s="13" t="str">
        <f t="shared" si="10"/>
        <v>Jan</v>
      </c>
      <c r="F221" s="13" t="str">
        <f t="shared" si="11"/>
        <v>Ok</v>
      </c>
    </row>
    <row r="222" spans="1:6" ht="25.95" customHeight="1" x14ac:dyDescent="0.3">
      <c r="A222" s="22">
        <v>44592</v>
      </c>
      <c r="B222" s="13" t="s">
        <v>4</v>
      </c>
      <c r="C222" s="13">
        <v>17340</v>
      </c>
      <c r="D222" s="13">
        <f t="shared" si="9"/>
        <v>2022</v>
      </c>
      <c r="E222" s="13" t="str">
        <f t="shared" si="10"/>
        <v>Jan</v>
      </c>
      <c r="F222" s="13" t="str">
        <f t="shared" si="11"/>
        <v>Ok</v>
      </c>
    </row>
    <row r="223" spans="1:6" ht="25.95" customHeight="1" x14ac:dyDescent="0.3">
      <c r="A223" s="22">
        <v>44592</v>
      </c>
      <c r="B223" s="13" t="s">
        <v>3</v>
      </c>
      <c r="C223" s="13">
        <v>3374</v>
      </c>
      <c r="D223" s="13">
        <f t="shared" si="9"/>
        <v>2022</v>
      </c>
      <c r="E223" s="13" t="str">
        <f t="shared" si="10"/>
        <v>Jan</v>
      </c>
      <c r="F223" s="13" t="str">
        <f t="shared" si="11"/>
        <v>Ok</v>
      </c>
    </row>
    <row r="224" spans="1:6" ht="25.95" customHeight="1" x14ac:dyDescent="0.3">
      <c r="A224" s="22">
        <v>44561</v>
      </c>
      <c r="B224" s="13" t="s">
        <v>8</v>
      </c>
      <c r="C224" s="13">
        <v>33.216900000000003</v>
      </c>
      <c r="D224" s="13">
        <f t="shared" si="9"/>
        <v>2021</v>
      </c>
      <c r="E224" s="13" t="str">
        <f t="shared" si="10"/>
        <v>Dec</v>
      </c>
      <c r="F224" s="13" t="str">
        <f t="shared" si="11"/>
        <v>Ok</v>
      </c>
    </row>
    <row r="225" spans="1:6" ht="25.95" customHeight="1" x14ac:dyDescent="0.3">
      <c r="A225" s="22">
        <v>44561</v>
      </c>
      <c r="B225" s="13" t="s">
        <v>7</v>
      </c>
      <c r="C225" s="13">
        <v>41</v>
      </c>
      <c r="D225" s="13">
        <f t="shared" si="9"/>
        <v>2021</v>
      </c>
      <c r="E225" s="13" t="str">
        <f t="shared" si="10"/>
        <v>Dec</v>
      </c>
      <c r="F225" s="13" t="str">
        <f t="shared" si="11"/>
        <v>Ok</v>
      </c>
    </row>
    <row r="226" spans="1:6" ht="25.95" customHeight="1" x14ac:dyDescent="0.3">
      <c r="A226" s="22">
        <v>44561</v>
      </c>
      <c r="B226" s="13" t="s">
        <v>6</v>
      </c>
      <c r="C226" s="13">
        <v>704</v>
      </c>
      <c r="D226" s="13">
        <f t="shared" si="9"/>
        <v>2021</v>
      </c>
      <c r="E226" s="13" t="str">
        <f t="shared" si="10"/>
        <v>Dec</v>
      </c>
      <c r="F226" s="13" t="str">
        <f t="shared" si="11"/>
        <v>Ok</v>
      </c>
    </row>
    <row r="227" spans="1:6" ht="25.95" customHeight="1" x14ac:dyDescent="0.3">
      <c r="A227" s="22">
        <v>44561</v>
      </c>
      <c r="B227" s="13" t="s">
        <v>5</v>
      </c>
      <c r="C227" s="13">
        <v>188</v>
      </c>
      <c r="D227" s="13">
        <f t="shared" si="9"/>
        <v>2021</v>
      </c>
      <c r="E227" s="13" t="str">
        <f t="shared" si="10"/>
        <v>Dec</v>
      </c>
      <c r="F227" s="13" t="str">
        <f t="shared" si="11"/>
        <v>Ok</v>
      </c>
    </row>
    <row r="228" spans="1:6" ht="25.95" customHeight="1" x14ac:dyDescent="0.3">
      <c r="A228" s="22">
        <v>44561</v>
      </c>
      <c r="B228" s="13" t="s">
        <v>4</v>
      </c>
      <c r="C228" s="13">
        <v>17354</v>
      </c>
      <c r="D228" s="13">
        <f t="shared" si="9"/>
        <v>2021</v>
      </c>
      <c r="E228" s="13" t="str">
        <f t="shared" si="10"/>
        <v>Dec</v>
      </c>
      <c r="F228" s="13" t="str">
        <f t="shared" si="11"/>
        <v>Ok</v>
      </c>
    </row>
    <row r="229" spans="1:6" ht="25.95" customHeight="1" x14ac:dyDescent="0.3">
      <c r="A229" s="22">
        <v>44561</v>
      </c>
      <c r="B229" s="13" t="s">
        <v>3</v>
      </c>
      <c r="C229" s="13">
        <v>3376</v>
      </c>
      <c r="D229" s="13">
        <f t="shared" si="9"/>
        <v>2021</v>
      </c>
      <c r="E229" s="13" t="str">
        <f t="shared" si="10"/>
        <v>Dec</v>
      </c>
      <c r="F229" s="13" t="str">
        <f t="shared" si="11"/>
        <v>Ok</v>
      </c>
    </row>
    <row r="230" spans="1:6" ht="25.95" customHeight="1" x14ac:dyDescent="0.3">
      <c r="A230" s="22">
        <v>44530</v>
      </c>
      <c r="B230" s="13" t="s">
        <v>8</v>
      </c>
      <c r="C230" s="13">
        <v>33.272399999999998</v>
      </c>
      <c r="D230" s="13">
        <f t="shared" si="9"/>
        <v>2021</v>
      </c>
      <c r="E230" s="13" t="str">
        <f t="shared" si="10"/>
        <v>Nov</v>
      </c>
      <c r="F230" s="13" t="str">
        <f t="shared" si="11"/>
        <v>Ok</v>
      </c>
    </row>
    <row r="231" spans="1:6" ht="25.95" customHeight="1" x14ac:dyDescent="0.3">
      <c r="A231" s="22">
        <v>44530</v>
      </c>
      <c r="B231" s="13" t="s">
        <v>7</v>
      </c>
      <c r="C231" s="13">
        <v>42</v>
      </c>
      <c r="D231" s="13">
        <f t="shared" si="9"/>
        <v>2021</v>
      </c>
      <c r="E231" s="13" t="str">
        <f t="shared" si="10"/>
        <v>Nov</v>
      </c>
      <c r="F231" s="13" t="str">
        <f t="shared" si="11"/>
        <v>Ok</v>
      </c>
    </row>
    <row r="232" spans="1:6" ht="25.95" customHeight="1" x14ac:dyDescent="0.3">
      <c r="A232" s="22">
        <v>44530</v>
      </c>
      <c r="B232" s="13" t="s">
        <v>6</v>
      </c>
      <c r="C232" s="13">
        <v>710</v>
      </c>
      <c r="D232" s="13">
        <f t="shared" si="9"/>
        <v>2021</v>
      </c>
      <c r="E232" s="13" t="str">
        <f t="shared" si="10"/>
        <v>Nov</v>
      </c>
      <c r="F232" s="13" t="str">
        <f t="shared" si="11"/>
        <v>Ok</v>
      </c>
    </row>
    <row r="233" spans="1:6" ht="25.95" customHeight="1" x14ac:dyDescent="0.3">
      <c r="A233" s="22">
        <v>44530</v>
      </c>
      <c r="B233" s="13" t="s">
        <v>5</v>
      </c>
      <c r="C233" s="13">
        <v>191</v>
      </c>
      <c r="D233" s="13">
        <f t="shared" si="9"/>
        <v>2021</v>
      </c>
      <c r="E233" s="13" t="str">
        <f t="shared" si="10"/>
        <v>Nov</v>
      </c>
      <c r="F233" s="13" t="str">
        <f t="shared" si="11"/>
        <v>Ok</v>
      </c>
    </row>
    <row r="234" spans="1:6" ht="25.95" customHeight="1" x14ac:dyDescent="0.3">
      <c r="A234" s="22">
        <v>44530</v>
      </c>
      <c r="B234" s="13" t="s">
        <v>4</v>
      </c>
      <c r="C234" s="13">
        <v>16983</v>
      </c>
      <c r="D234" s="13">
        <f t="shared" si="9"/>
        <v>2021</v>
      </c>
      <c r="E234" s="13" t="str">
        <f t="shared" si="10"/>
        <v>Nov</v>
      </c>
      <c r="F234" s="13" t="str">
        <f t="shared" si="11"/>
        <v>Ok</v>
      </c>
    </row>
    <row r="235" spans="1:6" ht="25.95" customHeight="1" x14ac:dyDescent="0.3">
      <c r="A235" s="22">
        <v>44530</v>
      </c>
      <c r="B235" s="13" t="s">
        <v>3</v>
      </c>
      <c r="C235" s="13">
        <v>3187</v>
      </c>
      <c r="D235" s="13">
        <f t="shared" si="9"/>
        <v>2021</v>
      </c>
      <c r="E235" s="13" t="str">
        <f t="shared" si="10"/>
        <v>Nov</v>
      </c>
      <c r="F235" s="13" t="str">
        <f t="shared" si="11"/>
        <v>Ok</v>
      </c>
    </row>
    <row r="236" spans="1:6" ht="25.95" customHeight="1" x14ac:dyDescent="0.3">
      <c r="A236" s="22">
        <v>44500</v>
      </c>
      <c r="B236" s="13" t="s">
        <v>8</v>
      </c>
      <c r="C236" s="13">
        <v>33.024900000000002</v>
      </c>
      <c r="D236" s="13">
        <f t="shared" si="9"/>
        <v>2021</v>
      </c>
      <c r="E236" s="13" t="str">
        <f t="shared" si="10"/>
        <v>Oct</v>
      </c>
      <c r="F236" s="13" t="str">
        <f t="shared" si="11"/>
        <v>Ok</v>
      </c>
    </row>
    <row r="237" spans="1:6" ht="25.95" customHeight="1" x14ac:dyDescent="0.3">
      <c r="A237" s="22">
        <v>44500</v>
      </c>
      <c r="B237" s="13" t="s">
        <v>7</v>
      </c>
      <c r="C237" s="13">
        <v>42</v>
      </c>
      <c r="D237" s="13">
        <f t="shared" si="9"/>
        <v>2021</v>
      </c>
      <c r="E237" s="13" t="str">
        <f t="shared" si="10"/>
        <v>Oct</v>
      </c>
      <c r="F237" s="13" t="str">
        <f t="shared" si="11"/>
        <v>Ok</v>
      </c>
    </row>
    <row r="238" spans="1:6" ht="25.95" customHeight="1" x14ac:dyDescent="0.3">
      <c r="A238" s="22">
        <v>44500</v>
      </c>
      <c r="B238" s="13" t="s">
        <v>6</v>
      </c>
      <c r="C238" s="13">
        <v>753</v>
      </c>
      <c r="D238" s="13">
        <f t="shared" si="9"/>
        <v>2021</v>
      </c>
      <c r="E238" s="13" t="str">
        <f t="shared" si="10"/>
        <v>Oct</v>
      </c>
      <c r="F238" s="13" t="str">
        <f t="shared" si="11"/>
        <v>Ok</v>
      </c>
    </row>
    <row r="239" spans="1:6" ht="25.95" customHeight="1" x14ac:dyDescent="0.3">
      <c r="A239" s="22">
        <v>44500</v>
      </c>
      <c r="B239" s="13" t="s">
        <v>5</v>
      </c>
      <c r="C239" s="13">
        <v>192</v>
      </c>
      <c r="D239" s="13">
        <f t="shared" si="9"/>
        <v>2021</v>
      </c>
      <c r="E239" s="13" t="str">
        <f t="shared" si="10"/>
        <v>Oct</v>
      </c>
      <c r="F239" s="13" t="str">
        <f t="shared" si="11"/>
        <v>Ok</v>
      </c>
    </row>
    <row r="240" spans="1:6" ht="25.95" customHeight="1" x14ac:dyDescent="0.3">
      <c r="A240" s="22">
        <v>44500</v>
      </c>
      <c r="B240" s="13" t="s">
        <v>4</v>
      </c>
      <c r="C240" s="13">
        <v>17672</v>
      </c>
      <c r="D240" s="13">
        <f t="shared" si="9"/>
        <v>2021</v>
      </c>
      <c r="E240" s="13" t="str">
        <f t="shared" si="10"/>
        <v>Oct</v>
      </c>
      <c r="F240" s="13" t="str">
        <f t="shared" si="11"/>
        <v>Ok</v>
      </c>
    </row>
    <row r="241" spans="1:6" ht="25.95" customHeight="1" x14ac:dyDescent="0.3">
      <c r="A241" s="22">
        <v>44500</v>
      </c>
      <c r="B241" s="13" t="s">
        <v>3</v>
      </c>
      <c r="C241" s="13">
        <v>3063</v>
      </c>
      <c r="D241" s="13">
        <f t="shared" si="9"/>
        <v>2021</v>
      </c>
      <c r="E241" s="13" t="str">
        <f t="shared" si="10"/>
        <v>Oct</v>
      </c>
      <c r="F241" s="13" t="str">
        <f t="shared" si="11"/>
        <v>Ok</v>
      </c>
    </row>
    <row r="242" spans="1:6" ht="25.95" customHeight="1" x14ac:dyDescent="0.3">
      <c r="A242" s="22">
        <v>44469</v>
      </c>
      <c r="B242" s="13" t="s">
        <v>8</v>
      </c>
      <c r="C242" s="13">
        <v>33.0824</v>
      </c>
      <c r="D242" s="13">
        <f t="shared" si="9"/>
        <v>2021</v>
      </c>
      <c r="E242" s="13" t="str">
        <f t="shared" si="10"/>
        <v>Sep</v>
      </c>
      <c r="F242" s="13" t="str">
        <f t="shared" si="11"/>
        <v>Ok</v>
      </c>
    </row>
    <row r="243" spans="1:6" ht="25.95" customHeight="1" x14ac:dyDescent="0.3">
      <c r="A243" s="22">
        <v>44469</v>
      </c>
      <c r="B243" s="13" t="s">
        <v>7</v>
      </c>
      <c r="C243" s="13">
        <v>40</v>
      </c>
      <c r="D243" s="13">
        <f t="shared" si="9"/>
        <v>2021</v>
      </c>
      <c r="E243" s="13" t="str">
        <f t="shared" si="10"/>
        <v>Sep</v>
      </c>
      <c r="F243" s="13" t="str">
        <f t="shared" si="11"/>
        <v>Ok</v>
      </c>
    </row>
    <row r="244" spans="1:6" ht="25.95" customHeight="1" x14ac:dyDescent="0.3">
      <c r="A244" s="22">
        <v>44469</v>
      </c>
      <c r="B244" s="13" t="s">
        <v>6</v>
      </c>
      <c r="C244" s="13">
        <v>759</v>
      </c>
      <c r="D244" s="13">
        <f t="shared" si="9"/>
        <v>2021</v>
      </c>
      <c r="E244" s="13" t="str">
        <f t="shared" si="10"/>
        <v>Sep</v>
      </c>
      <c r="F244" s="13" t="str">
        <f t="shared" si="11"/>
        <v>Ok</v>
      </c>
    </row>
    <row r="245" spans="1:6" ht="25.95" customHeight="1" x14ac:dyDescent="0.3">
      <c r="A245" s="22">
        <v>44469</v>
      </c>
      <c r="B245" s="13" t="s">
        <v>5</v>
      </c>
      <c r="C245" s="13">
        <v>203</v>
      </c>
      <c r="D245" s="13">
        <f t="shared" si="9"/>
        <v>2021</v>
      </c>
      <c r="E245" s="13" t="str">
        <f t="shared" si="10"/>
        <v>Sep</v>
      </c>
      <c r="F245" s="13" t="str">
        <f t="shared" si="11"/>
        <v>Ok</v>
      </c>
    </row>
    <row r="246" spans="1:6" ht="25.95" customHeight="1" x14ac:dyDescent="0.3">
      <c r="A246" s="22">
        <v>44469</v>
      </c>
      <c r="B246" s="13" t="s">
        <v>4</v>
      </c>
      <c r="C246" s="13">
        <v>17618</v>
      </c>
      <c r="D246" s="13">
        <f t="shared" si="9"/>
        <v>2021</v>
      </c>
      <c r="E246" s="13" t="str">
        <f t="shared" si="10"/>
        <v>Sep</v>
      </c>
      <c r="F246" s="13" t="str">
        <f t="shared" si="11"/>
        <v>Ok</v>
      </c>
    </row>
    <row r="247" spans="1:6" ht="25.95" customHeight="1" x14ac:dyDescent="0.3">
      <c r="A247" s="22">
        <v>44469</v>
      </c>
      <c r="B247" s="13" t="s">
        <v>3</v>
      </c>
      <c r="C247" s="13">
        <v>3403</v>
      </c>
      <c r="D247" s="13">
        <f t="shared" si="9"/>
        <v>2021</v>
      </c>
      <c r="E247" s="13" t="str">
        <f t="shared" si="10"/>
        <v>Sep</v>
      </c>
      <c r="F247" s="13" t="str">
        <f t="shared" si="11"/>
        <v>Ok</v>
      </c>
    </row>
    <row r="248" spans="1:6" ht="25.95" customHeight="1" x14ac:dyDescent="0.3">
      <c r="A248" s="22">
        <v>44439</v>
      </c>
      <c r="B248" s="13" t="s">
        <v>8</v>
      </c>
      <c r="C248" s="13">
        <v>32.822400000000002</v>
      </c>
      <c r="D248" s="13">
        <f t="shared" si="9"/>
        <v>2021</v>
      </c>
      <c r="E248" s="13" t="str">
        <f t="shared" si="10"/>
        <v>Aug</v>
      </c>
      <c r="F248" s="13" t="str">
        <f t="shared" si="11"/>
        <v>Ok</v>
      </c>
    </row>
    <row r="249" spans="1:6" ht="25.95" customHeight="1" x14ac:dyDescent="0.3">
      <c r="A249" s="22">
        <v>44439</v>
      </c>
      <c r="B249" s="13" t="s">
        <v>7</v>
      </c>
      <c r="C249" s="13">
        <v>41</v>
      </c>
      <c r="D249" s="13">
        <f t="shared" si="9"/>
        <v>2021</v>
      </c>
      <c r="E249" s="13" t="str">
        <f t="shared" si="10"/>
        <v>Aug</v>
      </c>
      <c r="F249" s="13" t="str">
        <f t="shared" si="11"/>
        <v>Ok</v>
      </c>
    </row>
    <row r="250" spans="1:6" ht="25.95" customHeight="1" x14ac:dyDescent="0.3">
      <c r="A250" s="22">
        <v>44439</v>
      </c>
      <c r="B250" s="13" t="s">
        <v>6</v>
      </c>
      <c r="C250" s="13">
        <v>752</v>
      </c>
      <c r="D250" s="13">
        <f t="shared" si="9"/>
        <v>2021</v>
      </c>
      <c r="E250" s="13" t="str">
        <f t="shared" si="10"/>
        <v>Aug</v>
      </c>
      <c r="F250" s="13" t="str">
        <f t="shared" si="11"/>
        <v>Ok</v>
      </c>
    </row>
    <row r="251" spans="1:6" ht="25.95" customHeight="1" x14ac:dyDescent="0.3">
      <c r="A251" s="22">
        <v>44439</v>
      </c>
      <c r="B251" s="13" t="s">
        <v>5</v>
      </c>
      <c r="C251" s="13">
        <v>182</v>
      </c>
      <c r="D251" s="13">
        <f t="shared" si="9"/>
        <v>2021</v>
      </c>
      <c r="E251" s="13" t="str">
        <f t="shared" si="10"/>
        <v>Aug</v>
      </c>
      <c r="F251" s="13" t="str">
        <f t="shared" si="11"/>
        <v>Ok</v>
      </c>
    </row>
    <row r="252" spans="1:6" ht="25.95" customHeight="1" x14ac:dyDescent="0.3">
      <c r="A252" s="22">
        <v>44439</v>
      </c>
      <c r="B252" s="13" t="s">
        <v>4</v>
      </c>
      <c r="C252" s="13">
        <v>17132</v>
      </c>
      <c r="D252" s="13">
        <f t="shared" si="9"/>
        <v>2021</v>
      </c>
      <c r="E252" s="13" t="str">
        <f t="shared" si="10"/>
        <v>Aug</v>
      </c>
      <c r="F252" s="13" t="str">
        <f t="shared" si="11"/>
        <v>Ok</v>
      </c>
    </row>
    <row r="253" spans="1:6" ht="25.95" customHeight="1" x14ac:dyDescent="0.3">
      <c r="A253" s="22">
        <v>44439</v>
      </c>
      <c r="B253" s="13" t="s">
        <v>3</v>
      </c>
      <c r="C253" s="13">
        <v>3413</v>
      </c>
      <c r="D253" s="13">
        <f t="shared" si="9"/>
        <v>2021</v>
      </c>
      <c r="E253" s="13" t="str">
        <f t="shared" si="10"/>
        <v>Aug</v>
      </c>
      <c r="F253" s="13" t="str">
        <f t="shared" si="11"/>
        <v>Ok</v>
      </c>
    </row>
    <row r="254" spans="1:6" ht="25.95" customHeight="1" x14ac:dyDescent="0.3">
      <c r="A254" s="22">
        <v>44408</v>
      </c>
      <c r="B254" s="13" t="s">
        <v>8</v>
      </c>
      <c r="C254" s="13">
        <v>32.5349</v>
      </c>
      <c r="D254" s="13">
        <f t="shared" si="9"/>
        <v>2021</v>
      </c>
      <c r="E254" s="13" t="str">
        <f t="shared" si="10"/>
        <v>Jul</v>
      </c>
      <c r="F254" s="13" t="str">
        <f t="shared" si="11"/>
        <v>Ok</v>
      </c>
    </row>
    <row r="255" spans="1:6" ht="25.95" customHeight="1" x14ac:dyDescent="0.3">
      <c r="A255" s="22">
        <v>44408</v>
      </c>
      <c r="B255" s="13" t="s">
        <v>7</v>
      </c>
      <c r="C255" s="13">
        <v>42</v>
      </c>
      <c r="D255" s="13">
        <f t="shared" si="9"/>
        <v>2021</v>
      </c>
      <c r="E255" s="13" t="str">
        <f t="shared" si="10"/>
        <v>Jul</v>
      </c>
      <c r="F255" s="13" t="str">
        <f t="shared" si="11"/>
        <v>Ok</v>
      </c>
    </row>
    <row r="256" spans="1:6" ht="25.95" customHeight="1" x14ac:dyDescent="0.3">
      <c r="A256" s="22">
        <v>44408</v>
      </c>
      <c r="B256" s="13" t="s">
        <v>6</v>
      </c>
      <c r="C256" s="13">
        <v>678</v>
      </c>
      <c r="D256" s="13">
        <f t="shared" si="9"/>
        <v>2021</v>
      </c>
      <c r="E256" s="13" t="str">
        <f t="shared" si="10"/>
        <v>Jul</v>
      </c>
      <c r="F256" s="13" t="str">
        <f t="shared" si="11"/>
        <v>Ok</v>
      </c>
    </row>
    <row r="257" spans="1:6" ht="25.95" customHeight="1" x14ac:dyDescent="0.3">
      <c r="A257" s="22">
        <v>44408</v>
      </c>
      <c r="B257" s="13" t="s">
        <v>5</v>
      </c>
      <c r="C257" s="13">
        <v>177</v>
      </c>
      <c r="D257" s="13">
        <f t="shared" si="9"/>
        <v>2021</v>
      </c>
      <c r="E257" s="13" t="str">
        <f t="shared" si="10"/>
        <v>Jul</v>
      </c>
      <c r="F257" s="13" t="str">
        <f t="shared" si="11"/>
        <v>Ok</v>
      </c>
    </row>
    <row r="258" spans="1:6" ht="25.95" customHeight="1" x14ac:dyDescent="0.3">
      <c r="A258" s="22">
        <v>44408</v>
      </c>
      <c r="B258" s="13" t="s">
        <v>4</v>
      </c>
      <c r="C258" s="13">
        <v>15763</v>
      </c>
      <c r="D258" s="13">
        <f t="shared" si="9"/>
        <v>2021</v>
      </c>
      <c r="E258" s="13" t="str">
        <f t="shared" si="10"/>
        <v>Jul</v>
      </c>
      <c r="F258" s="13" t="str">
        <f t="shared" si="11"/>
        <v>Ok</v>
      </c>
    </row>
    <row r="259" spans="1:6" ht="25.95" customHeight="1" x14ac:dyDescent="0.3">
      <c r="A259" s="22">
        <v>44408</v>
      </c>
      <c r="B259" s="13" t="s">
        <v>3</v>
      </c>
      <c r="C259" s="13">
        <v>2849</v>
      </c>
      <c r="D259" s="13">
        <f t="shared" si="9"/>
        <v>2021</v>
      </c>
      <c r="E259" s="13" t="str">
        <f t="shared" si="10"/>
        <v>Jul</v>
      </c>
      <c r="F259" s="13" t="str">
        <f t="shared" si="11"/>
        <v>Ok</v>
      </c>
    </row>
    <row r="260" spans="1:6" ht="25.95" customHeight="1" x14ac:dyDescent="0.3">
      <c r="A260" s="22">
        <v>44377</v>
      </c>
      <c r="B260" s="13" t="s">
        <v>8</v>
      </c>
      <c r="C260" s="13">
        <v>32.463900000000002</v>
      </c>
      <c r="D260" s="13">
        <f t="shared" si="9"/>
        <v>2021</v>
      </c>
      <c r="E260" s="13" t="str">
        <f t="shared" si="10"/>
        <v>Jun</v>
      </c>
      <c r="F260" s="13" t="str">
        <f t="shared" si="11"/>
        <v>Ok</v>
      </c>
    </row>
    <row r="261" spans="1:6" ht="25.95" customHeight="1" x14ac:dyDescent="0.3">
      <c r="A261" s="22">
        <v>44377</v>
      </c>
      <c r="B261" s="13" t="s">
        <v>7</v>
      </c>
      <c r="C261" s="13">
        <v>41</v>
      </c>
      <c r="D261" s="13">
        <f t="shared" si="9"/>
        <v>2021</v>
      </c>
      <c r="E261" s="13" t="str">
        <f t="shared" si="10"/>
        <v>Jun</v>
      </c>
      <c r="F261" s="13" t="str">
        <f t="shared" si="11"/>
        <v>Ok</v>
      </c>
    </row>
    <row r="262" spans="1:6" ht="25.95" customHeight="1" x14ac:dyDescent="0.3">
      <c r="A262" s="22">
        <v>44377</v>
      </c>
      <c r="B262" s="13" t="s">
        <v>6</v>
      </c>
      <c r="C262" s="13">
        <v>709</v>
      </c>
      <c r="D262" s="13">
        <f t="shared" si="9"/>
        <v>2021</v>
      </c>
      <c r="E262" s="13" t="str">
        <f t="shared" si="10"/>
        <v>Jun</v>
      </c>
      <c r="F262" s="13" t="str">
        <f t="shared" si="11"/>
        <v>Ok</v>
      </c>
    </row>
    <row r="263" spans="1:6" ht="25.95" customHeight="1" x14ac:dyDescent="0.3">
      <c r="A263" s="22">
        <v>44377</v>
      </c>
      <c r="B263" s="13" t="s">
        <v>5</v>
      </c>
      <c r="C263" s="13">
        <v>170</v>
      </c>
      <c r="D263" s="13">
        <f t="shared" si="9"/>
        <v>2021</v>
      </c>
      <c r="E263" s="13" t="str">
        <f t="shared" si="10"/>
        <v>Jun</v>
      </c>
      <c r="F263" s="13" t="str">
        <f t="shared" si="11"/>
        <v>Ok</v>
      </c>
    </row>
    <row r="264" spans="1:6" ht="25.95" customHeight="1" x14ac:dyDescent="0.3">
      <c r="A264" s="22">
        <v>44377</v>
      </c>
      <c r="B264" s="13" t="s">
        <v>4</v>
      </c>
      <c r="C264" s="13">
        <v>15722</v>
      </c>
      <c r="D264" s="13">
        <f t="shared" ref="D264:D327" si="12">YEAR(A264)</f>
        <v>2021</v>
      </c>
      <c r="E264" s="13" t="str">
        <f t="shared" ref="E264:E327" si="13">TEXT(A264,"mmm")</f>
        <v>Jun</v>
      </c>
      <c r="F264" s="13" t="str">
        <f t="shared" ref="F264:F327" si="14">IF(C264&lt;=0,"Error","Ok")</f>
        <v>Ok</v>
      </c>
    </row>
    <row r="265" spans="1:6" ht="25.95" customHeight="1" x14ac:dyDescent="0.3">
      <c r="A265" s="22">
        <v>44377</v>
      </c>
      <c r="B265" s="13" t="s">
        <v>3</v>
      </c>
      <c r="C265" s="13">
        <v>3009</v>
      </c>
      <c r="D265" s="13">
        <f t="shared" si="12"/>
        <v>2021</v>
      </c>
      <c r="E265" s="13" t="str">
        <f t="shared" si="13"/>
        <v>Jun</v>
      </c>
      <c r="F265" s="13" t="str">
        <f t="shared" si="14"/>
        <v>Ok</v>
      </c>
    </row>
    <row r="266" spans="1:6" ht="25.95" customHeight="1" x14ac:dyDescent="0.3">
      <c r="A266" s="22">
        <v>44347</v>
      </c>
      <c r="B266" s="13" t="s">
        <v>8</v>
      </c>
      <c r="C266" s="13">
        <v>32.441099999999999</v>
      </c>
      <c r="D266" s="13">
        <f t="shared" si="12"/>
        <v>2021</v>
      </c>
      <c r="E266" s="13" t="str">
        <f t="shared" si="13"/>
        <v>May</v>
      </c>
      <c r="F266" s="13" t="str">
        <f t="shared" si="14"/>
        <v>Ok</v>
      </c>
    </row>
    <row r="267" spans="1:6" ht="25.95" customHeight="1" x14ac:dyDescent="0.3">
      <c r="A267" s="22">
        <v>44347</v>
      </c>
      <c r="B267" s="13" t="s">
        <v>7</v>
      </c>
      <c r="C267" s="13">
        <v>43</v>
      </c>
      <c r="D267" s="13">
        <f t="shared" si="12"/>
        <v>2021</v>
      </c>
      <c r="E267" s="13" t="str">
        <f t="shared" si="13"/>
        <v>May</v>
      </c>
      <c r="F267" s="13" t="str">
        <f t="shared" si="14"/>
        <v>Ok</v>
      </c>
    </row>
    <row r="268" spans="1:6" ht="25.95" customHeight="1" x14ac:dyDescent="0.3">
      <c r="A268" s="22">
        <v>44347</v>
      </c>
      <c r="B268" s="13" t="s">
        <v>6</v>
      </c>
      <c r="C268" s="13">
        <v>718</v>
      </c>
      <c r="D268" s="13">
        <f t="shared" si="12"/>
        <v>2021</v>
      </c>
      <c r="E268" s="13" t="str">
        <f t="shared" si="13"/>
        <v>May</v>
      </c>
      <c r="F268" s="13" t="str">
        <f t="shared" si="14"/>
        <v>Ok</v>
      </c>
    </row>
    <row r="269" spans="1:6" ht="25.95" customHeight="1" x14ac:dyDescent="0.3">
      <c r="A269" s="22">
        <v>44347</v>
      </c>
      <c r="B269" s="13" t="s">
        <v>5</v>
      </c>
      <c r="C269" s="13">
        <v>182</v>
      </c>
      <c r="D269" s="13">
        <f t="shared" si="12"/>
        <v>2021</v>
      </c>
      <c r="E269" s="13" t="str">
        <f t="shared" si="13"/>
        <v>May</v>
      </c>
      <c r="F269" s="13" t="str">
        <f t="shared" si="14"/>
        <v>Ok</v>
      </c>
    </row>
    <row r="270" spans="1:6" ht="25.95" customHeight="1" x14ac:dyDescent="0.3">
      <c r="A270" s="22">
        <v>44347</v>
      </c>
      <c r="B270" s="13" t="s">
        <v>4</v>
      </c>
      <c r="C270" s="13">
        <v>15583</v>
      </c>
      <c r="D270" s="13">
        <f t="shared" si="12"/>
        <v>2021</v>
      </c>
      <c r="E270" s="13" t="str">
        <f t="shared" si="13"/>
        <v>May</v>
      </c>
      <c r="F270" s="13" t="str">
        <f t="shared" si="14"/>
        <v>Ok</v>
      </c>
    </row>
    <row r="271" spans="1:6" ht="25.95" customHeight="1" x14ac:dyDescent="0.3">
      <c r="A271" s="22">
        <v>44347</v>
      </c>
      <c r="B271" s="13" t="s">
        <v>3</v>
      </c>
      <c r="C271" s="13">
        <v>2828</v>
      </c>
      <c r="D271" s="13">
        <f t="shared" si="12"/>
        <v>2021</v>
      </c>
      <c r="E271" s="13" t="str">
        <f t="shared" si="13"/>
        <v>May</v>
      </c>
      <c r="F271" s="13" t="str">
        <f t="shared" si="14"/>
        <v>Ok</v>
      </c>
    </row>
    <row r="272" spans="1:6" ht="25.95" customHeight="1" x14ac:dyDescent="0.3">
      <c r="A272" s="22">
        <v>44316</v>
      </c>
      <c r="B272" s="13" t="s">
        <v>8</v>
      </c>
      <c r="C272" s="13">
        <v>32.297400000000003</v>
      </c>
      <c r="D272" s="13">
        <f t="shared" si="12"/>
        <v>2021</v>
      </c>
      <c r="E272" s="13" t="str">
        <f t="shared" si="13"/>
        <v>Apr</v>
      </c>
      <c r="F272" s="13" t="str">
        <f t="shared" si="14"/>
        <v>Ok</v>
      </c>
    </row>
    <row r="273" spans="1:6" ht="25.95" customHeight="1" x14ac:dyDescent="0.3">
      <c r="A273" s="22">
        <v>44316</v>
      </c>
      <c r="B273" s="13" t="s">
        <v>7</v>
      </c>
      <c r="C273" s="13">
        <v>41</v>
      </c>
      <c r="D273" s="13">
        <f t="shared" si="12"/>
        <v>2021</v>
      </c>
      <c r="E273" s="13" t="str">
        <f t="shared" si="13"/>
        <v>Apr</v>
      </c>
      <c r="F273" s="13" t="str">
        <f t="shared" si="14"/>
        <v>Ok</v>
      </c>
    </row>
    <row r="274" spans="1:6" ht="25.95" customHeight="1" x14ac:dyDescent="0.3">
      <c r="A274" s="22">
        <v>44316</v>
      </c>
      <c r="B274" s="13" t="s">
        <v>6</v>
      </c>
      <c r="C274" s="13">
        <v>669</v>
      </c>
      <c r="D274" s="13">
        <f t="shared" si="12"/>
        <v>2021</v>
      </c>
      <c r="E274" s="13" t="str">
        <f t="shared" si="13"/>
        <v>Apr</v>
      </c>
      <c r="F274" s="13" t="str">
        <f t="shared" si="14"/>
        <v>Ok</v>
      </c>
    </row>
    <row r="275" spans="1:6" ht="25.95" customHeight="1" x14ac:dyDescent="0.3">
      <c r="A275" s="22">
        <v>44316</v>
      </c>
      <c r="B275" s="13" t="s">
        <v>5</v>
      </c>
      <c r="C275" s="13">
        <v>170</v>
      </c>
      <c r="D275" s="13">
        <f t="shared" si="12"/>
        <v>2021</v>
      </c>
      <c r="E275" s="13" t="str">
        <f t="shared" si="13"/>
        <v>Apr</v>
      </c>
      <c r="F275" s="13" t="str">
        <f t="shared" si="14"/>
        <v>Ok</v>
      </c>
    </row>
    <row r="276" spans="1:6" ht="25.95" customHeight="1" x14ac:dyDescent="0.3">
      <c r="A276" s="22">
        <v>44316</v>
      </c>
      <c r="B276" s="13" t="s">
        <v>4</v>
      </c>
      <c r="C276" s="13">
        <v>14631</v>
      </c>
      <c r="D276" s="13">
        <f t="shared" si="12"/>
        <v>2021</v>
      </c>
      <c r="E276" s="13" t="str">
        <f t="shared" si="13"/>
        <v>Apr</v>
      </c>
      <c r="F276" s="13" t="str">
        <f t="shared" si="14"/>
        <v>Ok</v>
      </c>
    </row>
    <row r="277" spans="1:6" ht="25.95" customHeight="1" x14ac:dyDescent="0.3">
      <c r="A277" s="22">
        <v>44316</v>
      </c>
      <c r="B277" s="13" t="s">
        <v>3</v>
      </c>
      <c r="C277" s="13">
        <v>2717</v>
      </c>
      <c r="D277" s="13">
        <f t="shared" si="12"/>
        <v>2021</v>
      </c>
      <c r="E277" s="13" t="str">
        <f t="shared" si="13"/>
        <v>Apr</v>
      </c>
      <c r="F277" s="13" t="str">
        <f t="shared" si="14"/>
        <v>Ok</v>
      </c>
    </row>
    <row r="278" spans="1:6" ht="25.95" customHeight="1" x14ac:dyDescent="0.3">
      <c r="A278" s="22">
        <v>44286</v>
      </c>
      <c r="B278" s="13" t="s">
        <v>8</v>
      </c>
      <c r="C278" s="13">
        <v>32.000900000000001</v>
      </c>
      <c r="D278" s="13">
        <f t="shared" si="12"/>
        <v>2021</v>
      </c>
      <c r="E278" s="13" t="str">
        <f t="shared" si="13"/>
        <v>Mar</v>
      </c>
      <c r="F278" s="13" t="str">
        <f t="shared" si="14"/>
        <v>Ok</v>
      </c>
    </row>
    <row r="279" spans="1:6" ht="25.95" customHeight="1" x14ac:dyDescent="0.3">
      <c r="A279" s="22">
        <v>44286</v>
      </c>
      <c r="B279" s="13" t="s">
        <v>7</v>
      </c>
      <c r="C279" s="13">
        <v>38</v>
      </c>
      <c r="D279" s="13">
        <f t="shared" si="12"/>
        <v>2021</v>
      </c>
      <c r="E279" s="13" t="str">
        <f t="shared" si="13"/>
        <v>Mar</v>
      </c>
      <c r="F279" s="13" t="str">
        <f t="shared" si="14"/>
        <v>Ok</v>
      </c>
    </row>
    <row r="280" spans="1:6" ht="25.95" customHeight="1" x14ac:dyDescent="0.3">
      <c r="A280" s="22">
        <v>44286</v>
      </c>
      <c r="B280" s="13" t="s">
        <v>6</v>
      </c>
      <c r="C280" s="13">
        <v>707</v>
      </c>
      <c r="D280" s="13">
        <f t="shared" si="12"/>
        <v>2021</v>
      </c>
      <c r="E280" s="13" t="str">
        <f t="shared" si="13"/>
        <v>Mar</v>
      </c>
      <c r="F280" s="13" t="str">
        <f t="shared" si="14"/>
        <v>Ok</v>
      </c>
    </row>
    <row r="281" spans="1:6" ht="25.95" customHeight="1" x14ac:dyDescent="0.3">
      <c r="A281" s="22">
        <v>44286</v>
      </c>
      <c r="B281" s="13" t="s">
        <v>5</v>
      </c>
      <c r="C281" s="13">
        <v>183</v>
      </c>
      <c r="D281" s="13">
        <f t="shared" si="12"/>
        <v>2021</v>
      </c>
      <c r="E281" s="13" t="str">
        <f t="shared" si="13"/>
        <v>Mar</v>
      </c>
      <c r="F281" s="13" t="str">
        <f t="shared" si="14"/>
        <v>Ok</v>
      </c>
    </row>
    <row r="282" spans="1:6" ht="25.95" customHeight="1" x14ac:dyDescent="0.3">
      <c r="A282" s="22">
        <v>44286</v>
      </c>
      <c r="B282" s="13" t="s">
        <v>4</v>
      </c>
      <c r="C282" s="13">
        <v>14691</v>
      </c>
      <c r="D282" s="13">
        <f t="shared" si="12"/>
        <v>2021</v>
      </c>
      <c r="E282" s="13" t="str">
        <f t="shared" si="13"/>
        <v>Mar</v>
      </c>
      <c r="F282" s="13" t="str">
        <f t="shared" si="14"/>
        <v>Ok</v>
      </c>
    </row>
    <row r="283" spans="1:6" ht="25.95" customHeight="1" x14ac:dyDescent="0.3">
      <c r="A283" s="22">
        <v>44286</v>
      </c>
      <c r="B283" s="13" t="s">
        <v>3</v>
      </c>
      <c r="C283" s="13">
        <v>2844</v>
      </c>
      <c r="D283" s="13">
        <f t="shared" si="12"/>
        <v>2021</v>
      </c>
      <c r="E283" s="13" t="str">
        <f t="shared" si="13"/>
        <v>Mar</v>
      </c>
      <c r="F283" s="13" t="str">
        <f t="shared" si="14"/>
        <v>Ok</v>
      </c>
    </row>
    <row r="284" spans="1:6" ht="25.95" customHeight="1" x14ac:dyDescent="0.3">
      <c r="A284" s="22">
        <v>44255</v>
      </c>
      <c r="B284" s="13" t="s">
        <v>8</v>
      </c>
      <c r="C284" s="13">
        <v>31.603000000000002</v>
      </c>
      <c r="D284" s="13">
        <f t="shared" si="12"/>
        <v>2021</v>
      </c>
      <c r="E284" s="13" t="str">
        <f t="shared" si="13"/>
        <v>Feb</v>
      </c>
      <c r="F284" s="13" t="str">
        <f t="shared" si="14"/>
        <v>Ok</v>
      </c>
    </row>
    <row r="285" spans="1:6" ht="25.95" customHeight="1" x14ac:dyDescent="0.3">
      <c r="A285" s="22">
        <v>44255</v>
      </c>
      <c r="B285" s="13" t="s">
        <v>7</v>
      </c>
      <c r="C285" s="13">
        <v>40</v>
      </c>
      <c r="D285" s="13">
        <f t="shared" si="12"/>
        <v>2021</v>
      </c>
      <c r="E285" s="13" t="str">
        <f t="shared" si="13"/>
        <v>Feb</v>
      </c>
      <c r="F285" s="13" t="str">
        <f t="shared" si="14"/>
        <v>Ok</v>
      </c>
    </row>
    <row r="286" spans="1:6" ht="25.95" customHeight="1" x14ac:dyDescent="0.3">
      <c r="A286" s="22">
        <v>44255</v>
      </c>
      <c r="B286" s="13" t="s">
        <v>6</v>
      </c>
      <c r="C286" s="13">
        <v>727</v>
      </c>
      <c r="D286" s="13">
        <f t="shared" si="12"/>
        <v>2021</v>
      </c>
      <c r="E286" s="13" t="str">
        <f t="shared" si="13"/>
        <v>Feb</v>
      </c>
      <c r="F286" s="13" t="str">
        <f t="shared" si="14"/>
        <v>Ok</v>
      </c>
    </row>
    <row r="287" spans="1:6" ht="25.95" customHeight="1" x14ac:dyDescent="0.3">
      <c r="A287" s="22">
        <v>44255</v>
      </c>
      <c r="B287" s="13" t="s">
        <v>5</v>
      </c>
      <c r="C287" s="13">
        <v>167</v>
      </c>
      <c r="D287" s="13">
        <f t="shared" si="12"/>
        <v>2021</v>
      </c>
      <c r="E287" s="13" t="str">
        <f t="shared" si="13"/>
        <v>Feb</v>
      </c>
      <c r="F287" s="13" t="str">
        <f t="shared" si="14"/>
        <v>Ok</v>
      </c>
    </row>
    <row r="288" spans="1:6" ht="25.95" customHeight="1" x14ac:dyDescent="0.3">
      <c r="A288" s="22">
        <v>44255</v>
      </c>
      <c r="B288" s="13" t="s">
        <v>4</v>
      </c>
      <c r="C288" s="13">
        <v>14529</v>
      </c>
      <c r="D288" s="13">
        <f t="shared" si="12"/>
        <v>2021</v>
      </c>
      <c r="E288" s="13" t="str">
        <f t="shared" si="13"/>
        <v>Feb</v>
      </c>
      <c r="F288" s="13" t="str">
        <f t="shared" si="14"/>
        <v>Ok</v>
      </c>
    </row>
    <row r="289" spans="1:6" ht="25.95" customHeight="1" x14ac:dyDescent="0.3">
      <c r="A289" s="22">
        <v>44255</v>
      </c>
      <c r="B289" s="13" t="s">
        <v>3</v>
      </c>
      <c r="C289" s="13">
        <v>2591</v>
      </c>
      <c r="D289" s="13">
        <f t="shared" si="12"/>
        <v>2021</v>
      </c>
      <c r="E289" s="13" t="str">
        <f t="shared" si="13"/>
        <v>Feb</v>
      </c>
      <c r="F289" s="13" t="str">
        <f t="shared" si="14"/>
        <v>Ok</v>
      </c>
    </row>
    <row r="290" spans="1:6" ht="25.95" customHeight="1" x14ac:dyDescent="0.3">
      <c r="A290" s="22">
        <v>44227</v>
      </c>
      <c r="B290" s="13" t="s">
        <v>8</v>
      </c>
      <c r="C290" s="13">
        <v>32.048099999999998</v>
      </c>
      <c r="D290" s="13">
        <f t="shared" si="12"/>
        <v>2021</v>
      </c>
      <c r="E290" s="13" t="str">
        <f t="shared" si="13"/>
        <v>Jan</v>
      </c>
      <c r="F290" s="13" t="str">
        <f t="shared" si="14"/>
        <v>Ok</v>
      </c>
    </row>
    <row r="291" spans="1:6" ht="25.95" customHeight="1" x14ac:dyDescent="0.3">
      <c r="A291" s="22">
        <v>44227</v>
      </c>
      <c r="B291" s="13" t="s">
        <v>7</v>
      </c>
      <c r="C291" s="13">
        <v>43</v>
      </c>
      <c r="D291" s="13">
        <f t="shared" si="12"/>
        <v>2021</v>
      </c>
      <c r="E291" s="13" t="str">
        <f t="shared" si="13"/>
        <v>Jan</v>
      </c>
      <c r="F291" s="13" t="str">
        <f t="shared" si="14"/>
        <v>Ok</v>
      </c>
    </row>
    <row r="292" spans="1:6" ht="25.95" customHeight="1" x14ac:dyDescent="0.3">
      <c r="A292" s="22">
        <v>44227</v>
      </c>
      <c r="B292" s="13" t="s">
        <v>6</v>
      </c>
      <c r="C292" s="13">
        <v>659</v>
      </c>
      <c r="D292" s="13">
        <f t="shared" si="12"/>
        <v>2021</v>
      </c>
      <c r="E292" s="13" t="str">
        <f t="shared" si="13"/>
        <v>Jan</v>
      </c>
      <c r="F292" s="13" t="str">
        <f t="shared" si="14"/>
        <v>Ok</v>
      </c>
    </row>
    <row r="293" spans="1:6" ht="25.95" customHeight="1" x14ac:dyDescent="0.3">
      <c r="A293" s="22">
        <v>44227</v>
      </c>
      <c r="B293" s="13" t="s">
        <v>5</v>
      </c>
      <c r="C293" s="13">
        <v>166</v>
      </c>
      <c r="D293" s="13">
        <f t="shared" si="12"/>
        <v>2021</v>
      </c>
      <c r="E293" s="13" t="str">
        <f t="shared" si="13"/>
        <v>Jan</v>
      </c>
      <c r="F293" s="13" t="str">
        <f t="shared" si="14"/>
        <v>Ok</v>
      </c>
    </row>
    <row r="294" spans="1:6" ht="25.95" customHeight="1" x14ac:dyDescent="0.3">
      <c r="A294" s="22">
        <v>44227</v>
      </c>
      <c r="B294" s="13" t="s">
        <v>4</v>
      </c>
      <c r="C294" s="13">
        <v>13635</v>
      </c>
      <c r="D294" s="13">
        <f t="shared" si="12"/>
        <v>2021</v>
      </c>
      <c r="E294" s="13" t="str">
        <f t="shared" si="13"/>
        <v>Jan</v>
      </c>
      <c r="F294" s="13" t="str">
        <f t="shared" si="14"/>
        <v>Ok</v>
      </c>
    </row>
    <row r="295" spans="1:6" ht="25.95" customHeight="1" x14ac:dyDescent="0.3">
      <c r="A295" s="22">
        <v>44227</v>
      </c>
      <c r="B295" s="13" t="s">
        <v>3</v>
      </c>
      <c r="C295" s="13">
        <v>2780</v>
      </c>
      <c r="D295" s="13">
        <f t="shared" si="12"/>
        <v>2021</v>
      </c>
      <c r="E295" s="13" t="str">
        <f t="shared" si="13"/>
        <v>Jan</v>
      </c>
      <c r="F295" s="13" t="str">
        <f t="shared" si="14"/>
        <v>Ok</v>
      </c>
    </row>
    <row r="296" spans="1:6" ht="25.95" customHeight="1" x14ac:dyDescent="0.3">
      <c r="A296" s="22">
        <v>44196</v>
      </c>
      <c r="B296" s="13" t="s">
        <v>8</v>
      </c>
      <c r="C296" s="13">
        <v>32.087699999999998</v>
      </c>
      <c r="D296" s="13">
        <f t="shared" si="12"/>
        <v>2020</v>
      </c>
      <c r="E296" s="13" t="str">
        <f t="shared" si="13"/>
        <v>Dec</v>
      </c>
      <c r="F296" s="13" t="str">
        <f t="shared" si="14"/>
        <v>Ok</v>
      </c>
    </row>
    <row r="297" spans="1:6" ht="25.95" customHeight="1" x14ac:dyDescent="0.3">
      <c r="A297" s="22">
        <v>44196</v>
      </c>
      <c r="B297" s="13" t="s">
        <v>7</v>
      </c>
      <c r="C297" s="13">
        <v>44</v>
      </c>
      <c r="D297" s="13">
        <f t="shared" si="12"/>
        <v>2020</v>
      </c>
      <c r="E297" s="13" t="str">
        <f t="shared" si="13"/>
        <v>Dec</v>
      </c>
      <c r="F297" s="13" t="str">
        <f t="shared" si="14"/>
        <v>Ok</v>
      </c>
    </row>
    <row r="298" spans="1:6" ht="25.95" customHeight="1" x14ac:dyDescent="0.3">
      <c r="A298" s="22">
        <v>44196</v>
      </c>
      <c r="B298" s="13" t="s">
        <v>6</v>
      </c>
      <c r="C298" s="13">
        <v>680</v>
      </c>
      <c r="D298" s="13">
        <f t="shared" si="12"/>
        <v>2020</v>
      </c>
      <c r="E298" s="13" t="str">
        <f t="shared" si="13"/>
        <v>Dec</v>
      </c>
      <c r="F298" s="13" t="str">
        <f t="shared" si="14"/>
        <v>Ok</v>
      </c>
    </row>
    <row r="299" spans="1:6" ht="25.95" customHeight="1" x14ac:dyDescent="0.3">
      <c r="A299" s="22">
        <v>44196</v>
      </c>
      <c r="B299" s="13" t="s">
        <v>5</v>
      </c>
      <c r="C299" s="13">
        <v>171</v>
      </c>
      <c r="D299" s="13">
        <f t="shared" si="12"/>
        <v>2020</v>
      </c>
      <c r="E299" s="13" t="str">
        <f t="shared" si="13"/>
        <v>Dec</v>
      </c>
      <c r="F299" s="13" t="str">
        <f t="shared" si="14"/>
        <v>Ok</v>
      </c>
    </row>
    <row r="300" spans="1:6" ht="25.95" customHeight="1" x14ac:dyDescent="0.3">
      <c r="A300" s="22">
        <v>44196</v>
      </c>
      <c r="B300" s="13" t="s">
        <v>4</v>
      </c>
      <c r="C300" s="13">
        <v>13982</v>
      </c>
      <c r="D300" s="13">
        <f t="shared" si="12"/>
        <v>2020</v>
      </c>
      <c r="E300" s="13" t="str">
        <f t="shared" si="13"/>
        <v>Dec</v>
      </c>
      <c r="F300" s="13" t="str">
        <f t="shared" si="14"/>
        <v>Ok</v>
      </c>
    </row>
    <row r="301" spans="1:6" ht="25.95" customHeight="1" x14ac:dyDescent="0.3">
      <c r="A301" s="22">
        <v>44196</v>
      </c>
      <c r="B301" s="13" t="s">
        <v>3</v>
      </c>
      <c r="C301" s="13">
        <v>2557</v>
      </c>
      <c r="D301" s="13">
        <f t="shared" si="12"/>
        <v>2020</v>
      </c>
      <c r="E301" s="13" t="str">
        <f t="shared" si="13"/>
        <v>Dec</v>
      </c>
      <c r="F301" s="13" t="str">
        <f t="shared" si="14"/>
        <v>Ok</v>
      </c>
    </row>
    <row r="302" spans="1:6" ht="25.95" customHeight="1" x14ac:dyDescent="0.3">
      <c r="A302" s="22">
        <v>44165</v>
      </c>
      <c r="B302" s="13" t="s">
        <v>8</v>
      </c>
      <c r="C302" s="13">
        <v>31.992000000000001</v>
      </c>
      <c r="D302" s="13">
        <f t="shared" si="12"/>
        <v>2020</v>
      </c>
      <c r="E302" s="13" t="str">
        <f t="shared" si="13"/>
        <v>Nov</v>
      </c>
      <c r="F302" s="13" t="str">
        <f t="shared" si="14"/>
        <v>Ok</v>
      </c>
    </row>
    <row r="303" spans="1:6" ht="25.95" customHeight="1" x14ac:dyDescent="0.3">
      <c r="A303" s="22">
        <v>44165</v>
      </c>
      <c r="B303" s="13" t="s">
        <v>7</v>
      </c>
      <c r="C303" s="13">
        <v>43</v>
      </c>
      <c r="D303" s="13">
        <f t="shared" si="12"/>
        <v>2020</v>
      </c>
      <c r="E303" s="13" t="str">
        <f t="shared" si="13"/>
        <v>Nov</v>
      </c>
      <c r="F303" s="13" t="str">
        <f t="shared" si="14"/>
        <v>Ok</v>
      </c>
    </row>
    <row r="304" spans="1:6" ht="25.95" customHeight="1" x14ac:dyDescent="0.3">
      <c r="A304" s="22">
        <v>44165</v>
      </c>
      <c r="B304" s="13" t="s">
        <v>6</v>
      </c>
      <c r="C304" s="13">
        <v>682</v>
      </c>
      <c r="D304" s="13">
        <f t="shared" si="12"/>
        <v>2020</v>
      </c>
      <c r="E304" s="13" t="str">
        <f t="shared" si="13"/>
        <v>Nov</v>
      </c>
      <c r="F304" s="13" t="str">
        <f t="shared" si="14"/>
        <v>Ok</v>
      </c>
    </row>
    <row r="305" spans="1:6" ht="25.95" customHeight="1" x14ac:dyDescent="0.3">
      <c r="A305" s="22">
        <v>44165</v>
      </c>
      <c r="B305" s="13" t="s">
        <v>5</v>
      </c>
      <c r="C305" s="13">
        <v>159</v>
      </c>
      <c r="D305" s="13">
        <f t="shared" si="12"/>
        <v>2020</v>
      </c>
      <c r="E305" s="13" t="str">
        <f t="shared" si="13"/>
        <v>Nov</v>
      </c>
      <c r="F305" s="13" t="str">
        <f t="shared" si="14"/>
        <v>Ok</v>
      </c>
    </row>
    <row r="306" spans="1:6" ht="25.95" customHeight="1" x14ac:dyDescent="0.3">
      <c r="A306" s="22">
        <v>44165</v>
      </c>
      <c r="B306" s="13" t="s">
        <v>4</v>
      </c>
      <c r="C306" s="13">
        <v>12969</v>
      </c>
      <c r="D306" s="13">
        <f t="shared" si="12"/>
        <v>2020</v>
      </c>
      <c r="E306" s="13" t="str">
        <f t="shared" si="13"/>
        <v>Nov</v>
      </c>
      <c r="F306" s="13" t="str">
        <f t="shared" si="14"/>
        <v>Ok</v>
      </c>
    </row>
    <row r="307" spans="1:6" ht="25.95" customHeight="1" x14ac:dyDescent="0.3">
      <c r="A307" s="22">
        <v>44165</v>
      </c>
      <c r="B307" s="13" t="s">
        <v>3</v>
      </c>
      <c r="C307" s="13">
        <v>2394</v>
      </c>
      <c r="D307" s="13">
        <f t="shared" si="12"/>
        <v>2020</v>
      </c>
      <c r="E307" s="13" t="str">
        <f t="shared" si="13"/>
        <v>Nov</v>
      </c>
      <c r="F307" s="13" t="str">
        <f t="shared" si="14"/>
        <v>Ok</v>
      </c>
    </row>
    <row r="308" spans="1:6" ht="25.95" customHeight="1" x14ac:dyDescent="0.3">
      <c r="A308" s="22">
        <v>44135</v>
      </c>
      <c r="B308" s="13" t="s">
        <v>8</v>
      </c>
      <c r="C308" s="13">
        <v>31.782699999999998</v>
      </c>
      <c r="D308" s="13">
        <f t="shared" si="12"/>
        <v>2020</v>
      </c>
      <c r="E308" s="13" t="str">
        <f t="shared" si="13"/>
        <v>Oct</v>
      </c>
      <c r="F308" s="13" t="str">
        <f t="shared" si="14"/>
        <v>Ok</v>
      </c>
    </row>
    <row r="309" spans="1:6" ht="25.95" customHeight="1" x14ac:dyDescent="0.3">
      <c r="A309" s="22">
        <v>44135</v>
      </c>
      <c r="B309" s="13" t="s">
        <v>7</v>
      </c>
      <c r="C309" s="13">
        <v>44</v>
      </c>
      <c r="D309" s="13">
        <f t="shared" si="12"/>
        <v>2020</v>
      </c>
      <c r="E309" s="13" t="str">
        <f t="shared" si="13"/>
        <v>Oct</v>
      </c>
      <c r="F309" s="13" t="str">
        <f t="shared" si="14"/>
        <v>Ok</v>
      </c>
    </row>
    <row r="310" spans="1:6" ht="25.95" customHeight="1" x14ac:dyDescent="0.3">
      <c r="A310" s="22">
        <v>44135</v>
      </c>
      <c r="B310" s="13" t="s">
        <v>6</v>
      </c>
      <c r="C310" s="13">
        <v>561</v>
      </c>
      <c r="D310" s="13">
        <f t="shared" si="12"/>
        <v>2020</v>
      </c>
      <c r="E310" s="13" t="str">
        <f t="shared" si="13"/>
        <v>Oct</v>
      </c>
      <c r="F310" s="13" t="str">
        <f t="shared" si="14"/>
        <v>Ok</v>
      </c>
    </row>
    <row r="311" spans="1:6" ht="25.95" customHeight="1" x14ac:dyDescent="0.3">
      <c r="A311" s="22">
        <v>44135</v>
      </c>
      <c r="B311" s="13" t="s">
        <v>5</v>
      </c>
      <c r="C311" s="13">
        <v>135</v>
      </c>
      <c r="D311" s="13">
        <f t="shared" si="12"/>
        <v>2020</v>
      </c>
      <c r="E311" s="13" t="str">
        <f t="shared" si="13"/>
        <v>Oct</v>
      </c>
      <c r="F311" s="13" t="str">
        <f t="shared" si="14"/>
        <v>Ok</v>
      </c>
    </row>
    <row r="312" spans="1:6" ht="25.95" customHeight="1" x14ac:dyDescent="0.3">
      <c r="A312" s="22">
        <v>44135</v>
      </c>
      <c r="B312" s="13" t="s">
        <v>4</v>
      </c>
      <c r="C312" s="13">
        <v>11642</v>
      </c>
      <c r="D312" s="13">
        <f t="shared" si="12"/>
        <v>2020</v>
      </c>
      <c r="E312" s="13" t="str">
        <f t="shared" si="13"/>
        <v>Oct</v>
      </c>
      <c r="F312" s="13" t="str">
        <f t="shared" si="14"/>
        <v>Ok</v>
      </c>
    </row>
    <row r="313" spans="1:6" ht="25.95" customHeight="1" x14ac:dyDescent="0.3">
      <c r="A313" s="22">
        <v>44135</v>
      </c>
      <c r="B313" s="13" t="s">
        <v>3</v>
      </c>
      <c r="C313" s="13">
        <v>2371</v>
      </c>
      <c r="D313" s="13">
        <f t="shared" si="12"/>
        <v>2020</v>
      </c>
      <c r="E313" s="13" t="str">
        <f t="shared" si="13"/>
        <v>Oct</v>
      </c>
      <c r="F313" s="13" t="str">
        <f t="shared" si="14"/>
        <v>Ok</v>
      </c>
    </row>
    <row r="314" spans="1:6" ht="25.95" customHeight="1" x14ac:dyDescent="0.3">
      <c r="A314" s="22">
        <v>44104</v>
      </c>
      <c r="B314" s="13" t="s">
        <v>8</v>
      </c>
      <c r="C314" s="13">
        <v>31.211099999999998</v>
      </c>
      <c r="D314" s="13">
        <f t="shared" si="12"/>
        <v>2020</v>
      </c>
      <c r="E314" s="13" t="str">
        <f t="shared" si="13"/>
        <v>Sep</v>
      </c>
      <c r="F314" s="13" t="str">
        <f t="shared" si="14"/>
        <v>Ok</v>
      </c>
    </row>
    <row r="315" spans="1:6" ht="25.95" customHeight="1" x14ac:dyDescent="0.3">
      <c r="A315" s="22">
        <v>44104</v>
      </c>
      <c r="B315" s="13" t="s">
        <v>7</v>
      </c>
      <c r="C315" s="13">
        <v>44</v>
      </c>
      <c r="D315" s="13">
        <f t="shared" si="12"/>
        <v>2020</v>
      </c>
      <c r="E315" s="13" t="str">
        <f t="shared" si="13"/>
        <v>Sep</v>
      </c>
      <c r="F315" s="13" t="str">
        <f t="shared" si="14"/>
        <v>Ok</v>
      </c>
    </row>
    <row r="316" spans="1:6" ht="25.95" customHeight="1" x14ac:dyDescent="0.3">
      <c r="A316" s="22">
        <v>44104</v>
      </c>
      <c r="B316" s="13" t="s">
        <v>6</v>
      </c>
      <c r="C316" s="13">
        <v>511</v>
      </c>
      <c r="D316" s="13">
        <f t="shared" si="12"/>
        <v>2020</v>
      </c>
      <c r="E316" s="13" t="str">
        <f t="shared" si="13"/>
        <v>Sep</v>
      </c>
      <c r="F316" s="13" t="str">
        <f t="shared" si="14"/>
        <v>Ok</v>
      </c>
    </row>
    <row r="317" spans="1:6" ht="25.95" customHeight="1" x14ac:dyDescent="0.3">
      <c r="A317" s="22">
        <v>44104</v>
      </c>
      <c r="B317" s="13" t="s">
        <v>5</v>
      </c>
      <c r="C317" s="13">
        <v>141</v>
      </c>
      <c r="D317" s="13">
        <f t="shared" si="12"/>
        <v>2020</v>
      </c>
      <c r="E317" s="13" t="str">
        <f t="shared" si="13"/>
        <v>Sep</v>
      </c>
      <c r="F317" s="13" t="str">
        <f t="shared" si="14"/>
        <v>Ok</v>
      </c>
    </row>
    <row r="318" spans="1:6" ht="25.95" customHeight="1" x14ac:dyDescent="0.3">
      <c r="A318" s="22">
        <v>44104</v>
      </c>
      <c r="B318" s="13" t="s">
        <v>4</v>
      </c>
      <c r="C318" s="13">
        <v>11248</v>
      </c>
      <c r="D318" s="13">
        <f t="shared" si="12"/>
        <v>2020</v>
      </c>
      <c r="E318" s="13" t="str">
        <f t="shared" si="13"/>
        <v>Sep</v>
      </c>
      <c r="F318" s="13" t="str">
        <f t="shared" si="14"/>
        <v>Ok</v>
      </c>
    </row>
    <row r="319" spans="1:6" ht="25.95" customHeight="1" x14ac:dyDescent="0.3">
      <c r="A319" s="22">
        <v>44104</v>
      </c>
      <c r="B319" s="13" t="s">
        <v>3</v>
      </c>
      <c r="C319" s="13">
        <v>2217</v>
      </c>
      <c r="D319" s="13">
        <f t="shared" si="12"/>
        <v>2020</v>
      </c>
      <c r="E319" s="13" t="str">
        <f t="shared" si="13"/>
        <v>Sep</v>
      </c>
      <c r="F319" s="13" t="str">
        <f t="shared" si="14"/>
        <v>Ok</v>
      </c>
    </row>
    <row r="320" spans="1:6" ht="25.95" customHeight="1" x14ac:dyDescent="0.3">
      <c r="A320" s="22">
        <v>44074</v>
      </c>
      <c r="B320" s="13" t="s">
        <v>8</v>
      </c>
      <c r="C320" s="13">
        <v>31.040500000000002</v>
      </c>
      <c r="D320" s="13">
        <f t="shared" si="12"/>
        <v>2020</v>
      </c>
      <c r="E320" s="13" t="str">
        <f t="shared" si="13"/>
        <v>Aug</v>
      </c>
      <c r="F320" s="13" t="str">
        <f t="shared" si="14"/>
        <v>Ok</v>
      </c>
    </row>
    <row r="321" spans="1:6" ht="25.95" customHeight="1" x14ac:dyDescent="0.3">
      <c r="A321" s="22">
        <v>44074</v>
      </c>
      <c r="B321" s="13" t="s">
        <v>7</v>
      </c>
      <c r="C321" s="13">
        <v>45</v>
      </c>
      <c r="D321" s="13">
        <f t="shared" si="12"/>
        <v>2020</v>
      </c>
      <c r="E321" s="13" t="str">
        <f t="shared" si="13"/>
        <v>Aug</v>
      </c>
      <c r="F321" s="13" t="str">
        <f t="shared" si="14"/>
        <v>Ok</v>
      </c>
    </row>
    <row r="322" spans="1:6" ht="25.95" customHeight="1" x14ac:dyDescent="0.3">
      <c r="A322" s="22">
        <v>44074</v>
      </c>
      <c r="B322" s="13" t="s">
        <v>6</v>
      </c>
      <c r="C322" s="13">
        <v>528</v>
      </c>
      <c r="D322" s="13">
        <f t="shared" si="12"/>
        <v>2020</v>
      </c>
      <c r="E322" s="13" t="str">
        <f t="shared" si="13"/>
        <v>Aug</v>
      </c>
      <c r="F322" s="13" t="str">
        <f t="shared" si="14"/>
        <v>Ok</v>
      </c>
    </row>
    <row r="323" spans="1:6" ht="25.95" customHeight="1" x14ac:dyDescent="0.3">
      <c r="A323" s="22">
        <v>44074</v>
      </c>
      <c r="B323" s="13" t="s">
        <v>5</v>
      </c>
      <c r="C323" s="13">
        <v>156</v>
      </c>
      <c r="D323" s="13">
        <f t="shared" si="12"/>
        <v>2020</v>
      </c>
      <c r="E323" s="13" t="str">
        <f t="shared" si="13"/>
        <v>Aug</v>
      </c>
      <c r="F323" s="13" t="str">
        <f t="shared" si="14"/>
        <v>Ok</v>
      </c>
    </row>
    <row r="324" spans="1:6" ht="25.95" customHeight="1" x14ac:dyDescent="0.3">
      <c r="A324" s="22">
        <v>44074</v>
      </c>
      <c r="B324" s="13" t="s">
        <v>4</v>
      </c>
      <c r="C324" s="13">
        <v>11388</v>
      </c>
      <c r="D324" s="13">
        <f t="shared" si="12"/>
        <v>2020</v>
      </c>
      <c r="E324" s="13" t="str">
        <f t="shared" si="13"/>
        <v>Aug</v>
      </c>
      <c r="F324" s="13" t="str">
        <f t="shared" si="14"/>
        <v>Ok</v>
      </c>
    </row>
    <row r="325" spans="1:6" ht="25.95" customHeight="1" x14ac:dyDescent="0.3">
      <c r="A325" s="22">
        <v>44074</v>
      </c>
      <c r="B325" s="13" t="s">
        <v>3</v>
      </c>
      <c r="C325" s="13">
        <v>2008</v>
      </c>
      <c r="D325" s="13">
        <f t="shared" si="12"/>
        <v>2020</v>
      </c>
      <c r="E325" s="13" t="str">
        <f t="shared" si="13"/>
        <v>Aug</v>
      </c>
      <c r="F325" s="13" t="str">
        <f t="shared" si="14"/>
        <v>Ok</v>
      </c>
    </row>
    <row r="326" spans="1:6" ht="25.95" customHeight="1" x14ac:dyDescent="0.3">
      <c r="A326" s="22">
        <v>44043</v>
      </c>
      <c r="B326" s="13" t="s">
        <v>8</v>
      </c>
      <c r="C326" s="13">
        <v>31.2148</v>
      </c>
      <c r="D326" s="13">
        <f t="shared" si="12"/>
        <v>2020</v>
      </c>
      <c r="E326" s="13" t="str">
        <f t="shared" si="13"/>
        <v>Jul</v>
      </c>
      <c r="F326" s="13" t="str">
        <f t="shared" si="14"/>
        <v>Ok</v>
      </c>
    </row>
    <row r="327" spans="1:6" ht="25.95" customHeight="1" x14ac:dyDescent="0.3">
      <c r="A327" s="22">
        <v>44043</v>
      </c>
      <c r="B327" s="13" t="s">
        <v>7</v>
      </c>
      <c r="C327" s="13">
        <v>47</v>
      </c>
      <c r="D327" s="13">
        <f t="shared" si="12"/>
        <v>2020</v>
      </c>
      <c r="E327" s="13" t="str">
        <f t="shared" si="13"/>
        <v>Jul</v>
      </c>
      <c r="F327" s="13" t="str">
        <f t="shared" si="14"/>
        <v>Ok</v>
      </c>
    </row>
    <row r="328" spans="1:6" ht="25.95" customHeight="1" x14ac:dyDescent="0.3">
      <c r="A328" s="22">
        <v>44043</v>
      </c>
      <c r="B328" s="13" t="s">
        <v>6</v>
      </c>
      <c r="C328" s="13">
        <v>489</v>
      </c>
      <c r="D328" s="13">
        <f t="shared" ref="D328:D367" si="15">YEAR(A328)</f>
        <v>2020</v>
      </c>
      <c r="E328" s="13" t="str">
        <f t="shared" ref="E328:E367" si="16">TEXT(A328,"mmm")</f>
        <v>Jul</v>
      </c>
      <c r="F328" s="13" t="str">
        <f t="shared" ref="F328:F367" si="17">IF(C328&lt;=0,"Error","Ok")</f>
        <v>Ok</v>
      </c>
    </row>
    <row r="329" spans="1:6" ht="25.95" customHeight="1" x14ac:dyDescent="0.3">
      <c r="A329" s="22">
        <v>44043</v>
      </c>
      <c r="B329" s="13" t="s">
        <v>5</v>
      </c>
      <c r="C329" s="13">
        <v>151</v>
      </c>
      <c r="D329" s="13">
        <f t="shared" si="15"/>
        <v>2020</v>
      </c>
      <c r="E329" s="13" t="str">
        <f t="shared" si="16"/>
        <v>Jul</v>
      </c>
      <c r="F329" s="13" t="str">
        <f t="shared" si="17"/>
        <v>Ok</v>
      </c>
    </row>
    <row r="330" spans="1:6" ht="25.95" customHeight="1" x14ac:dyDescent="0.3">
      <c r="A330" s="22">
        <v>44043</v>
      </c>
      <c r="B330" s="13" t="s">
        <v>4</v>
      </c>
      <c r="C330" s="13">
        <v>11073</v>
      </c>
      <c r="D330" s="13">
        <f t="shared" si="15"/>
        <v>2020</v>
      </c>
      <c r="E330" s="13" t="str">
        <f t="shared" si="16"/>
        <v>Jul</v>
      </c>
      <c r="F330" s="13" t="str">
        <f t="shared" si="17"/>
        <v>Ok</v>
      </c>
    </row>
    <row r="331" spans="1:6" ht="25.95" customHeight="1" x14ac:dyDescent="0.3">
      <c r="A331" s="22">
        <v>44043</v>
      </c>
      <c r="B331" s="13" t="s">
        <v>3</v>
      </c>
      <c r="C331" s="13">
        <v>2025</v>
      </c>
      <c r="D331" s="13">
        <f t="shared" si="15"/>
        <v>2020</v>
      </c>
      <c r="E331" s="13" t="str">
        <f t="shared" si="16"/>
        <v>Jul</v>
      </c>
      <c r="F331" s="13" t="str">
        <f t="shared" si="17"/>
        <v>Ok</v>
      </c>
    </row>
    <row r="332" spans="1:6" ht="25.95" customHeight="1" x14ac:dyDescent="0.3">
      <c r="A332" s="22">
        <v>44012</v>
      </c>
      <c r="B332" s="13" t="s">
        <v>8</v>
      </c>
      <c r="C332" s="13">
        <v>30.695</v>
      </c>
      <c r="D332" s="13">
        <f t="shared" si="15"/>
        <v>2020</v>
      </c>
      <c r="E332" s="13" t="str">
        <f t="shared" si="16"/>
        <v>Jun</v>
      </c>
      <c r="F332" s="13" t="str">
        <f t="shared" si="17"/>
        <v>Ok</v>
      </c>
    </row>
    <row r="333" spans="1:6" ht="25.95" customHeight="1" x14ac:dyDescent="0.3">
      <c r="A333" s="22">
        <v>44012</v>
      </c>
      <c r="B333" s="13" t="s">
        <v>7</v>
      </c>
      <c r="C333" s="13">
        <v>43</v>
      </c>
      <c r="D333" s="13">
        <f t="shared" si="15"/>
        <v>2020</v>
      </c>
      <c r="E333" s="13" t="str">
        <f t="shared" si="16"/>
        <v>Jun</v>
      </c>
      <c r="F333" s="13" t="str">
        <f t="shared" si="17"/>
        <v>Ok</v>
      </c>
    </row>
    <row r="334" spans="1:6" ht="25.95" customHeight="1" x14ac:dyDescent="0.3">
      <c r="A334" s="22">
        <v>44012</v>
      </c>
      <c r="B334" s="13" t="s">
        <v>6</v>
      </c>
      <c r="C334" s="13">
        <v>505</v>
      </c>
      <c r="D334" s="13">
        <f t="shared" si="15"/>
        <v>2020</v>
      </c>
      <c r="E334" s="13" t="str">
        <f t="shared" si="16"/>
        <v>Jun</v>
      </c>
      <c r="F334" s="13" t="str">
        <f t="shared" si="17"/>
        <v>Ok</v>
      </c>
    </row>
    <row r="335" spans="1:6" ht="25.95" customHeight="1" x14ac:dyDescent="0.3">
      <c r="A335" s="22">
        <v>44012</v>
      </c>
      <c r="B335" s="13" t="s">
        <v>5</v>
      </c>
      <c r="C335" s="13">
        <v>152</v>
      </c>
      <c r="D335" s="13">
        <f t="shared" si="15"/>
        <v>2020</v>
      </c>
      <c r="E335" s="13" t="str">
        <f t="shared" si="16"/>
        <v>Jun</v>
      </c>
      <c r="F335" s="13" t="str">
        <f t="shared" si="17"/>
        <v>Ok</v>
      </c>
    </row>
    <row r="336" spans="1:6" ht="25.95" customHeight="1" x14ac:dyDescent="0.3">
      <c r="A336" s="22">
        <v>44012</v>
      </c>
      <c r="B336" s="13" t="s">
        <v>4</v>
      </c>
      <c r="C336" s="13">
        <v>10302</v>
      </c>
      <c r="D336" s="13">
        <f t="shared" si="15"/>
        <v>2020</v>
      </c>
      <c r="E336" s="13" t="str">
        <f t="shared" si="16"/>
        <v>Jun</v>
      </c>
      <c r="F336" s="13" t="str">
        <f t="shared" si="17"/>
        <v>Ok</v>
      </c>
    </row>
    <row r="337" spans="1:6" ht="25.95" customHeight="1" x14ac:dyDescent="0.3">
      <c r="A337" s="22">
        <v>44012</v>
      </c>
      <c r="B337" s="13" t="s">
        <v>3</v>
      </c>
      <c r="C337" s="13">
        <v>1843</v>
      </c>
      <c r="D337" s="13">
        <f t="shared" si="15"/>
        <v>2020</v>
      </c>
      <c r="E337" s="13" t="str">
        <f t="shared" si="16"/>
        <v>Jun</v>
      </c>
      <c r="F337" s="13" t="str">
        <f t="shared" si="17"/>
        <v>Ok</v>
      </c>
    </row>
    <row r="338" spans="1:6" ht="25.95" customHeight="1" x14ac:dyDescent="0.3">
      <c r="A338" s="22">
        <v>43982</v>
      </c>
      <c r="B338" s="13" t="s">
        <v>8</v>
      </c>
      <c r="C338" s="13">
        <v>30.235800000000001</v>
      </c>
      <c r="D338" s="13">
        <f t="shared" si="15"/>
        <v>2020</v>
      </c>
      <c r="E338" s="13" t="str">
        <f t="shared" si="16"/>
        <v>May</v>
      </c>
      <c r="F338" s="13" t="str">
        <f t="shared" si="17"/>
        <v>Ok</v>
      </c>
    </row>
    <row r="339" spans="1:6" ht="25.95" customHeight="1" x14ac:dyDescent="0.3">
      <c r="A339" s="22">
        <v>43982</v>
      </c>
      <c r="B339" s="13" t="s">
        <v>7</v>
      </c>
      <c r="C339" s="13">
        <v>41</v>
      </c>
      <c r="D339" s="13">
        <f t="shared" si="15"/>
        <v>2020</v>
      </c>
      <c r="E339" s="13" t="str">
        <f t="shared" si="16"/>
        <v>May</v>
      </c>
      <c r="F339" s="13" t="str">
        <f t="shared" si="17"/>
        <v>Ok</v>
      </c>
    </row>
    <row r="340" spans="1:6" ht="25.95" customHeight="1" x14ac:dyDescent="0.3">
      <c r="A340" s="22">
        <v>43982</v>
      </c>
      <c r="B340" s="13" t="s">
        <v>6</v>
      </c>
      <c r="C340" s="13">
        <v>451</v>
      </c>
      <c r="D340" s="13">
        <f t="shared" si="15"/>
        <v>2020</v>
      </c>
      <c r="E340" s="13" t="str">
        <f t="shared" si="16"/>
        <v>May</v>
      </c>
      <c r="F340" s="13" t="str">
        <f t="shared" si="17"/>
        <v>Ok</v>
      </c>
    </row>
    <row r="341" spans="1:6" ht="25.95" customHeight="1" x14ac:dyDescent="0.3">
      <c r="A341" s="22">
        <v>43982</v>
      </c>
      <c r="B341" s="13" t="s">
        <v>5</v>
      </c>
      <c r="C341" s="13">
        <v>154</v>
      </c>
      <c r="D341" s="13">
        <f t="shared" si="15"/>
        <v>2020</v>
      </c>
      <c r="E341" s="13" t="str">
        <f t="shared" si="16"/>
        <v>May</v>
      </c>
      <c r="F341" s="13" t="str">
        <f t="shared" si="17"/>
        <v>Ok</v>
      </c>
    </row>
    <row r="342" spans="1:6" ht="25.95" customHeight="1" x14ac:dyDescent="0.3">
      <c r="A342" s="22">
        <v>43982</v>
      </c>
      <c r="B342" s="13" t="s">
        <v>4</v>
      </c>
      <c r="C342" s="13">
        <v>9580</v>
      </c>
      <c r="D342" s="13">
        <f t="shared" si="15"/>
        <v>2020</v>
      </c>
      <c r="E342" s="13" t="str">
        <f t="shared" si="16"/>
        <v>May</v>
      </c>
      <c r="F342" s="13" t="str">
        <f t="shared" si="17"/>
        <v>Ok</v>
      </c>
    </row>
    <row r="343" spans="1:6" ht="25.95" customHeight="1" x14ac:dyDescent="0.3">
      <c r="A343" s="22">
        <v>43982</v>
      </c>
      <c r="B343" s="13" t="s">
        <v>3</v>
      </c>
      <c r="C343" s="13">
        <v>1745</v>
      </c>
      <c r="D343" s="13">
        <f t="shared" si="15"/>
        <v>2020</v>
      </c>
      <c r="E343" s="13" t="str">
        <f t="shared" si="16"/>
        <v>May</v>
      </c>
      <c r="F343" s="13" t="str">
        <f t="shared" si="17"/>
        <v>Ok</v>
      </c>
    </row>
    <row r="344" spans="1:6" ht="25.95" customHeight="1" x14ac:dyDescent="0.3">
      <c r="A344" s="22">
        <v>43951</v>
      </c>
      <c r="B344" s="13" t="s">
        <v>8</v>
      </c>
      <c r="C344" s="13">
        <v>29.5014</v>
      </c>
      <c r="D344" s="13">
        <f t="shared" si="15"/>
        <v>2020</v>
      </c>
      <c r="E344" s="13" t="str">
        <f t="shared" si="16"/>
        <v>Apr</v>
      </c>
      <c r="F344" s="13" t="str">
        <f t="shared" si="17"/>
        <v>Ok</v>
      </c>
    </row>
    <row r="345" spans="1:6" ht="25.95" customHeight="1" x14ac:dyDescent="0.3">
      <c r="A345" s="22">
        <v>43951</v>
      </c>
      <c r="B345" s="13" t="s">
        <v>7</v>
      </c>
      <c r="C345" s="13">
        <v>43</v>
      </c>
      <c r="D345" s="13">
        <f t="shared" si="15"/>
        <v>2020</v>
      </c>
      <c r="E345" s="13" t="str">
        <f t="shared" si="16"/>
        <v>Apr</v>
      </c>
      <c r="F345" s="13" t="str">
        <f t="shared" si="17"/>
        <v>Ok</v>
      </c>
    </row>
    <row r="346" spans="1:6" ht="25.95" customHeight="1" x14ac:dyDescent="0.3">
      <c r="A346" s="22">
        <v>43951</v>
      </c>
      <c r="B346" s="13" t="s">
        <v>6</v>
      </c>
      <c r="C346" s="13">
        <v>474</v>
      </c>
      <c r="D346" s="13">
        <f t="shared" si="15"/>
        <v>2020</v>
      </c>
      <c r="E346" s="13" t="str">
        <f t="shared" si="16"/>
        <v>Apr</v>
      </c>
      <c r="F346" s="13" t="str">
        <f t="shared" si="17"/>
        <v>Ok</v>
      </c>
    </row>
    <row r="347" spans="1:6" ht="25.95" customHeight="1" x14ac:dyDescent="0.3">
      <c r="A347" s="22">
        <v>43951</v>
      </c>
      <c r="B347" s="13" t="s">
        <v>5</v>
      </c>
      <c r="C347" s="13">
        <v>142</v>
      </c>
      <c r="D347" s="13">
        <f t="shared" si="15"/>
        <v>2020</v>
      </c>
      <c r="E347" s="13" t="str">
        <f t="shared" si="16"/>
        <v>Apr</v>
      </c>
      <c r="F347" s="13" t="str">
        <f t="shared" si="17"/>
        <v>Ok</v>
      </c>
    </row>
    <row r="348" spans="1:6" ht="25.95" customHeight="1" x14ac:dyDescent="0.3">
      <c r="A348" s="22">
        <v>43951</v>
      </c>
      <c r="B348" s="13" t="s">
        <v>4</v>
      </c>
      <c r="C348" s="13">
        <v>9860</v>
      </c>
      <c r="D348" s="13">
        <f t="shared" si="15"/>
        <v>2020</v>
      </c>
      <c r="E348" s="13" t="str">
        <f t="shared" si="16"/>
        <v>Apr</v>
      </c>
      <c r="F348" s="13" t="str">
        <f t="shared" si="17"/>
        <v>Ok</v>
      </c>
    </row>
    <row r="349" spans="1:6" ht="25.95" customHeight="1" x14ac:dyDescent="0.3">
      <c r="A349" s="22">
        <v>43951</v>
      </c>
      <c r="B349" s="13" t="s">
        <v>3</v>
      </c>
      <c r="C349" s="13">
        <v>1783</v>
      </c>
      <c r="D349" s="13">
        <f t="shared" si="15"/>
        <v>2020</v>
      </c>
      <c r="E349" s="13" t="str">
        <f t="shared" si="16"/>
        <v>Apr</v>
      </c>
      <c r="F349" s="13" t="str">
        <f t="shared" si="17"/>
        <v>Ok</v>
      </c>
    </row>
    <row r="350" spans="1:6" ht="25.95" customHeight="1" x14ac:dyDescent="0.3">
      <c r="A350" s="22">
        <v>43921</v>
      </c>
      <c r="B350" s="13" t="s">
        <v>8</v>
      </c>
      <c r="C350" s="13">
        <v>29.500299999999999</v>
      </c>
      <c r="D350" s="13">
        <f t="shared" si="15"/>
        <v>2020</v>
      </c>
      <c r="E350" s="13" t="str">
        <f t="shared" si="16"/>
        <v>Mar</v>
      </c>
      <c r="F350" s="13" t="str">
        <f t="shared" si="17"/>
        <v>Ok</v>
      </c>
    </row>
    <row r="351" spans="1:6" ht="25.95" customHeight="1" x14ac:dyDescent="0.3">
      <c r="A351" s="22">
        <v>43921</v>
      </c>
      <c r="B351" s="13" t="s">
        <v>7</v>
      </c>
      <c r="C351" s="13">
        <v>38</v>
      </c>
      <c r="D351" s="13">
        <f t="shared" si="15"/>
        <v>2020</v>
      </c>
      <c r="E351" s="13" t="str">
        <f t="shared" si="16"/>
        <v>Mar</v>
      </c>
      <c r="F351" s="13" t="str">
        <f t="shared" si="17"/>
        <v>Ok</v>
      </c>
    </row>
    <row r="352" spans="1:6" ht="25.95" customHeight="1" x14ac:dyDescent="0.3">
      <c r="A352" s="22">
        <v>43921</v>
      </c>
      <c r="B352" s="13" t="s">
        <v>6</v>
      </c>
      <c r="C352" s="13">
        <v>408</v>
      </c>
      <c r="D352" s="13">
        <f t="shared" si="15"/>
        <v>2020</v>
      </c>
      <c r="E352" s="13" t="str">
        <f t="shared" si="16"/>
        <v>Mar</v>
      </c>
      <c r="F352" s="13" t="str">
        <f t="shared" si="17"/>
        <v>Ok</v>
      </c>
    </row>
    <row r="353" spans="1:6" ht="25.95" customHeight="1" x14ac:dyDescent="0.3">
      <c r="A353" s="22">
        <v>43921</v>
      </c>
      <c r="B353" s="13" t="s">
        <v>5</v>
      </c>
      <c r="C353" s="13">
        <v>134</v>
      </c>
      <c r="D353" s="13">
        <f t="shared" si="15"/>
        <v>2020</v>
      </c>
      <c r="E353" s="13" t="str">
        <f t="shared" si="16"/>
        <v>Mar</v>
      </c>
      <c r="F353" s="13" t="str">
        <f t="shared" si="17"/>
        <v>Ok</v>
      </c>
    </row>
    <row r="354" spans="1:6" ht="25.95" customHeight="1" x14ac:dyDescent="0.3">
      <c r="A354" s="22">
        <v>43921</v>
      </c>
      <c r="B354" s="13" t="s">
        <v>4</v>
      </c>
      <c r="C354" s="13">
        <v>8598</v>
      </c>
      <c r="D354" s="13">
        <f t="shared" si="15"/>
        <v>2020</v>
      </c>
      <c r="E354" s="13" t="str">
        <f t="shared" si="16"/>
        <v>Mar</v>
      </c>
      <c r="F354" s="13" t="str">
        <f t="shared" si="17"/>
        <v>Ok</v>
      </c>
    </row>
    <row r="355" spans="1:6" ht="25.95" customHeight="1" x14ac:dyDescent="0.3">
      <c r="A355" s="22">
        <v>43921</v>
      </c>
      <c r="B355" s="13" t="s">
        <v>3</v>
      </c>
      <c r="C355" s="13">
        <v>1604</v>
      </c>
      <c r="D355" s="13">
        <f t="shared" si="15"/>
        <v>2020</v>
      </c>
      <c r="E355" s="13" t="str">
        <f t="shared" si="16"/>
        <v>Mar</v>
      </c>
      <c r="F355" s="13" t="str">
        <f t="shared" si="17"/>
        <v>Ok</v>
      </c>
    </row>
    <row r="356" spans="1:6" ht="25.95" customHeight="1" x14ac:dyDescent="0.3">
      <c r="A356" s="22">
        <v>43890</v>
      </c>
      <c r="B356" s="13" t="s">
        <v>8</v>
      </c>
      <c r="C356" s="13">
        <v>29.311800000000002</v>
      </c>
      <c r="D356" s="13">
        <f t="shared" si="15"/>
        <v>2020</v>
      </c>
      <c r="E356" s="13" t="str">
        <f t="shared" si="16"/>
        <v>Feb</v>
      </c>
      <c r="F356" s="13" t="str">
        <f t="shared" si="17"/>
        <v>Ok</v>
      </c>
    </row>
    <row r="357" spans="1:6" ht="25.95" customHeight="1" x14ac:dyDescent="0.3">
      <c r="A357" s="22">
        <v>43890</v>
      </c>
      <c r="B357" s="13" t="s">
        <v>7</v>
      </c>
      <c r="C357" s="13">
        <v>37</v>
      </c>
      <c r="D357" s="13">
        <f t="shared" si="15"/>
        <v>2020</v>
      </c>
      <c r="E357" s="13" t="str">
        <f t="shared" si="16"/>
        <v>Feb</v>
      </c>
      <c r="F357" s="13" t="str">
        <f t="shared" si="17"/>
        <v>Ok</v>
      </c>
    </row>
    <row r="358" spans="1:6" ht="25.95" customHeight="1" x14ac:dyDescent="0.3">
      <c r="A358" s="22">
        <v>43890</v>
      </c>
      <c r="B358" s="13" t="s">
        <v>6</v>
      </c>
      <c r="C358" s="13">
        <v>558</v>
      </c>
      <c r="D358" s="13">
        <f t="shared" si="15"/>
        <v>2020</v>
      </c>
      <c r="E358" s="13" t="str">
        <f t="shared" si="16"/>
        <v>Feb</v>
      </c>
      <c r="F358" s="13" t="str">
        <f t="shared" si="17"/>
        <v>Ok</v>
      </c>
    </row>
    <row r="359" spans="1:6" ht="25.95" customHeight="1" x14ac:dyDescent="0.3">
      <c r="A359" s="22">
        <v>43890</v>
      </c>
      <c r="B359" s="13" t="s">
        <v>5</v>
      </c>
      <c r="C359" s="13">
        <v>154</v>
      </c>
      <c r="D359" s="13">
        <f t="shared" si="15"/>
        <v>2020</v>
      </c>
      <c r="E359" s="13" t="str">
        <f t="shared" si="16"/>
        <v>Feb</v>
      </c>
      <c r="F359" s="13" t="str">
        <f t="shared" si="17"/>
        <v>Ok</v>
      </c>
    </row>
    <row r="360" spans="1:6" ht="25.95" customHeight="1" x14ac:dyDescent="0.3">
      <c r="A360" s="22">
        <v>43890</v>
      </c>
      <c r="B360" s="13" t="s">
        <v>4</v>
      </c>
      <c r="C360" s="13">
        <v>11202</v>
      </c>
      <c r="D360" s="13">
        <f t="shared" si="15"/>
        <v>2020</v>
      </c>
      <c r="E360" s="13" t="str">
        <f t="shared" si="16"/>
        <v>Feb</v>
      </c>
      <c r="F360" s="13" t="str">
        <f t="shared" si="17"/>
        <v>Ok</v>
      </c>
    </row>
    <row r="361" spans="1:6" ht="25.95" customHeight="1" x14ac:dyDescent="0.3">
      <c r="A361" s="22">
        <v>43890</v>
      </c>
      <c r="B361" s="13" t="s">
        <v>3</v>
      </c>
      <c r="C361" s="13">
        <v>1757</v>
      </c>
      <c r="D361" s="13">
        <f t="shared" si="15"/>
        <v>2020</v>
      </c>
      <c r="E361" s="13" t="str">
        <f t="shared" si="16"/>
        <v>Feb</v>
      </c>
      <c r="F361" s="13" t="str">
        <f t="shared" si="17"/>
        <v>Ok</v>
      </c>
    </row>
    <row r="362" spans="1:6" ht="25.95" customHeight="1" x14ac:dyDescent="0.3">
      <c r="A362" s="22">
        <v>43861</v>
      </c>
      <c r="B362" s="13" t="s">
        <v>8</v>
      </c>
      <c r="C362" s="13">
        <v>28.8169</v>
      </c>
      <c r="D362" s="13">
        <f t="shared" si="15"/>
        <v>2020</v>
      </c>
      <c r="E362" s="13" t="str">
        <f t="shared" si="16"/>
        <v>Jan</v>
      </c>
      <c r="F362" s="13" t="str">
        <f t="shared" si="17"/>
        <v>Ok</v>
      </c>
    </row>
    <row r="363" spans="1:6" ht="25.95" customHeight="1" x14ac:dyDescent="0.3">
      <c r="A363" s="22">
        <v>43861</v>
      </c>
      <c r="B363" s="13" t="s">
        <v>7</v>
      </c>
      <c r="C363" s="13">
        <v>36</v>
      </c>
      <c r="D363" s="13">
        <f t="shared" si="15"/>
        <v>2020</v>
      </c>
      <c r="E363" s="13" t="str">
        <f t="shared" si="16"/>
        <v>Jan</v>
      </c>
      <c r="F363" s="13" t="str">
        <f t="shared" si="17"/>
        <v>Ok</v>
      </c>
    </row>
    <row r="364" spans="1:6" ht="25.95" customHeight="1" x14ac:dyDescent="0.3">
      <c r="A364" s="22">
        <v>43861</v>
      </c>
      <c r="B364" s="13" t="s">
        <v>6</v>
      </c>
      <c r="C364" s="13">
        <v>581</v>
      </c>
      <c r="D364" s="13">
        <f t="shared" si="15"/>
        <v>2020</v>
      </c>
      <c r="E364" s="13" t="str">
        <f t="shared" si="16"/>
        <v>Jan</v>
      </c>
      <c r="F364" s="13" t="str">
        <f t="shared" si="17"/>
        <v>Ok</v>
      </c>
    </row>
    <row r="365" spans="1:6" ht="25.95" customHeight="1" x14ac:dyDescent="0.3">
      <c r="A365" s="22">
        <v>43861</v>
      </c>
      <c r="B365" s="13" t="s">
        <v>5</v>
      </c>
      <c r="C365" s="13">
        <v>183</v>
      </c>
      <c r="D365" s="13">
        <f t="shared" si="15"/>
        <v>2020</v>
      </c>
      <c r="E365" s="13" t="str">
        <f t="shared" si="16"/>
        <v>Jan</v>
      </c>
      <c r="F365" s="13" t="str">
        <f t="shared" si="17"/>
        <v>Ok</v>
      </c>
    </row>
    <row r="366" spans="1:6" ht="25.95" customHeight="1" x14ac:dyDescent="0.3">
      <c r="A366" s="22">
        <v>43861</v>
      </c>
      <c r="B366" s="13" t="s">
        <v>4</v>
      </c>
      <c r="C366" s="13">
        <v>11962</v>
      </c>
      <c r="D366" s="13">
        <f t="shared" si="15"/>
        <v>2020</v>
      </c>
      <c r="E366" s="13" t="str">
        <f t="shared" si="16"/>
        <v>Jan</v>
      </c>
      <c r="F366" s="13" t="str">
        <f t="shared" si="17"/>
        <v>Ok</v>
      </c>
    </row>
    <row r="367" spans="1:6" ht="25.95" customHeight="1" x14ac:dyDescent="0.3">
      <c r="A367" s="22">
        <v>43861</v>
      </c>
      <c r="B367" s="13" t="s">
        <v>3</v>
      </c>
      <c r="C367" s="13">
        <v>1822</v>
      </c>
      <c r="D367" s="13">
        <f t="shared" si="15"/>
        <v>2020</v>
      </c>
      <c r="E367" s="13" t="str">
        <f t="shared" si="16"/>
        <v>Jan</v>
      </c>
      <c r="F367" s="13" t="str">
        <f t="shared" si="17"/>
        <v>Ok</v>
      </c>
    </row>
  </sheetData>
  <mergeCells count="5">
    <mergeCell ref="A4:T4"/>
    <mergeCell ref="G5:G30"/>
    <mergeCell ref="H15:N15"/>
    <mergeCell ref="O5:O30"/>
    <mergeCell ref="H24:N30"/>
  </mergeCells>
  <pageMargins left="0.7" right="0.7" top="0.75" bottom="0.75" header="0.3" footer="0.3"/>
  <drawing r:id="rId2"/>
  <tableParts count="1">
    <tablePart r:id="rId3"/>
  </tableParts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D5C6-1073-465A-B4B3-B04177EA08FF}">
  <dimension ref="A4:Q367"/>
  <sheetViews>
    <sheetView zoomScale="69" zoomScaleNormal="80" workbookViewId="0">
      <selection activeCell="E5" sqref="E5:J41"/>
    </sheetView>
  </sheetViews>
  <sheetFormatPr defaultColWidth="16.77734375" defaultRowHeight="25.95" customHeight="1" x14ac:dyDescent="0.3"/>
  <cols>
    <col min="4" max="4" width="20.88671875" customWidth="1"/>
  </cols>
  <sheetData>
    <row r="4" spans="1:17" ht="25.95" customHeight="1" x14ac:dyDescent="0.3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7" ht="25.95" customHeight="1" x14ac:dyDescent="0.3">
      <c r="E5" s="67"/>
      <c r="F5" s="67"/>
      <c r="G5" s="67"/>
      <c r="H5" s="67"/>
      <c r="I5" s="67"/>
      <c r="J5" s="67"/>
      <c r="Q5" s="67"/>
    </row>
    <row r="6" spans="1:17" ht="25.95" customHeight="1" x14ac:dyDescent="0.3">
      <c r="E6" s="67"/>
      <c r="F6" s="67"/>
      <c r="G6" s="67"/>
      <c r="H6" s="67"/>
      <c r="I6" s="67"/>
      <c r="J6" s="67"/>
      <c r="Q6" s="67"/>
    </row>
    <row r="7" spans="1:17" ht="25.95" customHeight="1" x14ac:dyDescent="0.3">
      <c r="A7" s="24" t="s">
        <v>0</v>
      </c>
      <c r="B7" s="24" t="s">
        <v>1</v>
      </c>
      <c r="C7" s="24" t="s">
        <v>2</v>
      </c>
      <c r="D7" s="24" t="s">
        <v>9</v>
      </c>
      <c r="E7" s="67"/>
      <c r="F7" s="67"/>
      <c r="G7" s="67"/>
      <c r="H7" s="67"/>
      <c r="I7" s="67"/>
      <c r="J7" s="67"/>
      <c r="Q7" s="67"/>
    </row>
    <row r="8" spans="1:17" ht="25.95" customHeight="1" x14ac:dyDescent="0.3">
      <c r="A8" s="25">
        <v>43861</v>
      </c>
      <c r="B8" s="24" t="s">
        <v>8</v>
      </c>
      <c r="C8" s="24">
        <v>28.8169</v>
      </c>
      <c r="D8" s="26" t="str">
        <f t="shared" ref="D8:D71" si="0">IF(B8=B7,(C8/C7)-1,"")</f>
        <v/>
      </c>
      <c r="E8" s="67"/>
      <c r="F8" s="67"/>
      <c r="G8" s="67"/>
      <c r="H8" s="67"/>
      <c r="I8" s="67"/>
      <c r="J8" s="67"/>
      <c r="Q8" s="67"/>
    </row>
    <row r="9" spans="1:17" ht="25.95" customHeight="1" x14ac:dyDescent="0.3">
      <c r="A9" s="25">
        <v>43890</v>
      </c>
      <c r="B9" s="24" t="s">
        <v>8</v>
      </c>
      <c r="C9" s="24">
        <v>29.311800000000002</v>
      </c>
      <c r="D9" s="26">
        <f t="shared" si="0"/>
        <v>1.717395000850197E-2</v>
      </c>
      <c r="E9" s="67"/>
      <c r="F9" s="67"/>
      <c r="G9" s="67"/>
      <c r="H9" s="67"/>
      <c r="I9" s="67"/>
      <c r="J9" s="67"/>
      <c r="Q9" s="67"/>
    </row>
    <row r="10" spans="1:17" ht="25.95" customHeight="1" x14ac:dyDescent="0.3">
      <c r="A10" s="25">
        <v>43921</v>
      </c>
      <c r="B10" s="24" t="s">
        <v>8</v>
      </c>
      <c r="C10" s="24">
        <v>29.500299999999999</v>
      </c>
      <c r="D10" s="26">
        <f t="shared" si="0"/>
        <v>6.4308571974425188E-3</v>
      </c>
      <c r="E10" s="67"/>
      <c r="F10" s="67"/>
      <c r="G10" s="67"/>
      <c r="H10" s="67"/>
      <c r="I10" s="67"/>
      <c r="J10" s="67"/>
      <c r="Q10" s="67"/>
    </row>
    <row r="11" spans="1:17" ht="25.95" customHeight="1" x14ac:dyDescent="0.3">
      <c r="A11" s="25">
        <v>43951</v>
      </c>
      <c r="B11" s="24" t="s">
        <v>8</v>
      </c>
      <c r="C11" s="24">
        <v>29.5014</v>
      </c>
      <c r="D11" s="26">
        <f t="shared" si="0"/>
        <v>3.7287756395665284E-5</v>
      </c>
      <c r="E11" s="67"/>
      <c r="F11" s="67"/>
      <c r="G11" s="67"/>
      <c r="H11" s="67"/>
      <c r="I11" s="67"/>
      <c r="J11" s="67"/>
      <c r="Q11" s="67"/>
    </row>
    <row r="12" spans="1:17" ht="25.95" customHeight="1" x14ac:dyDescent="0.3">
      <c r="A12" s="25">
        <v>43982</v>
      </c>
      <c r="B12" s="24" t="s">
        <v>8</v>
      </c>
      <c r="C12" s="24">
        <v>30.235800000000001</v>
      </c>
      <c r="D12" s="26">
        <f t="shared" si="0"/>
        <v>2.4893733856698352E-2</v>
      </c>
      <c r="E12" s="67"/>
      <c r="F12" s="67"/>
      <c r="G12" s="67"/>
      <c r="H12" s="67"/>
      <c r="I12" s="67"/>
      <c r="J12" s="67"/>
      <c r="Q12" s="67"/>
    </row>
    <row r="13" spans="1:17" ht="25.95" customHeight="1" x14ac:dyDescent="0.3">
      <c r="A13" s="25">
        <v>44012</v>
      </c>
      <c r="B13" s="24" t="s">
        <v>8</v>
      </c>
      <c r="C13" s="24">
        <v>30.695</v>
      </c>
      <c r="D13" s="26">
        <f t="shared" si="0"/>
        <v>1.5187294531647799E-2</v>
      </c>
      <c r="E13" s="67"/>
      <c r="F13" s="67"/>
      <c r="G13" s="67"/>
      <c r="H13" s="67"/>
      <c r="I13" s="67"/>
      <c r="J13" s="67"/>
      <c r="Q13" s="67"/>
    </row>
    <row r="14" spans="1:17" ht="25.95" customHeight="1" x14ac:dyDescent="0.3">
      <c r="A14" s="25">
        <v>44043</v>
      </c>
      <c r="B14" s="24" t="s">
        <v>8</v>
      </c>
      <c r="C14" s="24">
        <v>31.2148</v>
      </c>
      <c r="D14" s="26">
        <f t="shared" si="0"/>
        <v>1.693435412933697E-2</v>
      </c>
      <c r="E14" s="67"/>
      <c r="F14" s="67"/>
      <c r="G14" s="67"/>
      <c r="H14" s="67"/>
      <c r="I14" s="67"/>
      <c r="J14" s="67"/>
      <c r="Q14" s="67"/>
    </row>
    <row r="15" spans="1:17" ht="25.95" customHeight="1" x14ac:dyDescent="0.3">
      <c r="A15" s="25">
        <v>44074</v>
      </c>
      <c r="B15" s="24" t="s">
        <v>8</v>
      </c>
      <c r="C15" s="24">
        <v>31.040500000000002</v>
      </c>
      <c r="D15" s="26">
        <f t="shared" si="0"/>
        <v>-5.5838896933505522E-3</v>
      </c>
      <c r="E15" s="67"/>
      <c r="F15" s="67"/>
      <c r="G15" s="67"/>
      <c r="H15" s="67"/>
      <c r="I15" s="67"/>
      <c r="J15" s="67"/>
      <c r="Q15" s="67"/>
    </row>
    <row r="16" spans="1:17" ht="25.95" customHeight="1" x14ac:dyDescent="0.3">
      <c r="A16" s="25">
        <v>44104</v>
      </c>
      <c r="B16" s="24" t="s">
        <v>8</v>
      </c>
      <c r="C16" s="24">
        <v>31.211099999999998</v>
      </c>
      <c r="D16" s="26">
        <f t="shared" si="0"/>
        <v>5.4960454889578791E-3</v>
      </c>
      <c r="E16" s="67"/>
      <c r="F16" s="67"/>
      <c r="G16" s="67"/>
      <c r="H16" s="67"/>
      <c r="I16" s="67"/>
      <c r="J16" s="67"/>
      <c r="Q16" s="67"/>
    </row>
    <row r="17" spans="1:17" ht="25.95" customHeight="1" x14ac:dyDescent="0.3">
      <c r="A17" s="25">
        <v>44135</v>
      </c>
      <c r="B17" s="24" t="s">
        <v>8</v>
      </c>
      <c r="C17" s="24">
        <v>31.782699999999998</v>
      </c>
      <c r="D17" s="26">
        <f t="shared" si="0"/>
        <v>1.8313997263794013E-2</v>
      </c>
      <c r="E17" s="67"/>
      <c r="F17" s="67"/>
      <c r="G17" s="67"/>
      <c r="H17" s="67"/>
      <c r="I17" s="67"/>
      <c r="J17" s="67"/>
      <c r="Q17" s="67"/>
    </row>
    <row r="18" spans="1:17" ht="25.95" customHeight="1" x14ac:dyDescent="0.3">
      <c r="A18" s="25">
        <v>44165</v>
      </c>
      <c r="B18" s="24" t="s">
        <v>8</v>
      </c>
      <c r="C18" s="24">
        <v>31.992000000000001</v>
      </c>
      <c r="D18" s="26">
        <f t="shared" si="0"/>
        <v>6.5853435988763032E-3</v>
      </c>
      <c r="E18" s="67"/>
      <c r="F18" s="67"/>
      <c r="G18" s="67"/>
      <c r="H18" s="67"/>
      <c r="I18" s="67"/>
      <c r="J18" s="67"/>
      <c r="Q18" s="67"/>
    </row>
    <row r="19" spans="1:17" ht="25.95" customHeight="1" x14ac:dyDescent="0.3">
      <c r="A19" s="25">
        <v>44196</v>
      </c>
      <c r="B19" s="24" t="s">
        <v>8</v>
      </c>
      <c r="C19" s="24">
        <v>32.087699999999998</v>
      </c>
      <c r="D19" s="26">
        <f t="shared" si="0"/>
        <v>2.9913728432107156E-3</v>
      </c>
      <c r="E19" s="67"/>
      <c r="F19" s="67"/>
      <c r="G19" s="67"/>
      <c r="H19" s="67"/>
      <c r="I19" s="67"/>
      <c r="J19" s="67"/>
      <c r="Q19" s="67"/>
    </row>
    <row r="20" spans="1:17" ht="25.95" customHeight="1" x14ac:dyDescent="0.3">
      <c r="A20" s="25">
        <v>44227</v>
      </c>
      <c r="B20" s="24" t="s">
        <v>8</v>
      </c>
      <c r="C20" s="24">
        <v>32.048099999999998</v>
      </c>
      <c r="D20" s="26">
        <f t="shared" si="0"/>
        <v>-1.234117746052199E-3</v>
      </c>
      <c r="E20" s="67"/>
      <c r="F20" s="67"/>
      <c r="G20" s="67"/>
      <c r="H20" s="67"/>
      <c r="I20" s="67"/>
      <c r="J20" s="67"/>
      <c r="Q20" s="67"/>
    </row>
    <row r="21" spans="1:17" ht="25.95" customHeight="1" x14ac:dyDescent="0.3">
      <c r="A21" s="25">
        <v>44255</v>
      </c>
      <c r="B21" s="24" t="s">
        <v>8</v>
      </c>
      <c r="C21" s="24">
        <v>31.603000000000002</v>
      </c>
      <c r="D21" s="26">
        <f t="shared" si="0"/>
        <v>-1.3888498850165742E-2</v>
      </c>
      <c r="E21" s="67"/>
      <c r="F21" s="67"/>
      <c r="G21" s="67"/>
      <c r="H21" s="67"/>
      <c r="I21" s="67"/>
      <c r="J21" s="67"/>
      <c r="Q21" s="67"/>
    </row>
    <row r="22" spans="1:17" ht="25.95" customHeight="1" x14ac:dyDescent="0.3">
      <c r="A22" s="25">
        <v>44286</v>
      </c>
      <c r="B22" s="24" t="s">
        <v>8</v>
      </c>
      <c r="C22" s="24">
        <v>32.000900000000001</v>
      </c>
      <c r="D22" s="26">
        <f t="shared" si="0"/>
        <v>1.2590576843970469E-2</v>
      </c>
      <c r="E22" s="67"/>
      <c r="F22" s="67"/>
      <c r="G22" s="67"/>
      <c r="H22" s="67"/>
      <c r="I22" s="67"/>
      <c r="J22" s="67"/>
      <c r="Q22" s="67"/>
    </row>
    <row r="23" spans="1:17" ht="25.95" customHeight="1" x14ac:dyDescent="0.3">
      <c r="A23" s="25">
        <v>44316</v>
      </c>
      <c r="B23" s="24" t="s">
        <v>8</v>
      </c>
      <c r="C23" s="24">
        <v>32.297400000000003</v>
      </c>
      <c r="D23" s="26">
        <f t="shared" si="0"/>
        <v>9.2653644116260647E-3</v>
      </c>
      <c r="E23" s="67"/>
      <c r="F23" s="67"/>
      <c r="G23" s="67"/>
      <c r="H23" s="67"/>
      <c r="I23" s="67"/>
      <c r="J23" s="67"/>
      <c r="Q23" s="67"/>
    </row>
    <row r="24" spans="1:17" ht="25.95" customHeight="1" x14ac:dyDescent="0.3">
      <c r="A24" s="25">
        <v>44347</v>
      </c>
      <c r="B24" s="24" t="s">
        <v>8</v>
      </c>
      <c r="C24" s="24">
        <v>32.441099999999999</v>
      </c>
      <c r="D24" s="26">
        <f t="shared" si="0"/>
        <v>4.4492745546078627E-3</v>
      </c>
      <c r="E24" s="67"/>
      <c r="F24" s="67"/>
      <c r="G24" s="67"/>
      <c r="H24" s="67"/>
      <c r="I24" s="67"/>
      <c r="J24" s="67"/>
      <c r="Q24" s="67"/>
    </row>
    <row r="25" spans="1:17" ht="25.95" customHeight="1" x14ac:dyDescent="0.3">
      <c r="A25" s="25">
        <v>44377</v>
      </c>
      <c r="B25" s="24" t="s">
        <v>8</v>
      </c>
      <c r="C25" s="24">
        <v>32.463900000000002</v>
      </c>
      <c r="D25" s="26">
        <f t="shared" si="0"/>
        <v>7.0281217344669855E-4</v>
      </c>
      <c r="E25" s="67"/>
      <c r="F25" s="67"/>
      <c r="G25" s="67"/>
      <c r="H25" s="67"/>
      <c r="I25" s="67"/>
      <c r="J25" s="67"/>
      <c r="Q25" s="67"/>
    </row>
    <row r="26" spans="1:17" ht="25.95" customHeight="1" x14ac:dyDescent="0.3">
      <c r="A26" s="25">
        <v>44408</v>
      </c>
      <c r="B26" s="24" t="s">
        <v>8</v>
      </c>
      <c r="C26" s="24">
        <v>32.5349</v>
      </c>
      <c r="D26" s="26">
        <f t="shared" si="0"/>
        <v>2.1870446865595028E-3</v>
      </c>
      <c r="E26" s="67"/>
      <c r="F26" s="67"/>
      <c r="G26" s="67"/>
      <c r="H26" s="67"/>
      <c r="I26" s="67"/>
      <c r="J26" s="67"/>
      <c r="Q26" s="67"/>
    </row>
    <row r="27" spans="1:17" ht="25.95" customHeight="1" x14ac:dyDescent="0.3">
      <c r="A27" s="25">
        <v>44439</v>
      </c>
      <c r="B27" s="24" t="s">
        <v>8</v>
      </c>
      <c r="C27" s="24">
        <v>32.822400000000002</v>
      </c>
      <c r="D27" s="26">
        <f t="shared" si="0"/>
        <v>8.8366646278303929E-3</v>
      </c>
      <c r="E27" s="67"/>
      <c r="F27" s="67"/>
      <c r="G27" s="67"/>
      <c r="H27" s="67"/>
      <c r="I27" s="67"/>
      <c r="J27" s="67"/>
      <c r="Q27" s="67"/>
    </row>
    <row r="28" spans="1:17" ht="25.95" customHeight="1" x14ac:dyDescent="0.3">
      <c r="A28" s="25">
        <v>44469</v>
      </c>
      <c r="B28" s="24" t="s">
        <v>8</v>
      </c>
      <c r="C28" s="24">
        <v>33.0824</v>
      </c>
      <c r="D28" s="26">
        <f t="shared" si="0"/>
        <v>7.9214195183776592E-3</v>
      </c>
      <c r="E28" s="67"/>
      <c r="F28" s="67"/>
      <c r="G28" s="67"/>
      <c r="H28" s="67"/>
      <c r="I28" s="67"/>
      <c r="J28" s="67"/>
      <c r="Q28" s="67"/>
    </row>
    <row r="29" spans="1:17" ht="25.95" customHeight="1" x14ac:dyDescent="0.3">
      <c r="A29" s="25">
        <v>44500</v>
      </c>
      <c r="B29" s="24" t="s">
        <v>8</v>
      </c>
      <c r="C29" s="24">
        <v>33.024900000000002</v>
      </c>
      <c r="D29" s="26">
        <f t="shared" si="0"/>
        <v>-1.7380842985997846E-3</v>
      </c>
      <c r="E29" s="67"/>
      <c r="F29" s="67"/>
      <c r="G29" s="67"/>
      <c r="H29" s="67"/>
      <c r="I29" s="67"/>
      <c r="J29" s="67"/>
      <c r="Q29" s="67"/>
    </row>
    <row r="30" spans="1:17" ht="25.95" customHeight="1" x14ac:dyDescent="0.3">
      <c r="A30" s="25">
        <v>44530</v>
      </c>
      <c r="B30" s="24" t="s">
        <v>8</v>
      </c>
      <c r="C30" s="24">
        <v>33.272399999999998</v>
      </c>
      <c r="D30" s="26">
        <f t="shared" si="0"/>
        <v>7.4943451759126312E-3</v>
      </c>
      <c r="E30" s="67"/>
      <c r="F30" s="67"/>
      <c r="G30" s="67"/>
      <c r="H30" s="67"/>
      <c r="I30" s="67"/>
      <c r="J30" s="67"/>
      <c r="Q30" s="67"/>
    </row>
    <row r="31" spans="1:17" ht="25.95" customHeight="1" x14ac:dyDescent="0.3">
      <c r="A31" s="25">
        <v>44561</v>
      </c>
      <c r="B31" s="24" t="s">
        <v>8</v>
      </c>
      <c r="C31" s="24">
        <v>33.216900000000003</v>
      </c>
      <c r="D31" s="26">
        <f t="shared" si="0"/>
        <v>-1.6680491939263797E-3</v>
      </c>
      <c r="E31" s="67"/>
      <c r="F31" s="67"/>
      <c r="G31" s="67"/>
      <c r="H31" s="67"/>
      <c r="I31" s="67"/>
      <c r="J31" s="67"/>
      <c r="Q31" s="67"/>
    </row>
    <row r="32" spans="1:17" ht="25.95" customHeight="1" x14ac:dyDescent="0.3">
      <c r="A32" s="25">
        <v>44592</v>
      </c>
      <c r="B32" s="24" t="s">
        <v>8</v>
      </c>
      <c r="C32" s="24">
        <v>33.042499999999997</v>
      </c>
      <c r="D32" s="26">
        <f t="shared" si="0"/>
        <v>-5.2503394356488986E-3</v>
      </c>
      <c r="E32" s="67"/>
      <c r="F32" s="67"/>
      <c r="G32" s="67"/>
      <c r="H32" s="67"/>
      <c r="I32" s="67"/>
      <c r="J32" s="67"/>
      <c r="Q32" s="67"/>
    </row>
    <row r="33" spans="1:17" ht="25.95" customHeight="1" x14ac:dyDescent="0.3">
      <c r="A33" s="25">
        <v>44620</v>
      </c>
      <c r="B33" s="24" t="s">
        <v>8</v>
      </c>
      <c r="C33" s="24">
        <v>33.224299999999999</v>
      </c>
      <c r="D33" s="26">
        <f t="shared" si="0"/>
        <v>5.5020049935690096E-3</v>
      </c>
      <c r="E33" s="67"/>
      <c r="F33" s="67"/>
      <c r="G33" s="67"/>
      <c r="H33" s="67"/>
      <c r="I33" s="67"/>
      <c r="J33" s="67"/>
      <c r="Q33" s="67"/>
    </row>
    <row r="34" spans="1:17" ht="25.95" customHeight="1" x14ac:dyDescent="0.3">
      <c r="A34" s="25">
        <v>44651</v>
      </c>
      <c r="B34" s="24" t="s">
        <v>8</v>
      </c>
      <c r="C34" s="24">
        <v>33.271299999999997</v>
      </c>
      <c r="D34" s="26">
        <f t="shared" si="0"/>
        <v>1.4146272457207232E-3</v>
      </c>
      <c r="E34" s="67"/>
      <c r="F34" s="67"/>
      <c r="G34" s="67"/>
      <c r="H34" s="67"/>
      <c r="I34" s="67"/>
      <c r="J34" s="67"/>
      <c r="Q34" s="67"/>
    </row>
    <row r="35" spans="1:17" ht="25.95" customHeight="1" x14ac:dyDescent="0.3">
      <c r="A35" s="25">
        <v>44681</v>
      </c>
      <c r="B35" s="24" t="s">
        <v>8</v>
      </c>
      <c r="C35" s="24">
        <v>33.161299999999997</v>
      </c>
      <c r="D35" s="26">
        <f t="shared" si="0"/>
        <v>-3.3061527502682431E-3</v>
      </c>
      <c r="E35" s="67"/>
      <c r="F35" s="67"/>
      <c r="G35" s="67"/>
      <c r="H35" s="67"/>
      <c r="I35" s="67"/>
      <c r="J35" s="67"/>
      <c r="Q35" s="67"/>
    </row>
    <row r="36" spans="1:17" ht="25.95" customHeight="1" x14ac:dyDescent="0.3">
      <c r="A36" s="25">
        <v>44712</v>
      </c>
      <c r="B36" s="24" t="s">
        <v>8</v>
      </c>
      <c r="C36" s="24">
        <v>32.921399999999998</v>
      </c>
      <c r="D36" s="26">
        <f t="shared" si="0"/>
        <v>-7.2343364102130936E-3</v>
      </c>
      <c r="E36" s="67"/>
      <c r="F36" s="67"/>
      <c r="G36" s="67"/>
      <c r="H36" s="67"/>
      <c r="I36" s="67"/>
      <c r="J36" s="67"/>
      <c r="Q36" s="67"/>
    </row>
    <row r="37" spans="1:17" ht="25.95" customHeight="1" x14ac:dyDescent="0.3">
      <c r="A37" s="25">
        <v>44742</v>
      </c>
      <c r="B37" s="24" t="s">
        <v>8</v>
      </c>
      <c r="C37" s="24">
        <v>33.052300000000002</v>
      </c>
      <c r="D37" s="26">
        <f t="shared" si="0"/>
        <v>3.9761371023103731E-3</v>
      </c>
      <c r="E37" s="67"/>
      <c r="F37" s="67"/>
      <c r="G37" s="67"/>
      <c r="H37" s="67"/>
      <c r="I37" s="67"/>
      <c r="J37" s="67"/>
      <c r="Q37" s="67"/>
    </row>
    <row r="38" spans="1:17" ht="25.95" customHeight="1" x14ac:dyDescent="0.3">
      <c r="A38" s="25">
        <v>44773</v>
      </c>
      <c r="B38" s="24" t="s">
        <v>8</v>
      </c>
      <c r="C38" s="24">
        <v>33.437600000000003</v>
      </c>
      <c r="D38" s="26">
        <f t="shared" si="0"/>
        <v>1.1657282549172088E-2</v>
      </c>
      <c r="E38" s="67"/>
      <c r="F38" s="67"/>
      <c r="G38" s="67"/>
      <c r="H38" s="67"/>
      <c r="I38" s="67"/>
      <c r="J38" s="67"/>
      <c r="Q38" s="67"/>
    </row>
    <row r="39" spans="1:17" ht="25.95" customHeight="1" x14ac:dyDescent="0.3">
      <c r="A39" s="25">
        <v>44804</v>
      </c>
      <c r="B39" s="24" t="s">
        <v>8</v>
      </c>
      <c r="C39" s="24">
        <v>33.847799999999999</v>
      </c>
      <c r="D39" s="26">
        <f t="shared" si="0"/>
        <v>1.2267626863171843E-2</v>
      </c>
      <c r="E39" s="67"/>
      <c r="F39" s="67"/>
      <c r="G39" s="67"/>
      <c r="H39" s="67"/>
      <c r="I39" s="67"/>
      <c r="J39" s="67"/>
      <c r="Q39" s="67"/>
    </row>
    <row r="40" spans="1:17" ht="25.95" customHeight="1" x14ac:dyDescent="0.3">
      <c r="A40" s="25">
        <v>44834</v>
      </c>
      <c r="B40" s="24" t="s">
        <v>8</v>
      </c>
      <c r="C40" s="24">
        <v>33.8553</v>
      </c>
      <c r="D40" s="26">
        <f t="shared" si="0"/>
        <v>2.2158013223894102E-4</v>
      </c>
      <c r="E40" s="67"/>
      <c r="F40" s="67"/>
      <c r="G40" s="67"/>
      <c r="H40" s="67"/>
      <c r="I40" s="67"/>
      <c r="J40" s="67"/>
      <c r="Q40" s="67"/>
    </row>
    <row r="41" spans="1:17" ht="25.95" customHeight="1" x14ac:dyDescent="0.3">
      <c r="A41" s="25">
        <v>44865</v>
      </c>
      <c r="B41" s="24" t="s">
        <v>8</v>
      </c>
      <c r="C41" s="24">
        <v>33.970500000000001</v>
      </c>
      <c r="D41" s="26">
        <f t="shared" si="0"/>
        <v>3.4027168567403177E-3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</row>
    <row r="42" spans="1:17" ht="25.95" customHeight="1" x14ac:dyDescent="0.3">
      <c r="A42" s="25">
        <v>44895</v>
      </c>
      <c r="B42" s="24" t="s">
        <v>8</v>
      </c>
      <c r="C42" s="24">
        <v>34.350200000000001</v>
      </c>
      <c r="D42" s="26">
        <f t="shared" si="0"/>
        <v>1.117734504938106E-2</v>
      </c>
    </row>
    <row r="43" spans="1:17" ht="25.95" customHeight="1" x14ac:dyDescent="0.3">
      <c r="A43" s="25">
        <v>44926</v>
      </c>
      <c r="B43" s="24" t="s">
        <v>8</v>
      </c>
      <c r="C43" s="24">
        <v>34.459099999999999</v>
      </c>
      <c r="D43" s="26">
        <f t="shared" si="0"/>
        <v>3.1702872181238462E-3</v>
      </c>
    </row>
    <row r="44" spans="1:17" ht="25.95" customHeight="1" x14ac:dyDescent="0.3">
      <c r="A44" s="25">
        <v>44957</v>
      </c>
      <c r="B44" s="24" t="s">
        <v>8</v>
      </c>
      <c r="C44" s="24">
        <v>34.595599999999997</v>
      </c>
      <c r="D44" s="26">
        <f t="shared" si="0"/>
        <v>3.9612177915266944E-3</v>
      </c>
    </row>
    <row r="45" spans="1:17" ht="25.95" customHeight="1" x14ac:dyDescent="0.3">
      <c r="A45" s="25">
        <v>44985</v>
      </c>
      <c r="B45" s="24" t="s">
        <v>8</v>
      </c>
      <c r="C45" s="24">
        <v>34.685400000000001</v>
      </c>
      <c r="D45" s="26">
        <f t="shared" si="0"/>
        <v>2.5957058122998422E-3</v>
      </c>
    </row>
    <row r="46" spans="1:17" ht="25.95" customHeight="1" x14ac:dyDescent="0.3">
      <c r="A46" s="25">
        <v>45016</v>
      </c>
      <c r="B46" s="24" t="s">
        <v>8</v>
      </c>
      <c r="C46" s="24">
        <v>35.0349</v>
      </c>
      <c r="D46" s="26">
        <f t="shared" si="0"/>
        <v>1.0076285699458509E-2</v>
      </c>
    </row>
    <row r="47" spans="1:17" ht="25.95" customHeight="1" x14ac:dyDescent="0.3">
      <c r="A47" s="25">
        <v>45046</v>
      </c>
      <c r="B47" s="24" t="s">
        <v>8</v>
      </c>
      <c r="C47" s="24">
        <v>35.493899999999996</v>
      </c>
      <c r="D47" s="26">
        <f t="shared" si="0"/>
        <v>1.3101221924423756E-2</v>
      </c>
    </row>
    <row r="48" spans="1:17" ht="25.95" customHeight="1" x14ac:dyDescent="0.3">
      <c r="A48" s="25">
        <v>45077</v>
      </c>
      <c r="B48" s="24" t="s">
        <v>8</v>
      </c>
      <c r="C48" s="24">
        <v>35.902700000000003</v>
      </c>
      <c r="D48" s="26">
        <f t="shared" si="0"/>
        <v>1.1517472016318475E-2</v>
      </c>
    </row>
    <row r="49" spans="1:4" ht="25.95" customHeight="1" x14ac:dyDescent="0.3">
      <c r="A49" s="25">
        <v>45107</v>
      </c>
      <c r="B49" s="24" t="s">
        <v>8</v>
      </c>
      <c r="C49" s="24">
        <v>35.9726</v>
      </c>
      <c r="D49" s="26">
        <f t="shared" si="0"/>
        <v>1.9469287825149006E-3</v>
      </c>
    </row>
    <row r="50" spans="1:4" ht="25.95" customHeight="1" x14ac:dyDescent="0.3">
      <c r="A50" s="25">
        <v>45138</v>
      </c>
      <c r="B50" s="24" t="s">
        <v>8</v>
      </c>
      <c r="C50" s="24">
        <v>36.1327</v>
      </c>
      <c r="D50" s="26">
        <f t="shared" si="0"/>
        <v>4.4506096306633491E-3</v>
      </c>
    </row>
    <row r="51" spans="1:4" ht="25.95" customHeight="1" x14ac:dyDescent="0.3">
      <c r="A51" s="25">
        <v>45169</v>
      </c>
      <c r="B51" s="24" t="s">
        <v>8</v>
      </c>
      <c r="C51" s="24">
        <v>36.3752</v>
      </c>
      <c r="D51" s="26">
        <f t="shared" si="0"/>
        <v>6.7113722472995629E-3</v>
      </c>
    </row>
    <row r="52" spans="1:4" ht="25.95" customHeight="1" x14ac:dyDescent="0.3">
      <c r="A52" s="25">
        <v>45199</v>
      </c>
      <c r="B52" s="24" t="s">
        <v>8</v>
      </c>
      <c r="C52" s="24">
        <v>36.491</v>
      </c>
      <c r="D52" s="26">
        <f t="shared" si="0"/>
        <v>3.1834876509269083E-3</v>
      </c>
    </row>
    <row r="53" spans="1:4" ht="25.95" customHeight="1" x14ac:dyDescent="0.3">
      <c r="A53" s="25">
        <v>45230</v>
      </c>
      <c r="B53" s="24" t="s">
        <v>8</v>
      </c>
      <c r="C53" s="24">
        <v>36.552599999999998</v>
      </c>
      <c r="D53" s="26">
        <f t="shared" si="0"/>
        <v>1.6880874736235896E-3</v>
      </c>
    </row>
    <row r="54" spans="1:4" ht="25.95" customHeight="1" x14ac:dyDescent="0.3">
      <c r="A54" s="25">
        <v>45260</v>
      </c>
      <c r="B54" s="24" t="s">
        <v>8</v>
      </c>
      <c r="C54" s="24">
        <v>36.871099999999998</v>
      </c>
      <c r="D54" s="26">
        <f t="shared" si="0"/>
        <v>8.7134704508025074E-3</v>
      </c>
    </row>
    <row r="55" spans="1:4" ht="25.95" customHeight="1" x14ac:dyDescent="0.3">
      <c r="A55" s="25">
        <v>45291</v>
      </c>
      <c r="B55" s="24" t="s">
        <v>8</v>
      </c>
      <c r="C55" s="24">
        <v>37.264099999999999</v>
      </c>
      <c r="D55" s="26">
        <f t="shared" si="0"/>
        <v>1.0658754417416372E-2</v>
      </c>
    </row>
    <row r="56" spans="1:4" ht="25.95" customHeight="1" x14ac:dyDescent="0.3">
      <c r="A56" s="25">
        <v>45322</v>
      </c>
      <c r="B56" s="24" t="s">
        <v>8</v>
      </c>
      <c r="C56" s="24">
        <v>37.516500000000001</v>
      </c>
      <c r="D56" s="26">
        <f t="shared" si="0"/>
        <v>6.7732750824520682E-3</v>
      </c>
    </row>
    <row r="57" spans="1:4" ht="25.95" customHeight="1" x14ac:dyDescent="0.3">
      <c r="A57" s="25">
        <v>45351</v>
      </c>
      <c r="B57" s="24" t="s">
        <v>8</v>
      </c>
      <c r="C57" s="24">
        <v>37.865499999999997</v>
      </c>
      <c r="D57" s="26">
        <f t="shared" si="0"/>
        <v>9.3025735343115201E-3</v>
      </c>
    </row>
    <row r="58" spans="1:4" ht="25.95" customHeight="1" x14ac:dyDescent="0.3">
      <c r="A58" s="25">
        <v>45382</v>
      </c>
      <c r="B58" s="24" t="s">
        <v>8</v>
      </c>
      <c r="C58" s="24">
        <v>38.164400000000001</v>
      </c>
      <c r="D58" s="26">
        <f t="shared" si="0"/>
        <v>7.8937291201754967E-3</v>
      </c>
    </row>
    <row r="59" spans="1:4" ht="25.95" customHeight="1" x14ac:dyDescent="0.3">
      <c r="A59" s="25">
        <v>45412</v>
      </c>
      <c r="B59" s="24" t="s">
        <v>8</v>
      </c>
      <c r="C59" s="24">
        <v>38.079500000000003</v>
      </c>
      <c r="D59" s="26">
        <f t="shared" si="0"/>
        <v>-2.2245862636383062E-3</v>
      </c>
    </row>
    <row r="60" spans="1:4" ht="25.95" customHeight="1" x14ac:dyDescent="0.3">
      <c r="A60" s="25">
        <v>45443</v>
      </c>
      <c r="B60" s="24" t="s">
        <v>8</v>
      </c>
      <c r="C60" s="24">
        <v>38.600999999999999</v>
      </c>
      <c r="D60" s="26">
        <f t="shared" si="0"/>
        <v>1.3695032760409065E-2</v>
      </c>
    </row>
    <row r="61" spans="1:4" ht="25.95" customHeight="1" x14ac:dyDescent="0.3">
      <c r="A61" s="25">
        <v>45473</v>
      </c>
      <c r="B61" s="24" t="s">
        <v>8</v>
      </c>
      <c r="C61" s="24">
        <v>38.793100000000003</v>
      </c>
      <c r="D61" s="26">
        <f t="shared" si="0"/>
        <v>4.976555011528383E-3</v>
      </c>
    </row>
    <row r="62" spans="1:4" ht="25.95" customHeight="1" x14ac:dyDescent="0.3">
      <c r="A62" s="25">
        <v>45504</v>
      </c>
      <c r="B62" s="24" t="s">
        <v>8</v>
      </c>
      <c r="C62" s="24">
        <v>39.193300000000001</v>
      </c>
      <c r="D62" s="26">
        <f t="shared" si="0"/>
        <v>1.0316267583668104E-2</v>
      </c>
    </row>
    <row r="63" spans="1:4" ht="25.95" customHeight="1" x14ac:dyDescent="0.3">
      <c r="A63" s="25">
        <v>45535</v>
      </c>
      <c r="B63" s="24" t="s">
        <v>8</v>
      </c>
      <c r="C63" s="24">
        <v>39.534799999999997</v>
      </c>
      <c r="D63" s="26">
        <f t="shared" si="0"/>
        <v>8.713223943888293E-3</v>
      </c>
    </row>
    <row r="64" spans="1:4" ht="25.95" customHeight="1" x14ac:dyDescent="0.3">
      <c r="A64" s="25">
        <v>45565</v>
      </c>
      <c r="B64" s="24" t="s">
        <v>8</v>
      </c>
      <c r="C64" s="24">
        <v>39.996200000000002</v>
      </c>
      <c r="D64" s="26">
        <f t="shared" si="0"/>
        <v>1.1670730596841317E-2</v>
      </c>
    </row>
    <row r="65" spans="1:4" ht="25.95" customHeight="1" x14ac:dyDescent="0.3">
      <c r="A65" s="25">
        <v>45596</v>
      </c>
      <c r="B65" s="24" t="s">
        <v>8</v>
      </c>
      <c r="C65" s="24">
        <v>40.114400000000003</v>
      </c>
      <c r="D65" s="26">
        <f t="shared" si="0"/>
        <v>2.9552807516715074E-3</v>
      </c>
    </row>
    <row r="66" spans="1:4" ht="25.95" customHeight="1" x14ac:dyDescent="0.3">
      <c r="A66" s="25">
        <v>45626</v>
      </c>
      <c r="B66" s="24" t="s">
        <v>8</v>
      </c>
      <c r="C66" s="24">
        <v>40.425199999999997</v>
      </c>
      <c r="D66" s="26">
        <f t="shared" si="0"/>
        <v>7.7478411742415432E-3</v>
      </c>
    </row>
    <row r="67" spans="1:4" ht="25.95" customHeight="1" x14ac:dyDescent="0.3">
      <c r="A67" s="25">
        <v>45657</v>
      </c>
      <c r="B67" s="24" t="s">
        <v>8</v>
      </c>
      <c r="C67" s="24">
        <v>40.617400000000004</v>
      </c>
      <c r="D67" s="26">
        <f t="shared" si="0"/>
        <v>4.754460089251511E-3</v>
      </c>
    </row>
    <row r="68" spans="1:4" ht="25.95" customHeight="1" x14ac:dyDescent="0.3">
      <c r="A68" s="25">
        <v>43861</v>
      </c>
      <c r="B68" s="24" t="s">
        <v>7</v>
      </c>
      <c r="C68" s="24">
        <v>36</v>
      </c>
      <c r="D68" s="26" t="str">
        <f t="shared" si="0"/>
        <v/>
      </c>
    </row>
    <row r="69" spans="1:4" ht="25.95" customHeight="1" x14ac:dyDescent="0.3">
      <c r="A69" s="25">
        <v>43890</v>
      </c>
      <c r="B69" s="24" t="s">
        <v>7</v>
      </c>
      <c r="C69" s="24">
        <v>37</v>
      </c>
      <c r="D69" s="26">
        <f t="shared" si="0"/>
        <v>2.7777777777777679E-2</v>
      </c>
    </row>
    <row r="70" spans="1:4" ht="25.95" customHeight="1" x14ac:dyDescent="0.3">
      <c r="A70" s="25">
        <v>43921</v>
      </c>
      <c r="B70" s="24" t="s">
        <v>7</v>
      </c>
      <c r="C70" s="24">
        <v>38</v>
      </c>
      <c r="D70" s="26">
        <f t="shared" si="0"/>
        <v>2.7027027027026973E-2</v>
      </c>
    </row>
    <row r="71" spans="1:4" ht="25.95" customHeight="1" x14ac:dyDescent="0.3">
      <c r="A71" s="25">
        <v>43951</v>
      </c>
      <c r="B71" s="24" t="s">
        <v>7</v>
      </c>
      <c r="C71" s="24">
        <v>43</v>
      </c>
      <c r="D71" s="26">
        <f t="shared" si="0"/>
        <v>0.13157894736842102</v>
      </c>
    </row>
    <row r="72" spans="1:4" ht="25.95" customHeight="1" x14ac:dyDescent="0.3">
      <c r="A72" s="25">
        <v>43982</v>
      </c>
      <c r="B72" s="24" t="s">
        <v>7</v>
      </c>
      <c r="C72" s="24">
        <v>41</v>
      </c>
      <c r="D72" s="26">
        <f t="shared" ref="D72:D135" si="1">IF(B72=B71,(C72/C71)-1,"")</f>
        <v>-4.6511627906976716E-2</v>
      </c>
    </row>
    <row r="73" spans="1:4" ht="25.95" customHeight="1" x14ac:dyDescent="0.3">
      <c r="A73" s="25">
        <v>44012</v>
      </c>
      <c r="B73" s="24" t="s">
        <v>7</v>
      </c>
      <c r="C73" s="24">
        <v>43</v>
      </c>
      <c r="D73" s="26">
        <f t="shared" si="1"/>
        <v>4.8780487804878092E-2</v>
      </c>
    </row>
    <row r="74" spans="1:4" ht="25.95" customHeight="1" x14ac:dyDescent="0.3">
      <c r="A74" s="25">
        <v>44043</v>
      </c>
      <c r="B74" s="24" t="s">
        <v>7</v>
      </c>
      <c r="C74" s="24">
        <v>47</v>
      </c>
      <c r="D74" s="26">
        <f t="shared" si="1"/>
        <v>9.3023255813953432E-2</v>
      </c>
    </row>
    <row r="75" spans="1:4" ht="25.95" customHeight="1" x14ac:dyDescent="0.3">
      <c r="A75" s="25">
        <v>44074</v>
      </c>
      <c r="B75" s="24" t="s">
        <v>7</v>
      </c>
      <c r="C75" s="24">
        <v>45</v>
      </c>
      <c r="D75" s="26">
        <f t="shared" si="1"/>
        <v>-4.2553191489361653E-2</v>
      </c>
    </row>
    <row r="76" spans="1:4" ht="25.95" customHeight="1" x14ac:dyDescent="0.3">
      <c r="A76" s="25">
        <v>44104</v>
      </c>
      <c r="B76" s="24" t="s">
        <v>7</v>
      </c>
      <c r="C76" s="24">
        <v>44</v>
      </c>
      <c r="D76" s="26">
        <f t="shared" si="1"/>
        <v>-2.2222222222222254E-2</v>
      </c>
    </row>
    <row r="77" spans="1:4" ht="25.95" customHeight="1" x14ac:dyDescent="0.3">
      <c r="A77" s="25">
        <v>44135</v>
      </c>
      <c r="B77" s="24" t="s">
        <v>7</v>
      </c>
      <c r="C77" s="24">
        <v>44</v>
      </c>
      <c r="D77" s="26">
        <f t="shared" si="1"/>
        <v>0</v>
      </c>
    </row>
    <row r="78" spans="1:4" ht="25.95" customHeight="1" x14ac:dyDescent="0.3">
      <c r="A78" s="25">
        <v>44165</v>
      </c>
      <c r="B78" s="24" t="s">
        <v>7</v>
      </c>
      <c r="C78" s="24">
        <v>43</v>
      </c>
      <c r="D78" s="26">
        <f t="shared" si="1"/>
        <v>-2.2727272727272707E-2</v>
      </c>
    </row>
    <row r="79" spans="1:4" ht="25.95" customHeight="1" x14ac:dyDescent="0.3">
      <c r="A79" s="25">
        <v>44196</v>
      </c>
      <c r="B79" s="24" t="s">
        <v>7</v>
      </c>
      <c r="C79" s="24">
        <v>44</v>
      </c>
      <c r="D79" s="26">
        <f t="shared" si="1"/>
        <v>2.3255813953488413E-2</v>
      </c>
    </row>
    <row r="80" spans="1:4" ht="25.95" customHeight="1" x14ac:dyDescent="0.3">
      <c r="A80" s="25">
        <v>44227</v>
      </c>
      <c r="B80" s="24" t="s">
        <v>7</v>
      </c>
      <c r="C80" s="24">
        <v>43</v>
      </c>
      <c r="D80" s="26">
        <f t="shared" si="1"/>
        <v>-2.2727272727272707E-2</v>
      </c>
    </row>
    <row r="81" spans="1:4" ht="25.95" customHeight="1" x14ac:dyDescent="0.3">
      <c r="A81" s="25">
        <v>44255</v>
      </c>
      <c r="B81" s="24" t="s">
        <v>7</v>
      </c>
      <c r="C81" s="24">
        <v>40</v>
      </c>
      <c r="D81" s="26">
        <f t="shared" si="1"/>
        <v>-6.9767441860465129E-2</v>
      </c>
    </row>
    <row r="82" spans="1:4" ht="25.95" customHeight="1" x14ac:dyDescent="0.3">
      <c r="A82" s="25">
        <v>44286</v>
      </c>
      <c r="B82" s="24" t="s">
        <v>7</v>
      </c>
      <c r="C82" s="24">
        <v>38</v>
      </c>
      <c r="D82" s="26">
        <f t="shared" si="1"/>
        <v>-5.0000000000000044E-2</v>
      </c>
    </row>
    <row r="83" spans="1:4" ht="25.95" customHeight="1" x14ac:dyDescent="0.3">
      <c r="A83" s="25">
        <v>44316</v>
      </c>
      <c r="B83" s="24" t="s">
        <v>7</v>
      </c>
      <c r="C83" s="24">
        <v>41</v>
      </c>
      <c r="D83" s="26">
        <f t="shared" si="1"/>
        <v>7.8947368421052655E-2</v>
      </c>
    </row>
    <row r="84" spans="1:4" ht="25.95" customHeight="1" x14ac:dyDescent="0.3">
      <c r="A84" s="25">
        <v>44347</v>
      </c>
      <c r="B84" s="24" t="s">
        <v>7</v>
      </c>
      <c r="C84" s="24">
        <v>43</v>
      </c>
      <c r="D84" s="26">
        <f t="shared" si="1"/>
        <v>4.8780487804878092E-2</v>
      </c>
    </row>
    <row r="85" spans="1:4" ht="25.95" customHeight="1" x14ac:dyDescent="0.3">
      <c r="A85" s="25">
        <v>44377</v>
      </c>
      <c r="B85" s="24" t="s">
        <v>7</v>
      </c>
      <c r="C85" s="24">
        <v>41</v>
      </c>
      <c r="D85" s="26">
        <f t="shared" si="1"/>
        <v>-4.6511627906976716E-2</v>
      </c>
    </row>
    <row r="86" spans="1:4" ht="25.95" customHeight="1" x14ac:dyDescent="0.3">
      <c r="A86" s="25">
        <v>44408</v>
      </c>
      <c r="B86" s="24" t="s">
        <v>7</v>
      </c>
      <c r="C86" s="24">
        <v>42</v>
      </c>
      <c r="D86" s="26">
        <f t="shared" si="1"/>
        <v>2.4390243902439046E-2</v>
      </c>
    </row>
    <row r="87" spans="1:4" ht="25.95" customHeight="1" x14ac:dyDescent="0.3">
      <c r="A87" s="25">
        <v>44439</v>
      </c>
      <c r="B87" s="24" t="s">
        <v>7</v>
      </c>
      <c r="C87" s="24">
        <v>41</v>
      </c>
      <c r="D87" s="26">
        <f t="shared" si="1"/>
        <v>-2.3809523809523836E-2</v>
      </c>
    </row>
    <row r="88" spans="1:4" ht="25.95" customHeight="1" x14ac:dyDescent="0.3">
      <c r="A88" s="25">
        <v>44469</v>
      </c>
      <c r="B88" s="24" t="s">
        <v>7</v>
      </c>
      <c r="C88" s="24">
        <v>40</v>
      </c>
      <c r="D88" s="26">
        <f t="shared" si="1"/>
        <v>-2.4390243902439046E-2</v>
      </c>
    </row>
    <row r="89" spans="1:4" ht="25.95" customHeight="1" x14ac:dyDescent="0.3">
      <c r="A89" s="25">
        <v>44500</v>
      </c>
      <c r="B89" s="24" t="s">
        <v>7</v>
      </c>
      <c r="C89" s="24">
        <v>42</v>
      </c>
      <c r="D89" s="26">
        <f t="shared" si="1"/>
        <v>5.0000000000000044E-2</v>
      </c>
    </row>
    <row r="90" spans="1:4" ht="25.95" customHeight="1" x14ac:dyDescent="0.3">
      <c r="A90" s="25">
        <v>44530</v>
      </c>
      <c r="B90" s="24" t="s">
        <v>7</v>
      </c>
      <c r="C90" s="24">
        <v>42</v>
      </c>
      <c r="D90" s="26">
        <f t="shared" si="1"/>
        <v>0</v>
      </c>
    </row>
    <row r="91" spans="1:4" ht="25.95" customHeight="1" x14ac:dyDescent="0.3">
      <c r="A91" s="25">
        <v>44561</v>
      </c>
      <c r="B91" s="24" t="s">
        <v>7</v>
      </c>
      <c r="C91" s="24">
        <v>41</v>
      </c>
      <c r="D91" s="26">
        <f t="shared" si="1"/>
        <v>-2.3809523809523836E-2</v>
      </c>
    </row>
    <row r="92" spans="1:4" ht="25.95" customHeight="1" x14ac:dyDescent="0.3">
      <c r="A92" s="25">
        <v>44592</v>
      </c>
      <c r="B92" s="24" t="s">
        <v>7</v>
      </c>
      <c r="C92" s="24">
        <v>41</v>
      </c>
      <c r="D92" s="26">
        <f t="shared" si="1"/>
        <v>0</v>
      </c>
    </row>
    <row r="93" spans="1:4" ht="25.95" customHeight="1" x14ac:dyDescent="0.3">
      <c r="A93" s="25">
        <v>44620</v>
      </c>
      <c r="B93" s="24" t="s">
        <v>7</v>
      </c>
      <c r="C93" s="24">
        <v>44</v>
      </c>
      <c r="D93" s="26">
        <f t="shared" si="1"/>
        <v>7.3170731707317138E-2</v>
      </c>
    </row>
    <row r="94" spans="1:4" ht="25.95" customHeight="1" x14ac:dyDescent="0.3">
      <c r="A94" s="25">
        <v>44651</v>
      </c>
      <c r="B94" s="24" t="s">
        <v>7</v>
      </c>
      <c r="C94" s="24">
        <v>44</v>
      </c>
      <c r="D94" s="26">
        <f t="shared" si="1"/>
        <v>0</v>
      </c>
    </row>
    <row r="95" spans="1:4" ht="25.95" customHeight="1" x14ac:dyDescent="0.3">
      <c r="A95" s="25">
        <v>44681</v>
      </c>
      <c r="B95" s="24" t="s">
        <v>7</v>
      </c>
      <c r="C95" s="24">
        <v>45</v>
      </c>
      <c r="D95" s="26">
        <f t="shared" si="1"/>
        <v>2.2727272727272707E-2</v>
      </c>
    </row>
    <row r="96" spans="1:4" ht="25.95" customHeight="1" x14ac:dyDescent="0.3">
      <c r="A96" s="25">
        <v>44712</v>
      </c>
      <c r="B96" s="24" t="s">
        <v>7</v>
      </c>
      <c r="C96" s="24">
        <v>44</v>
      </c>
      <c r="D96" s="26">
        <f t="shared" si="1"/>
        <v>-2.2222222222222254E-2</v>
      </c>
    </row>
    <row r="97" spans="1:4" ht="25.95" customHeight="1" x14ac:dyDescent="0.3">
      <c r="A97" s="25">
        <v>44742</v>
      </c>
      <c r="B97" s="24" t="s">
        <v>7</v>
      </c>
      <c r="C97" s="24">
        <v>44</v>
      </c>
      <c r="D97" s="26">
        <f t="shared" si="1"/>
        <v>0</v>
      </c>
    </row>
    <row r="98" spans="1:4" ht="25.95" customHeight="1" x14ac:dyDescent="0.3">
      <c r="A98" s="25">
        <v>44773</v>
      </c>
      <c r="B98" s="24" t="s">
        <v>7</v>
      </c>
      <c r="C98" s="24">
        <v>44</v>
      </c>
      <c r="D98" s="26">
        <f t="shared" si="1"/>
        <v>0</v>
      </c>
    </row>
    <row r="99" spans="1:4" ht="25.95" customHeight="1" x14ac:dyDescent="0.3">
      <c r="A99" s="25">
        <v>44804</v>
      </c>
      <c r="B99" s="24" t="s">
        <v>7</v>
      </c>
      <c r="C99" s="24">
        <v>44</v>
      </c>
      <c r="D99" s="26">
        <f t="shared" si="1"/>
        <v>0</v>
      </c>
    </row>
    <row r="100" spans="1:4" ht="25.95" customHeight="1" x14ac:dyDescent="0.3">
      <c r="A100" s="25">
        <v>44834</v>
      </c>
      <c r="B100" s="24" t="s">
        <v>7</v>
      </c>
      <c r="C100" s="24">
        <v>43</v>
      </c>
      <c r="D100" s="26">
        <f t="shared" si="1"/>
        <v>-2.2727272727272707E-2</v>
      </c>
    </row>
    <row r="101" spans="1:4" ht="25.95" customHeight="1" x14ac:dyDescent="0.3">
      <c r="A101" s="25">
        <v>44865</v>
      </c>
      <c r="B101" s="24" t="s">
        <v>7</v>
      </c>
      <c r="C101" s="24">
        <v>43</v>
      </c>
      <c r="D101" s="26">
        <f t="shared" si="1"/>
        <v>0</v>
      </c>
    </row>
    <row r="102" spans="1:4" ht="25.95" customHeight="1" x14ac:dyDescent="0.3">
      <c r="A102" s="25">
        <v>44895</v>
      </c>
      <c r="B102" s="24" t="s">
        <v>7</v>
      </c>
      <c r="C102" s="24">
        <v>45</v>
      </c>
      <c r="D102" s="26">
        <f t="shared" si="1"/>
        <v>4.6511627906976827E-2</v>
      </c>
    </row>
    <row r="103" spans="1:4" ht="25.95" customHeight="1" x14ac:dyDescent="0.3">
      <c r="A103" s="25">
        <v>44926</v>
      </c>
      <c r="B103" s="24" t="s">
        <v>7</v>
      </c>
      <c r="C103" s="24">
        <v>47</v>
      </c>
      <c r="D103" s="26">
        <f t="shared" si="1"/>
        <v>4.4444444444444509E-2</v>
      </c>
    </row>
    <row r="104" spans="1:4" ht="25.95" customHeight="1" x14ac:dyDescent="0.3">
      <c r="A104" s="25">
        <v>44957</v>
      </c>
      <c r="B104" s="24" t="s">
        <v>7</v>
      </c>
      <c r="C104" s="24">
        <v>49</v>
      </c>
      <c r="D104" s="26">
        <f t="shared" si="1"/>
        <v>4.2553191489361764E-2</v>
      </c>
    </row>
    <row r="105" spans="1:4" ht="25.95" customHeight="1" x14ac:dyDescent="0.3">
      <c r="A105" s="25">
        <v>44985</v>
      </c>
      <c r="B105" s="24" t="s">
        <v>7</v>
      </c>
      <c r="C105" s="24">
        <v>47</v>
      </c>
      <c r="D105" s="26">
        <f t="shared" si="1"/>
        <v>-4.081632653061229E-2</v>
      </c>
    </row>
    <row r="106" spans="1:4" ht="25.95" customHeight="1" x14ac:dyDescent="0.3">
      <c r="A106" s="25">
        <v>45016</v>
      </c>
      <c r="B106" s="24" t="s">
        <v>7</v>
      </c>
      <c r="C106" s="24">
        <v>51</v>
      </c>
      <c r="D106" s="26">
        <f t="shared" si="1"/>
        <v>8.5106382978723305E-2</v>
      </c>
    </row>
    <row r="107" spans="1:4" ht="25.95" customHeight="1" x14ac:dyDescent="0.3">
      <c r="A107" s="25">
        <v>45046</v>
      </c>
      <c r="B107" s="24" t="s">
        <v>7</v>
      </c>
      <c r="C107" s="24">
        <v>51</v>
      </c>
      <c r="D107" s="26">
        <f t="shared" si="1"/>
        <v>0</v>
      </c>
    </row>
    <row r="108" spans="1:4" ht="25.95" customHeight="1" x14ac:dyDescent="0.3">
      <c r="A108" s="25">
        <v>45077</v>
      </c>
      <c r="B108" s="24" t="s">
        <v>7</v>
      </c>
      <c r="C108" s="24">
        <v>51</v>
      </c>
      <c r="D108" s="26">
        <f t="shared" si="1"/>
        <v>0</v>
      </c>
    </row>
    <row r="109" spans="1:4" ht="25.95" customHeight="1" x14ac:dyDescent="0.3">
      <c r="A109" s="25">
        <v>45107</v>
      </c>
      <c r="B109" s="24" t="s">
        <v>7</v>
      </c>
      <c r="C109" s="24">
        <v>49</v>
      </c>
      <c r="D109" s="26">
        <f t="shared" si="1"/>
        <v>-3.9215686274509776E-2</v>
      </c>
    </row>
    <row r="110" spans="1:4" ht="25.95" customHeight="1" x14ac:dyDescent="0.3">
      <c r="A110" s="25">
        <v>45138</v>
      </c>
      <c r="B110" s="24" t="s">
        <v>7</v>
      </c>
      <c r="C110" s="24">
        <v>51</v>
      </c>
      <c r="D110" s="26">
        <f t="shared" si="1"/>
        <v>4.081632653061229E-2</v>
      </c>
    </row>
    <row r="111" spans="1:4" ht="25.95" customHeight="1" x14ac:dyDescent="0.3">
      <c r="A111" s="25">
        <v>45169</v>
      </c>
      <c r="B111" s="24" t="s">
        <v>7</v>
      </c>
      <c r="C111" s="24">
        <v>50</v>
      </c>
      <c r="D111" s="26">
        <f t="shared" si="1"/>
        <v>-1.9607843137254943E-2</v>
      </c>
    </row>
    <row r="112" spans="1:4" ht="25.95" customHeight="1" x14ac:dyDescent="0.3">
      <c r="A112" s="25">
        <v>45199</v>
      </c>
      <c r="B112" s="24" t="s">
        <v>7</v>
      </c>
      <c r="C112" s="24">
        <v>49</v>
      </c>
      <c r="D112" s="26">
        <f t="shared" si="1"/>
        <v>-2.0000000000000018E-2</v>
      </c>
    </row>
    <row r="113" spans="1:4" ht="25.95" customHeight="1" x14ac:dyDescent="0.3">
      <c r="A113" s="25">
        <v>45230</v>
      </c>
      <c r="B113" s="24" t="s">
        <v>7</v>
      </c>
      <c r="C113" s="24">
        <v>52</v>
      </c>
      <c r="D113" s="26">
        <f t="shared" si="1"/>
        <v>6.1224489795918435E-2</v>
      </c>
    </row>
    <row r="114" spans="1:4" ht="25.95" customHeight="1" x14ac:dyDescent="0.3">
      <c r="A114" s="25">
        <v>45260</v>
      </c>
      <c r="B114" s="24" t="s">
        <v>7</v>
      </c>
      <c r="C114" s="24">
        <v>53</v>
      </c>
      <c r="D114" s="26">
        <f t="shared" si="1"/>
        <v>1.9230769230769162E-2</v>
      </c>
    </row>
    <row r="115" spans="1:4" ht="25.95" customHeight="1" x14ac:dyDescent="0.3">
      <c r="A115" s="25">
        <v>45291</v>
      </c>
      <c r="B115" s="24" t="s">
        <v>7</v>
      </c>
      <c r="C115" s="24">
        <v>54</v>
      </c>
      <c r="D115" s="26">
        <f t="shared" si="1"/>
        <v>1.8867924528301883E-2</v>
      </c>
    </row>
    <row r="116" spans="1:4" ht="25.95" customHeight="1" x14ac:dyDescent="0.3">
      <c r="A116" s="25">
        <v>45322</v>
      </c>
      <c r="B116" s="24" t="s">
        <v>7</v>
      </c>
      <c r="C116" s="24">
        <v>53</v>
      </c>
      <c r="D116" s="26">
        <f t="shared" si="1"/>
        <v>-1.851851851851849E-2</v>
      </c>
    </row>
    <row r="117" spans="1:4" ht="25.95" customHeight="1" x14ac:dyDescent="0.3">
      <c r="A117" s="25">
        <v>45351</v>
      </c>
      <c r="B117" s="24" t="s">
        <v>7</v>
      </c>
      <c r="C117" s="24">
        <v>53</v>
      </c>
      <c r="D117" s="26">
        <f t="shared" si="1"/>
        <v>0</v>
      </c>
    </row>
    <row r="118" spans="1:4" ht="25.95" customHeight="1" x14ac:dyDescent="0.3">
      <c r="A118" s="25">
        <v>45382</v>
      </c>
      <c r="B118" s="24" t="s">
        <v>7</v>
      </c>
      <c r="C118" s="24">
        <v>57</v>
      </c>
      <c r="D118" s="26">
        <f t="shared" si="1"/>
        <v>7.547169811320753E-2</v>
      </c>
    </row>
    <row r="119" spans="1:4" ht="25.95" customHeight="1" x14ac:dyDescent="0.3">
      <c r="A119" s="25">
        <v>45412</v>
      </c>
      <c r="B119" s="24" t="s">
        <v>7</v>
      </c>
      <c r="C119" s="24">
        <v>61</v>
      </c>
      <c r="D119" s="26">
        <f t="shared" si="1"/>
        <v>7.0175438596491224E-2</v>
      </c>
    </row>
    <row r="120" spans="1:4" ht="25.95" customHeight="1" x14ac:dyDescent="0.3">
      <c r="A120" s="25">
        <v>45443</v>
      </c>
      <c r="B120" s="24" t="s">
        <v>7</v>
      </c>
      <c r="C120" s="24">
        <v>61</v>
      </c>
      <c r="D120" s="26">
        <f t="shared" si="1"/>
        <v>0</v>
      </c>
    </row>
    <row r="121" spans="1:4" ht="25.95" customHeight="1" x14ac:dyDescent="0.3">
      <c r="A121" s="25">
        <v>45473</v>
      </c>
      <c r="B121" s="24" t="s">
        <v>7</v>
      </c>
      <c r="C121" s="24">
        <v>61</v>
      </c>
      <c r="D121" s="26">
        <f t="shared" si="1"/>
        <v>0</v>
      </c>
    </row>
    <row r="122" spans="1:4" ht="25.95" customHeight="1" x14ac:dyDescent="0.3">
      <c r="A122" s="25">
        <v>45504</v>
      </c>
      <c r="B122" s="24" t="s">
        <v>7</v>
      </c>
      <c r="C122" s="24">
        <v>59</v>
      </c>
      <c r="D122" s="26">
        <f t="shared" si="1"/>
        <v>-3.2786885245901676E-2</v>
      </c>
    </row>
    <row r="123" spans="1:4" ht="25.95" customHeight="1" x14ac:dyDescent="0.3">
      <c r="A123" s="25">
        <v>45535</v>
      </c>
      <c r="B123" s="24" t="s">
        <v>7</v>
      </c>
      <c r="C123" s="24">
        <v>61</v>
      </c>
      <c r="D123" s="26">
        <f t="shared" si="1"/>
        <v>3.3898305084745672E-2</v>
      </c>
    </row>
    <row r="124" spans="1:4" ht="25.95" customHeight="1" x14ac:dyDescent="0.3">
      <c r="A124" s="25">
        <v>45565</v>
      </c>
      <c r="B124" s="24" t="s">
        <v>7</v>
      </c>
      <c r="C124" s="24">
        <v>64</v>
      </c>
      <c r="D124" s="26">
        <f t="shared" si="1"/>
        <v>4.9180327868852514E-2</v>
      </c>
    </row>
    <row r="125" spans="1:4" ht="25.95" customHeight="1" x14ac:dyDescent="0.3">
      <c r="A125" s="25">
        <v>45596</v>
      </c>
      <c r="B125" s="24" t="s">
        <v>7</v>
      </c>
      <c r="C125" s="24">
        <v>67</v>
      </c>
      <c r="D125" s="26">
        <f t="shared" si="1"/>
        <v>4.6875E-2</v>
      </c>
    </row>
    <row r="126" spans="1:4" ht="25.95" customHeight="1" x14ac:dyDescent="0.3">
      <c r="A126" s="25">
        <v>45626</v>
      </c>
      <c r="B126" s="24" t="s">
        <v>7</v>
      </c>
      <c r="C126" s="24">
        <v>64</v>
      </c>
      <c r="D126" s="26">
        <f t="shared" si="1"/>
        <v>-4.4776119402985093E-2</v>
      </c>
    </row>
    <row r="127" spans="1:4" ht="25.95" customHeight="1" x14ac:dyDescent="0.3">
      <c r="A127" s="25">
        <v>45657</v>
      </c>
      <c r="B127" s="24" t="s">
        <v>7</v>
      </c>
      <c r="C127" s="24">
        <v>64</v>
      </c>
      <c r="D127" s="26">
        <f t="shared" si="1"/>
        <v>0</v>
      </c>
    </row>
    <row r="128" spans="1:4" ht="25.95" customHeight="1" x14ac:dyDescent="0.3">
      <c r="A128" s="25">
        <v>43861</v>
      </c>
      <c r="B128" s="24" t="s">
        <v>6</v>
      </c>
      <c r="C128" s="24">
        <v>581</v>
      </c>
      <c r="D128" s="26" t="str">
        <f t="shared" si="1"/>
        <v/>
      </c>
    </row>
    <row r="129" spans="1:4" ht="25.95" customHeight="1" x14ac:dyDescent="0.3">
      <c r="A129" s="25">
        <v>43890</v>
      </c>
      <c r="B129" s="24" t="s">
        <v>6</v>
      </c>
      <c r="C129" s="24">
        <v>558</v>
      </c>
      <c r="D129" s="26">
        <f t="shared" si="1"/>
        <v>-3.9586919104991347E-2</v>
      </c>
    </row>
    <row r="130" spans="1:4" ht="25.95" customHeight="1" x14ac:dyDescent="0.3">
      <c r="A130" s="25">
        <v>43921</v>
      </c>
      <c r="B130" s="24" t="s">
        <v>6</v>
      </c>
      <c r="C130" s="24">
        <v>408</v>
      </c>
      <c r="D130" s="26">
        <f t="shared" si="1"/>
        <v>-0.26881720430107525</v>
      </c>
    </row>
    <row r="131" spans="1:4" ht="25.95" customHeight="1" x14ac:dyDescent="0.3">
      <c r="A131" s="25">
        <v>43951</v>
      </c>
      <c r="B131" s="24" t="s">
        <v>6</v>
      </c>
      <c r="C131" s="24">
        <v>474</v>
      </c>
      <c r="D131" s="26">
        <f t="shared" si="1"/>
        <v>0.16176470588235303</v>
      </c>
    </row>
    <row r="132" spans="1:4" ht="25.95" customHeight="1" x14ac:dyDescent="0.3">
      <c r="A132" s="25">
        <v>43982</v>
      </c>
      <c r="B132" s="24" t="s">
        <v>6</v>
      </c>
      <c r="C132" s="24">
        <v>451</v>
      </c>
      <c r="D132" s="26">
        <f t="shared" si="1"/>
        <v>-4.8523206751054815E-2</v>
      </c>
    </row>
    <row r="133" spans="1:4" ht="25.95" customHeight="1" x14ac:dyDescent="0.3">
      <c r="A133" s="25">
        <v>44012</v>
      </c>
      <c r="B133" s="24" t="s">
        <v>6</v>
      </c>
      <c r="C133" s="24">
        <v>505</v>
      </c>
      <c r="D133" s="26">
        <f t="shared" si="1"/>
        <v>0.1197339246119733</v>
      </c>
    </row>
    <row r="134" spans="1:4" ht="25.95" customHeight="1" x14ac:dyDescent="0.3">
      <c r="A134" s="25">
        <v>44043</v>
      </c>
      <c r="B134" s="24" t="s">
        <v>6</v>
      </c>
      <c r="C134" s="24">
        <v>489</v>
      </c>
      <c r="D134" s="26">
        <f t="shared" si="1"/>
        <v>-3.1683168316831711E-2</v>
      </c>
    </row>
    <row r="135" spans="1:4" ht="25.95" customHeight="1" x14ac:dyDescent="0.3">
      <c r="A135" s="25">
        <v>44074</v>
      </c>
      <c r="B135" s="24" t="s">
        <v>6</v>
      </c>
      <c r="C135" s="24">
        <v>528</v>
      </c>
      <c r="D135" s="26">
        <f t="shared" si="1"/>
        <v>7.9754601226993849E-2</v>
      </c>
    </row>
    <row r="136" spans="1:4" ht="25.95" customHeight="1" x14ac:dyDescent="0.3">
      <c r="A136" s="25">
        <v>44104</v>
      </c>
      <c r="B136" s="24" t="s">
        <v>6</v>
      </c>
      <c r="C136" s="24">
        <v>511</v>
      </c>
      <c r="D136" s="26">
        <f t="shared" ref="D136:D199" si="2">IF(B136=B135,(C136/C135)-1,"")</f>
        <v>-3.2196969696969724E-2</v>
      </c>
    </row>
    <row r="137" spans="1:4" ht="25.95" customHeight="1" x14ac:dyDescent="0.3">
      <c r="A137" s="25">
        <v>44135</v>
      </c>
      <c r="B137" s="24" t="s">
        <v>6</v>
      </c>
      <c r="C137" s="24">
        <v>561</v>
      </c>
      <c r="D137" s="26">
        <f t="shared" si="2"/>
        <v>9.784735812133083E-2</v>
      </c>
    </row>
    <row r="138" spans="1:4" ht="25.95" customHeight="1" x14ac:dyDescent="0.3">
      <c r="A138" s="25">
        <v>44165</v>
      </c>
      <c r="B138" s="24" t="s">
        <v>6</v>
      </c>
      <c r="C138" s="24">
        <v>682</v>
      </c>
      <c r="D138" s="26">
        <f t="shared" si="2"/>
        <v>0.21568627450980382</v>
      </c>
    </row>
    <row r="139" spans="1:4" ht="25.95" customHeight="1" x14ac:dyDescent="0.3">
      <c r="A139" s="25">
        <v>44196</v>
      </c>
      <c r="B139" s="24" t="s">
        <v>6</v>
      </c>
      <c r="C139" s="24">
        <v>680</v>
      </c>
      <c r="D139" s="26">
        <f t="shared" si="2"/>
        <v>-2.9325513196480912E-3</v>
      </c>
    </row>
    <row r="140" spans="1:4" ht="25.95" customHeight="1" x14ac:dyDescent="0.3">
      <c r="A140" s="25">
        <v>44227</v>
      </c>
      <c r="B140" s="24" t="s">
        <v>6</v>
      </c>
      <c r="C140" s="24">
        <v>659</v>
      </c>
      <c r="D140" s="26">
        <f t="shared" si="2"/>
        <v>-3.0882352941176472E-2</v>
      </c>
    </row>
    <row r="141" spans="1:4" ht="25.95" customHeight="1" x14ac:dyDescent="0.3">
      <c r="A141" s="25">
        <v>44255</v>
      </c>
      <c r="B141" s="24" t="s">
        <v>6</v>
      </c>
      <c r="C141" s="24">
        <v>727</v>
      </c>
      <c r="D141" s="26">
        <f t="shared" si="2"/>
        <v>0.103186646433991</v>
      </c>
    </row>
    <row r="142" spans="1:4" ht="25.95" customHeight="1" x14ac:dyDescent="0.3">
      <c r="A142" s="25">
        <v>44286</v>
      </c>
      <c r="B142" s="24" t="s">
        <v>6</v>
      </c>
      <c r="C142" s="24">
        <v>707</v>
      </c>
      <c r="D142" s="26">
        <f t="shared" si="2"/>
        <v>-2.751031636863821E-2</v>
      </c>
    </row>
    <row r="143" spans="1:4" ht="25.95" customHeight="1" x14ac:dyDescent="0.3">
      <c r="A143" s="25">
        <v>44316</v>
      </c>
      <c r="B143" s="24" t="s">
        <v>6</v>
      </c>
      <c r="C143" s="24">
        <v>669</v>
      </c>
      <c r="D143" s="26">
        <f t="shared" si="2"/>
        <v>-5.3748231966053717E-2</v>
      </c>
    </row>
    <row r="144" spans="1:4" ht="25.95" customHeight="1" x14ac:dyDescent="0.3">
      <c r="A144" s="25">
        <v>44347</v>
      </c>
      <c r="B144" s="24" t="s">
        <v>6</v>
      </c>
      <c r="C144" s="24">
        <v>718</v>
      </c>
      <c r="D144" s="26">
        <f t="shared" si="2"/>
        <v>7.3243647234678688E-2</v>
      </c>
    </row>
    <row r="145" spans="1:4" ht="25.95" customHeight="1" x14ac:dyDescent="0.3">
      <c r="A145" s="25">
        <v>44377</v>
      </c>
      <c r="B145" s="24" t="s">
        <v>6</v>
      </c>
      <c r="C145" s="24">
        <v>709</v>
      </c>
      <c r="D145" s="26">
        <f t="shared" si="2"/>
        <v>-1.2534818941504211E-2</v>
      </c>
    </row>
    <row r="146" spans="1:4" ht="25.95" customHeight="1" x14ac:dyDescent="0.3">
      <c r="A146" s="25">
        <v>44408</v>
      </c>
      <c r="B146" s="24" t="s">
        <v>6</v>
      </c>
      <c r="C146" s="24">
        <v>678</v>
      </c>
      <c r="D146" s="26">
        <f t="shared" si="2"/>
        <v>-4.3723554301833611E-2</v>
      </c>
    </row>
    <row r="147" spans="1:4" ht="25.95" customHeight="1" x14ac:dyDescent="0.3">
      <c r="A147" s="25">
        <v>44439</v>
      </c>
      <c r="B147" s="24" t="s">
        <v>6</v>
      </c>
      <c r="C147" s="24">
        <v>752</v>
      </c>
      <c r="D147" s="26">
        <f t="shared" si="2"/>
        <v>0.10914454277286145</v>
      </c>
    </row>
    <row r="148" spans="1:4" ht="25.95" customHeight="1" x14ac:dyDescent="0.3">
      <c r="A148" s="25">
        <v>44469</v>
      </c>
      <c r="B148" s="24" t="s">
        <v>6</v>
      </c>
      <c r="C148" s="24">
        <v>759</v>
      </c>
      <c r="D148" s="26">
        <f t="shared" si="2"/>
        <v>9.3085106382979621E-3</v>
      </c>
    </row>
    <row r="149" spans="1:4" ht="25.95" customHeight="1" x14ac:dyDescent="0.3">
      <c r="A149" s="25">
        <v>44500</v>
      </c>
      <c r="B149" s="24" t="s">
        <v>6</v>
      </c>
      <c r="C149" s="24">
        <v>753</v>
      </c>
      <c r="D149" s="26">
        <f t="shared" si="2"/>
        <v>-7.905138339920903E-3</v>
      </c>
    </row>
    <row r="150" spans="1:4" ht="25.95" customHeight="1" x14ac:dyDescent="0.3">
      <c r="A150" s="25">
        <v>44530</v>
      </c>
      <c r="B150" s="24" t="s">
        <v>6</v>
      </c>
      <c r="C150" s="24">
        <v>710</v>
      </c>
      <c r="D150" s="26">
        <f t="shared" si="2"/>
        <v>-5.7104913678618807E-2</v>
      </c>
    </row>
    <row r="151" spans="1:4" ht="25.95" customHeight="1" x14ac:dyDescent="0.3">
      <c r="A151" s="25">
        <v>44561</v>
      </c>
      <c r="B151" s="24" t="s">
        <v>6</v>
      </c>
      <c r="C151" s="24">
        <v>704</v>
      </c>
      <c r="D151" s="26">
        <f t="shared" si="2"/>
        <v>-8.4507042253521014E-3</v>
      </c>
    </row>
    <row r="152" spans="1:4" ht="25.95" customHeight="1" x14ac:dyDescent="0.3">
      <c r="A152" s="25">
        <v>44592</v>
      </c>
      <c r="B152" s="24" t="s">
        <v>6</v>
      </c>
      <c r="C152" s="24">
        <v>707</v>
      </c>
      <c r="D152" s="26">
        <f t="shared" si="2"/>
        <v>4.2613636363635354E-3</v>
      </c>
    </row>
    <row r="153" spans="1:4" ht="25.95" customHeight="1" x14ac:dyDescent="0.3">
      <c r="A153" s="25">
        <v>44620</v>
      </c>
      <c r="B153" s="24" t="s">
        <v>6</v>
      </c>
      <c r="C153" s="24">
        <v>678</v>
      </c>
      <c r="D153" s="26">
        <f t="shared" si="2"/>
        <v>-4.1018387553040991E-2</v>
      </c>
    </row>
    <row r="154" spans="1:4" ht="25.95" customHeight="1" x14ac:dyDescent="0.3">
      <c r="A154" s="25">
        <v>44651</v>
      </c>
      <c r="B154" s="24" t="s">
        <v>6</v>
      </c>
      <c r="C154" s="24">
        <v>699</v>
      </c>
      <c r="D154" s="26">
        <f t="shared" si="2"/>
        <v>3.0973451327433565E-2</v>
      </c>
    </row>
    <row r="155" spans="1:4" ht="25.95" customHeight="1" x14ac:dyDescent="0.3">
      <c r="A155" s="25">
        <v>44681</v>
      </c>
      <c r="B155" s="24" t="s">
        <v>6</v>
      </c>
      <c r="C155" s="24">
        <v>659</v>
      </c>
      <c r="D155" s="26">
        <f t="shared" si="2"/>
        <v>-5.7224606580829729E-2</v>
      </c>
    </row>
    <row r="156" spans="1:4" ht="25.95" customHeight="1" x14ac:dyDescent="0.3">
      <c r="A156" s="25">
        <v>44712</v>
      </c>
      <c r="B156" s="24" t="s">
        <v>6</v>
      </c>
      <c r="C156" s="24">
        <v>661</v>
      </c>
      <c r="D156" s="26">
        <f t="shared" si="2"/>
        <v>3.0349013657056112E-3</v>
      </c>
    </row>
    <row r="157" spans="1:4" ht="25.95" customHeight="1" x14ac:dyDescent="0.3">
      <c r="A157" s="25">
        <v>44742</v>
      </c>
      <c r="B157" s="24" t="s">
        <v>6</v>
      </c>
      <c r="C157" s="24">
        <v>649</v>
      </c>
      <c r="D157" s="26">
        <f t="shared" si="2"/>
        <v>-1.8154311649016597E-2</v>
      </c>
    </row>
    <row r="158" spans="1:4" ht="25.95" customHeight="1" x14ac:dyDescent="0.3">
      <c r="A158" s="25">
        <v>44773</v>
      </c>
      <c r="B158" s="24" t="s">
        <v>6</v>
      </c>
      <c r="C158" s="24">
        <v>690</v>
      </c>
      <c r="D158" s="26">
        <f t="shared" si="2"/>
        <v>6.3174114021571581E-2</v>
      </c>
    </row>
    <row r="159" spans="1:4" ht="25.95" customHeight="1" x14ac:dyDescent="0.3">
      <c r="A159" s="25">
        <v>44804</v>
      </c>
      <c r="B159" s="24" t="s">
        <v>6</v>
      </c>
      <c r="C159" s="24">
        <v>715</v>
      </c>
      <c r="D159" s="26">
        <f t="shared" si="2"/>
        <v>3.6231884057970953E-2</v>
      </c>
    </row>
    <row r="160" spans="1:4" ht="25.95" customHeight="1" x14ac:dyDescent="0.3">
      <c r="A160" s="25">
        <v>44834</v>
      </c>
      <c r="B160" s="24" t="s">
        <v>6</v>
      </c>
      <c r="C160" s="24">
        <v>684</v>
      </c>
      <c r="D160" s="26">
        <f t="shared" si="2"/>
        <v>-4.3356643356643354E-2</v>
      </c>
    </row>
    <row r="161" spans="1:4" ht="25.95" customHeight="1" x14ac:dyDescent="0.3">
      <c r="A161" s="25">
        <v>44865</v>
      </c>
      <c r="B161" s="24" t="s">
        <v>6</v>
      </c>
      <c r="C161" s="24">
        <v>720</v>
      </c>
      <c r="D161" s="26">
        <f t="shared" si="2"/>
        <v>5.2631578947368363E-2</v>
      </c>
    </row>
    <row r="162" spans="1:4" ht="25.95" customHeight="1" x14ac:dyDescent="0.3">
      <c r="A162" s="25">
        <v>44895</v>
      </c>
      <c r="B162" s="24" t="s">
        <v>6</v>
      </c>
      <c r="C162" s="24">
        <v>774</v>
      </c>
      <c r="D162" s="26">
        <f t="shared" si="2"/>
        <v>7.4999999999999956E-2</v>
      </c>
    </row>
    <row r="163" spans="1:4" ht="25.95" customHeight="1" x14ac:dyDescent="0.3">
      <c r="A163" s="25">
        <v>44926</v>
      </c>
      <c r="B163" s="24" t="s">
        <v>6</v>
      </c>
      <c r="C163" s="24">
        <v>783</v>
      </c>
      <c r="D163" s="26">
        <f t="shared" si="2"/>
        <v>1.1627906976744207E-2</v>
      </c>
    </row>
    <row r="164" spans="1:4" ht="25.95" customHeight="1" x14ac:dyDescent="0.3">
      <c r="A164" s="25">
        <v>44957</v>
      </c>
      <c r="B164" s="24" t="s">
        <v>6</v>
      </c>
      <c r="C164" s="24">
        <v>772</v>
      </c>
      <c r="D164" s="26">
        <f t="shared" si="2"/>
        <v>-1.4048531289910571E-2</v>
      </c>
    </row>
    <row r="165" spans="1:4" ht="25.95" customHeight="1" x14ac:dyDescent="0.3">
      <c r="A165" s="25">
        <v>44985</v>
      </c>
      <c r="B165" s="24" t="s">
        <v>6</v>
      </c>
      <c r="C165" s="24">
        <v>770</v>
      </c>
      <c r="D165" s="26">
        <f t="shared" si="2"/>
        <v>-2.5906735751295429E-3</v>
      </c>
    </row>
    <row r="166" spans="1:4" ht="25.95" customHeight="1" x14ac:dyDescent="0.3">
      <c r="A166" s="25">
        <v>45016</v>
      </c>
      <c r="B166" s="24" t="s">
        <v>6</v>
      </c>
      <c r="C166" s="24">
        <v>774</v>
      </c>
      <c r="D166" s="26">
        <f t="shared" si="2"/>
        <v>5.1948051948051965E-3</v>
      </c>
    </row>
    <row r="167" spans="1:4" ht="25.95" customHeight="1" x14ac:dyDescent="0.3">
      <c r="A167" s="25">
        <v>45046</v>
      </c>
      <c r="B167" s="24" t="s">
        <v>6</v>
      </c>
      <c r="C167" s="24">
        <v>812</v>
      </c>
      <c r="D167" s="26">
        <f t="shared" si="2"/>
        <v>4.9095607235142058E-2</v>
      </c>
    </row>
    <row r="168" spans="1:4" ht="25.95" customHeight="1" x14ac:dyDescent="0.3">
      <c r="A168" s="25">
        <v>45077</v>
      </c>
      <c r="B168" s="24" t="s">
        <v>6</v>
      </c>
      <c r="C168" s="24">
        <v>775</v>
      </c>
      <c r="D168" s="26">
        <f t="shared" si="2"/>
        <v>-4.5566502463054159E-2</v>
      </c>
    </row>
    <row r="169" spans="1:4" ht="25.95" customHeight="1" x14ac:dyDescent="0.3">
      <c r="A169" s="25">
        <v>45107</v>
      </c>
      <c r="B169" s="24" t="s">
        <v>6</v>
      </c>
      <c r="C169" s="24">
        <v>828</v>
      </c>
      <c r="D169" s="26">
        <f t="shared" si="2"/>
        <v>6.8387096774193523E-2</v>
      </c>
    </row>
    <row r="170" spans="1:4" ht="25.95" customHeight="1" x14ac:dyDescent="0.3">
      <c r="A170" s="25">
        <v>45138</v>
      </c>
      <c r="B170" s="24" t="s">
        <v>6</v>
      </c>
      <c r="C170" s="24">
        <v>804</v>
      </c>
      <c r="D170" s="26">
        <f t="shared" si="2"/>
        <v>-2.8985507246376829E-2</v>
      </c>
    </row>
    <row r="171" spans="1:4" ht="25.95" customHeight="1" x14ac:dyDescent="0.3">
      <c r="A171" s="25">
        <v>45169</v>
      </c>
      <c r="B171" s="24" t="s">
        <v>6</v>
      </c>
      <c r="C171" s="24">
        <v>765</v>
      </c>
      <c r="D171" s="26">
        <f t="shared" si="2"/>
        <v>-4.8507462686567138E-2</v>
      </c>
    </row>
    <row r="172" spans="1:4" ht="25.95" customHeight="1" x14ac:dyDescent="0.3">
      <c r="A172" s="25">
        <v>45199</v>
      </c>
      <c r="B172" s="24" t="s">
        <v>6</v>
      </c>
      <c r="C172" s="24">
        <v>743</v>
      </c>
      <c r="D172" s="26">
        <f t="shared" si="2"/>
        <v>-2.8758169934640532E-2</v>
      </c>
    </row>
    <row r="173" spans="1:4" ht="25.95" customHeight="1" x14ac:dyDescent="0.3">
      <c r="A173" s="25">
        <v>45230</v>
      </c>
      <c r="B173" s="24" t="s">
        <v>6</v>
      </c>
      <c r="C173" s="24">
        <v>719</v>
      </c>
      <c r="D173" s="26">
        <f t="shared" si="2"/>
        <v>-3.2301480484522194E-2</v>
      </c>
    </row>
    <row r="174" spans="1:4" ht="25.95" customHeight="1" x14ac:dyDescent="0.3">
      <c r="A174" s="25">
        <v>45260</v>
      </c>
      <c r="B174" s="24" t="s">
        <v>6</v>
      </c>
      <c r="C174" s="24">
        <v>759</v>
      </c>
      <c r="D174" s="26">
        <f t="shared" si="2"/>
        <v>5.5632823365785899E-2</v>
      </c>
    </row>
    <row r="175" spans="1:4" ht="25.95" customHeight="1" x14ac:dyDescent="0.3">
      <c r="A175" s="25">
        <v>45291</v>
      </c>
      <c r="B175" s="24" t="s">
        <v>6</v>
      </c>
      <c r="C175" s="24">
        <v>832</v>
      </c>
      <c r="D175" s="26">
        <f t="shared" si="2"/>
        <v>9.6179183135704838E-2</v>
      </c>
    </row>
    <row r="176" spans="1:4" ht="25.95" customHeight="1" x14ac:dyDescent="0.3">
      <c r="A176" s="25">
        <v>45322</v>
      </c>
      <c r="B176" s="24" t="s">
        <v>6</v>
      </c>
      <c r="C176" s="24">
        <v>712</v>
      </c>
      <c r="D176" s="26">
        <f t="shared" si="2"/>
        <v>-0.14423076923076927</v>
      </c>
    </row>
    <row r="177" spans="1:4" ht="25.95" customHeight="1" x14ac:dyDescent="0.3">
      <c r="A177" s="25">
        <v>45351</v>
      </c>
      <c r="B177" s="24" t="s">
        <v>6</v>
      </c>
      <c r="C177" s="24">
        <v>683</v>
      </c>
      <c r="D177" s="26">
        <f t="shared" si="2"/>
        <v>-4.0730337078651702E-2</v>
      </c>
    </row>
    <row r="178" spans="1:4" ht="25.95" customHeight="1" x14ac:dyDescent="0.3">
      <c r="A178" s="25">
        <v>45382</v>
      </c>
      <c r="B178" s="24" t="s">
        <v>6</v>
      </c>
      <c r="C178" s="24">
        <v>705</v>
      </c>
      <c r="D178" s="26">
        <f t="shared" si="2"/>
        <v>3.2210834553440648E-2</v>
      </c>
    </row>
    <row r="179" spans="1:4" ht="25.95" customHeight="1" x14ac:dyDescent="0.3">
      <c r="A179" s="25">
        <v>45412</v>
      </c>
      <c r="B179" s="24" t="s">
        <v>6</v>
      </c>
      <c r="C179" s="24">
        <v>740</v>
      </c>
      <c r="D179" s="26">
        <f t="shared" si="2"/>
        <v>4.9645390070921946E-2</v>
      </c>
    </row>
    <row r="180" spans="1:4" ht="25.95" customHeight="1" x14ac:dyDescent="0.3">
      <c r="A180" s="25">
        <v>45443</v>
      </c>
      <c r="B180" s="24" t="s">
        <v>6</v>
      </c>
      <c r="C180" s="24">
        <v>745</v>
      </c>
      <c r="D180" s="26">
        <f t="shared" si="2"/>
        <v>6.7567567567567988E-3</v>
      </c>
    </row>
    <row r="181" spans="1:4" ht="25.95" customHeight="1" x14ac:dyDescent="0.3">
      <c r="A181" s="25">
        <v>45473</v>
      </c>
      <c r="B181" s="24" t="s">
        <v>6</v>
      </c>
      <c r="C181" s="24">
        <v>831</v>
      </c>
      <c r="D181" s="26">
        <f t="shared" si="2"/>
        <v>0.11543624161073818</v>
      </c>
    </row>
    <row r="182" spans="1:4" ht="25.95" customHeight="1" x14ac:dyDescent="0.3">
      <c r="A182" s="25">
        <v>45504</v>
      </c>
      <c r="B182" s="24" t="s">
        <v>6</v>
      </c>
      <c r="C182" s="24">
        <v>797</v>
      </c>
      <c r="D182" s="26">
        <f t="shared" si="2"/>
        <v>-4.0914560770156427E-2</v>
      </c>
    </row>
    <row r="183" spans="1:4" ht="25.95" customHeight="1" x14ac:dyDescent="0.3">
      <c r="A183" s="25">
        <v>45535</v>
      </c>
      <c r="B183" s="24" t="s">
        <v>6</v>
      </c>
      <c r="C183" s="24">
        <v>808</v>
      </c>
      <c r="D183" s="26">
        <f t="shared" si="2"/>
        <v>1.3801756587201952E-2</v>
      </c>
    </row>
    <row r="184" spans="1:4" ht="25.95" customHeight="1" x14ac:dyDescent="0.3">
      <c r="A184" s="25">
        <v>45565</v>
      </c>
      <c r="B184" s="24" t="s">
        <v>6</v>
      </c>
      <c r="C184" s="24">
        <v>854</v>
      </c>
      <c r="D184" s="26">
        <f t="shared" si="2"/>
        <v>5.6930693069306981E-2</v>
      </c>
    </row>
    <row r="185" spans="1:4" ht="25.95" customHeight="1" x14ac:dyDescent="0.3">
      <c r="A185" s="25">
        <v>45596</v>
      </c>
      <c r="B185" s="24" t="s">
        <v>6</v>
      </c>
      <c r="C185" s="24">
        <v>856</v>
      </c>
      <c r="D185" s="26">
        <f t="shared" si="2"/>
        <v>2.3419203747072626E-3</v>
      </c>
    </row>
    <row r="186" spans="1:4" ht="25.95" customHeight="1" x14ac:dyDescent="0.3">
      <c r="A186" s="25">
        <v>45626</v>
      </c>
      <c r="B186" s="24" t="s">
        <v>6</v>
      </c>
      <c r="C186" s="24">
        <v>886</v>
      </c>
      <c r="D186" s="26">
        <f t="shared" si="2"/>
        <v>3.5046728971962704E-2</v>
      </c>
    </row>
    <row r="187" spans="1:4" ht="25.95" customHeight="1" x14ac:dyDescent="0.3">
      <c r="A187" s="25">
        <v>45657</v>
      </c>
      <c r="B187" s="24" t="s">
        <v>6</v>
      </c>
      <c r="C187" s="24">
        <v>875</v>
      </c>
      <c r="D187" s="26">
        <f t="shared" si="2"/>
        <v>-1.241534988713322E-2</v>
      </c>
    </row>
    <row r="188" spans="1:4" ht="25.95" customHeight="1" x14ac:dyDescent="0.3">
      <c r="A188" s="25">
        <v>43861</v>
      </c>
      <c r="B188" s="24" t="s">
        <v>5</v>
      </c>
      <c r="C188" s="24">
        <v>183</v>
      </c>
      <c r="D188" s="26" t="str">
        <f t="shared" si="2"/>
        <v/>
      </c>
    </row>
    <row r="189" spans="1:4" ht="25.95" customHeight="1" x14ac:dyDescent="0.3">
      <c r="A189" s="25">
        <v>43890</v>
      </c>
      <c r="B189" s="24" t="s">
        <v>5</v>
      </c>
      <c r="C189" s="24">
        <v>154</v>
      </c>
      <c r="D189" s="26">
        <f t="shared" si="2"/>
        <v>-0.15846994535519121</v>
      </c>
    </row>
    <row r="190" spans="1:4" ht="25.95" customHeight="1" x14ac:dyDescent="0.3">
      <c r="A190" s="25">
        <v>43921</v>
      </c>
      <c r="B190" s="24" t="s">
        <v>5</v>
      </c>
      <c r="C190" s="24">
        <v>134</v>
      </c>
      <c r="D190" s="26">
        <f t="shared" si="2"/>
        <v>-0.12987012987012991</v>
      </c>
    </row>
    <row r="191" spans="1:4" ht="25.95" customHeight="1" x14ac:dyDescent="0.3">
      <c r="A191" s="25">
        <v>43951</v>
      </c>
      <c r="B191" s="24" t="s">
        <v>5</v>
      </c>
      <c r="C191" s="24">
        <v>142</v>
      </c>
      <c r="D191" s="26">
        <f t="shared" si="2"/>
        <v>5.9701492537313383E-2</v>
      </c>
    </row>
    <row r="192" spans="1:4" ht="25.95" customHeight="1" x14ac:dyDescent="0.3">
      <c r="A192" s="25">
        <v>43982</v>
      </c>
      <c r="B192" s="24" t="s">
        <v>5</v>
      </c>
      <c r="C192" s="24">
        <v>154</v>
      </c>
      <c r="D192" s="26">
        <f t="shared" si="2"/>
        <v>8.4507042253521236E-2</v>
      </c>
    </row>
    <row r="193" spans="1:4" ht="25.95" customHeight="1" x14ac:dyDescent="0.3">
      <c r="A193" s="25">
        <v>44012</v>
      </c>
      <c r="B193" s="24" t="s">
        <v>5</v>
      </c>
      <c r="C193" s="24">
        <v>152</v>
      </c>
      <c r="D193" s="26">
        <f t="shared" si="2"/>
        <v>-1.2987012987012991E-2</v>
      </c>
    </row>
    <row r="194" spans="1:4" ht="25.95" customHeight="1" x14ac:dyDescent="0.3">
      <c r="A194" s="25">
        <v>44043</v>
      </c>
      <c r="B194" s="24" t="s">
        <v>5</v>
      </c>
      <c r="C194" s="24">
        <v>151</v>
      </c>
      <c r="D194" s="26">
        <f t="shared" si="2"/>
        <v>-6.5789473684210176E-3</v>
      </c>
    </row>
    <row r="195" spans="1:4" ht="25.95" customHeight="1" x14ac:dyDescent="0.3">
      <c r="A195" s="25">
        <v>44074</v>
      </c>
      <c r="B195" s="24" t="s">
        <v>5</v>
      </c>
      <c r="C195" s="24">
        <v>156</v>
      </c>
      <c r="D195" s="26">
        <f t="shared" si="2"/>
        <v>3.3112582781456901E-2</v>
      </c>
    </row>
    <row r="196" spans="1:4" ht="25.95" customHeight="1" x14ac:dyDescent="0.3">
      <c r="A196" s="25">
        <v>44104</v>
      </c>
      <c r="B196" s="24" t="s">
        <v>5</v>
      </c>
      <c r="C196" s="24">
        <v>141</v>
      </c>
      <c r="D196" s="26">
        <f t="shared" si="2"/>
        <v>-9.6153846153846145E-2</v>
      </c>
    </row>
    <row r="197" spans="1:4" ht="25.95" customHeight="1" x14ac:dyDescent="0.3">
      <c r="A197" s="25">
        <v>44135</v>
      </c>
      <c r="B197" s="24" t="s">
        <v>5</v>
      </c>
      <c r="C197" s="24">
        <v>135</v>
      </c>
      <c r="D197" s="26">
        <f t="shared" si="2"/>
        <v>-4.2553191489361653E-2</v>
      </c>
    </row>
    <row r="198" spans="1:4" ht="25.95" customHeight="1" x14ac:dyDescent="0.3">
      <c r="A198" s="25">
        <v>44165</v>
      </c>
      <c r="B198" s="24" t="s">
        <v>5</v>
      </c>
      <c r="C198" s="24">
        <v>159</v>
      </c>
      <c r="D198" s="26">
        <f t="shared" si="2"/>
        <v>0.17777777777777781</v>
      </c>
    </row>
    <row r="199" spans="1:4" ht="25.95" customHeight="1" x14ac:dyDescent="0.3">
      <c r="A199" s="25">
        <v>44196</v>
      </c>
      <c r="B199" s="24" t="s">
        <v>5</v>
      </c>
      <c r="C199" s="24">
        <v>171</v>
      </c>
      <c r="D199" s="26">
        <f t="shared" si="2"/>
        <v>7.547169811320753E-2</v>
      </c>
    </row>
    <row r="200" spans="1:4" ht="25.95" customHeight="1" x14ac:dyDescent="0.3">
      <c r="A200" s="25">
        <v>44227</v>
      </c>
      <c r="B200" s="24" t="s">
        <v>5</v>
      </c>
      <c r="C200" s="24">
        <v>166</v>
      </c>
      <c r="D200" s="26">
        <f t="shared" ref="D200:D263" si="3">IF(B200=B199,(C200/C199)-1,"")</f>
        <v>-2.9239766081871399E-2</v>
      </c>
    </row>
    <row r="201" spans="1:4" ht="25.95" customHeight="1" x14ac:dyDescent="0.3">
      <c r="A201" s="25">
        <v>44255</v>
      </c>
      <c r="B201" s="24" t="s">
        <v>5</v>
      </c>
      <c r="C201" s="24">
        <v>167</v>
      </c>
      <c r="D201" s="26">
        <f t="shared" si="3"/>
        <v>6.0240963855422436E-3</v>
      </c>
    </row>
    <row r="202" spans="1:4" ht="25.95" customHeight="1" x14ac:dyDescent="0.3">
      <c r="A202" s="25">
        <v>44286</v>
      </c>
      <c r="B202" s="24" t="s">
        <v>5</v>
      </c>
      <c r="C202" s="24">
        <v>183</v>
      </c>
      <c r="D202" s="26">
        <f t="shared" si="3"/>
        <v>9.5808383233533023E-2</v>
      </c>
    </row>
    <row r="203" spans="1:4" ht="25.95" customHeight="1" x14ac:dyDescent="0.3">
      <c r="A203" s="25">
        <v>44316</v>
      </c>
      <c r="B203" s="24" t="s">
        <v>5</v>
      </c>
      <c r="C203" s="24">
        <v>170</v>
      </c>
      <c r="D203" s="26">
        <f t="shared" si="3"/>
        <v>-7.1038251366120186E-2</v>
      </c>
    </row>
    <row r="204" spans="1:4" ht="25.95" customHeight="1" x14ac:dyDescent="0.3">
      <c r="A204" s="25">
        <v>44347</v>
      </c>
      <c r="B204" s="24" t="s">
        <v>5</v>
      </c>
      <c r="C204" s="24">
        <v>182</v>
      </c>
      <c r="D204" s="26">
        <f t="shared" si="3"/>
        <v>7.0588235294117618E-2</v>
      </c>
    </row>
    <row r="205" spans="1:4" ht="25.95" customHeight="1" x14ac:dyDescent="0.3">
      <c r="A205" s="25">
        <v>44377</v>
      </c>
      <c r="B205" s="24" t="s">
        <v>5</v>
      </c>
      <c r="C205" s="24">
        <v>170</v>
      </c>
      <c r="D205" s="26">
        <f t="shared" si="3"/>
        <v>-6.5934065934065922E-2</v>
      </c>
    </row>
    <row r="206" spans="1:4" ht="25.95" customHeight="1" x14ac:dyDescent="0.3">
      <c r="A206" s="25">
        <v>44408</v>
      </c>
      <c r="B206" s="24" t="s">
        <v>5</v>
      </c>
      <c r="C206" s="24">
        <v>177</v>
      </c>
      <c r="D206" s="26">
        <f t="shared" si="3"/>
        <v>4.117647058823537E-2</v>
      </c>
    </row>
    <row r="207" spans="1:4" ht="25.95" customHeight="1" x14ac:dyDescent="0.3">
      <c r="A207" s="25">
        <v>44439</v>
      </c>
      <c r="B207" s="24" t="s">
        <v>5</v>
      </c>
      <c r="C207" s="24">
        <v>182</v>
      </c>
      <c r="D207" s="26">
        <f t="shared" si="3"/>
        <v>2.8248587570621542E-2</v>
      </c>
    </row>
    <row r="208" spans="1:4" ht="25.95" customHeight="1" x14ac:dyDescent="0.3">
      <c r="A208" s="25">
        <v>44469</v>
      </c>
      <c r="B208" s="24" t="s">
        <v>5</v>
      </c>
      <c r="C208" s="24">
        <v>203</v>
      </c>
      <c r="D208" s="26">
        <f t="shared" si="3"/>
        <v>0.11538461538461542</v>
      </c>
    </row>
    <row r="209" spans="1:4" ht="25.95" customHeight="1" x14ac:dyDescent="0.3">
      <c r="A209" s="25">
        <v>44500</v>
      </c>
      <c r="B209" s="24" t="s">
        <v>5</v>
      </c>
      <c r="C209" s="24">
        <v>192</v>
      </c>
      <c r="D209" s="26">
        <f t="shared" si="3"/>
        <v>-5.4187192118226646E-2</v>
      </c>
    </row>
    <row r="210" spans="1:4" ht="25.95" customHeight="1" x14ac:dyDescent="0.3">
      <c r="A210" s="25">
        <v>44530</v>
      </c>
      <c r="B210" s="24" t="s">
        <v>5</v>
      </c>
      <c r="C210" s="24">
        <v>191</v>
      </c>
      <c r="D210" s="26">
        <f t="shared" si="3"/>
        <v>-5.2083333333333703E-3</v>
      </c>
    </row>
    <row r="211" spans="1:4" ht="25.95" customHeight="1" x14ac:dyDescent="0.3">
      <c r="A211" s="25">
        <v>44561</v>
      </c>
      <c r="B211" s="24" t="s">
        <v>5</v>
      </c>
      <c r="C211" s="24">
        <v>188</v>
      </c>
      <c r="D211" s="26">
        <f t="shared" si="3"/>
        <v>-1.5706806282722474E-2</v>
      </c>
    </row>
    <row r="212" spans="1:4" ht="25.95" customHeight="1" x14ac:dyDescent="0.3">
      <c r="A212" s="25">
        <v>44592</v>
      </c>
      <c r="B212" s="24" t="s">
        <v>5</v>
      </c>
      <c r="C212" s="24">
        <v>190</v>
      </c>
      <c r="D212" s="26">
        <f t="shared" si="3"/>
        <v>1.0638297872340496E-2</v>
      </c>
    </row>
    <row r="213" spans="1:4" ht="25.95" customHeight="1" x14ac:dyDescent="0.3">
      <c r="A213" s="25">
        <v>44620</v>
      </c>
      <c r="B213" s="24" t="s">
        <v>5</v>
      </c>
      <c r="C213" s="24">
        <v>186</v>
      </c>
      <c r="D213" s="26">
        <f t="shared" si="3"/>
        <v>-2.1052631578947323E-2</v>
      </c>
    </row>
    <row r="214" spans="1:4" ht="25.95" customHeight="1" x14ac:dyDescent="0.3">
      <c r="A214" s="25">
        <v>44651</v>
      </c>
      <c r="B214" s="24" t="s">
        <v>5</v>
      </c>
      <c r="C214" s="24">
        <v>221</v>
      </c>
      <c r="D214" s="26">
        <f t="shared" si="3"/>
        <v>0.18817204301075274</v>
      </c>
    </row>
    <row r="215" spans="1:4" ht="25.95" customHeight="1" x14ac:dyDescent="0.3">
      <c r="A215" s="25">
        <v>44681</v>
      </c>
      <c r="B215" s="24" t="s">
        <v>5</v>
      </c>
      <c r="C215" s="24">
        <v>229</v>
      </c>
      <c r="D215" s="26">
        <f t="shared" si="3"/>
        <v>3.6199095022624528E-2</v>
      </c>
    </row>
    <row r="216" spans="1:4" ht="25.95" customHeight="1" x14ac:dyDescent="0.3">
      <c r="A216" s="25">
        <v>44712</v>
      </c>
      <c r="B216" s="24" t="s">
        <v>5</v>
      </c>
      <c r="C216" s="24">
        <v>239</v>
      </c>
      <c r="D216" s="26">
        <f t="shared" si="3"/>
        <v>4.366812227074246E-2</v>
      </c>
    </row>
    <row r="217" spans="1:4" ht="25.95" customHeight="1" x14ac:dyDescent="0.3">
      <c r="A217" s="25">
        <v>44742</v>
      </c>
      <c r="B217" s="24" t="s">
        <v>5</v>
      </c>
      <c r="C217" s="24">
        <v>247</v>
      </c>
      <c r="D217" s="26">
        <f t="shared" si="3"/>
        <v>3.3472803347280422E-2</v>
      </c>
    </row>
    <row r="218" spans="1:4" ht="25.95" customHeight="1" x14ac:dyDescent="0.3">
      <c r="A218" s="25">
        <v>44773</v>
      </c>
      <c r="B218" s="24" t="s">
        <v>5</v>
      </c>
      <c r="C218" s="24">
        <v>273</v>
      </c>
      <c r="D218" s="26">
        <f t="shared" si="3"/>
        <v>0.10526315789473695</v>
      </c>
    </row>
    <row r="219" spans="1:4" ht="25.95" customHeight="1" x14ac:dyDescent="0.3">
      <c r="A219" s="25">
        <v>44804</v>
      </c>
      <c r="B219" s="24" t="s">
        <v>5</v>
      </c>
      <c r="C219" s="24">
        <v>289</v>
      </c>
      <c r="D219" s="26">
        <f t="shared" si="3"/>
        <v>5.8608058608058622E-2</v>
      </c>
    </row>
    <row r="220" spans="1:4" ht="25.95" customHeight="1" x14ac:dyDescent="0.3">
      <c r="A220" s="25">
        <v>44834</v>
      </c>
      <c r="B220" s="24" t="s">
        <v>5</v>
      </c>
      <c r="C220" s="24">
        <v>300</v>
      </c>
      <c r="D220" s="26">
        <f t="shared" si="3"/>
        <v>3.8062283737024138E-2</v>
      </c>
    </row>
    <row r="221" spans="1:4" ht="25.95" customHeight="1" x14ac:dyDescent="0.3">
      <c r="A221" s="25">
        <v>44865</v>
      </c>
      <c r="B221" s="24" t="s">
        <v>5</v>
      </c>
      <c r="C221" s="24">
        <v>315</v>
      </c>
      <c r="D221" s="26">
        <f t="shared" si="3"/>
        <v>5.0000000000000044E-2</v>
      </c>
    </row>
    <row r="222" spans="1:4" ht="25.95" customHeight="1" x14ac:dyDescent="0.3">
      <c r="A222" s="25">
        <v>44895</v>
      </c>
      <c r="B222" s="24" t="s">
        <v>5</v>
      </c>
      <c r="C222" s="24">
        <v>307</v>
      </c>
      <c r="D222" s="26">
        <f t="shared" si="3"/>
        <v>-2.5396825396825418E-2</v>
      </c>
    </row>
    <row r="223" spans="1:4" ht="25.95" customHeight="1" x14ac:dyDescent="0.3">
      <c r="A223" s="25">
        <v>44926</v>
      </c>
      <c r="B223" s="24" t="s">
        <v>5</v>
      </c>
      <c r="C223" s="24">
        <v>299</v>
      </c>
      <c r="D223" s="26">
        <f t="shared" si="3"/>
        <v>-2.6058631921824116E-2</v>
      </c>
    </row>
    <row r="224" spans="1:4" ht="25.95" customHeight="1" x14ac:dyDescent="0.3">
      <c r="A224" s="25">
        <v>44957</v>
      </c>
      <c r="B224" s="24" t="s">
        <v>5</v>
      </c>
      <c r="C224" s="24">
        <v>318</v>
      </c>
      <c r="D224" s="26">
        <f t="shared" si="3"/>
        <v>6.3545150501672198E-2</v>
      </c>
    </row>
    <row r="225" spans="1:4" ht="25.95" customHeight="1" x14ac:dyDescent="0.3">
      <c r="A225" s="25">
        <v>44985</v>
      </c>
      <c r="B225" s="24" t="s">
        <v>5</v>
      </c>
      <c r="C225" s="24">
        <v>340</v>
      </c>
      <c r="D225" s="26">
        <f t="shared" si="3"/>
        <v>6.9182389937106903E-2</v>
      </c>
    </row>
    <row r="226" spans="1:4" ht="25.95" customHeight="1" x14ac:dyDescent="0.3">
      <c r="A226" s="25">
        <v>45016</v>
      </c>
      <c r="B226" s="24" t="s">
        <v>5</v>
      </c>
      <c r="C226" s="24">
        <v>351</v>
      </c>
      <c r="D226" s="26">
        <f t="shared" si="3"/>
        <v>3.2352941176470695E-2</v>
      </c>
    </row>
    <row r="227" spans="1:4" ht="25.95" customHeight="1" x14ac:dyDescent="0.3">
      <c r="A227" s="25">
        <v>45046</v>
      </c>
      <c r="B227" s="24" t="s">
        <v>5</v>
      </c>
      <c r="C227" s="24">
        <v>390</v>
      </c>
      <c r="D227" s="26">
        <f t="shared" si="3"/>
        <v>0.11111111111111116</v>
      </c>
    </row>
    <row r="228" spans="1:4" ht="25.95" customHeight="1" x14ac:dyDescent="0.3">
      <c r="A228" s="25">
        <v>45077</v>
      </c>
      <c r="B228" s="24" t="s">
        <v>5</v>
      </c>
      <c r="C228" s="24">
        <v>408</v>
      </c>
      <c r="D228" s="26">
        <f t="shared" si="3"/>
        <v>4.6153846153846212E-2</v>
      </c>
    </row>
    <row r="229" spans="1:4" ht="25.95" customHeight="1" x14ac:dyDescent="0.3">
      <c r="A229" s="25">
        <v>45107</v>
      </c>
      <c r="B229" s="24" t="s">
        <v>5</v>
      </c>
      <c r="C229" s="24">
        <v>423</v>
      </c>
      <c r="D229" s="26">
        <f t="shared" si="3"/>
        <v>3.6764705882353033E-2</v>
      </c>
    </row>
    <row r="230" spans="1:4" ht="25.95" customHeight="1" x14ac:dyDescent="0.3">
      <c r="A230" s="25">
        <v>45138</v>
      </c>
      <c r="B230" s="24" t="s">
        <v>5</v>
      </c>
      <c r="C230" s="24">
        <v>436</v>
      </c>
      <c r="D230" s="26">
        <f t="shared" si="3"/>
        <v>3.0732860520094496E-2</v>
      </c>
    </row>
    <row r="231" spans="1:4" ht="25.95" customHeight="1" x14ac:dyDescent="0.3">
      <c r="A231" s="25">
        <v>45169</v>
      </c>
      <c r="B231" s="24" t="s">
        <v>5</v>
      </c>
      <c r="C231" s="24">
        <v>412</v>
      </c>
      <c r="D231" s="26">
        <f t="shared" si="3"/>
        <v>-5.5045871559633031E-2</v>
      </c>
    </row>
    <row r="232" spans="1:4" ht="25.95" customHeight="1" x14ac:dyDescent="0.3">
      <c r="A232" s="25">
        <v>45199</v>
      </c>
      <c r="B232" s="24" t="s">
        <v>5</v>
      </c>
      <c r="C232" s="24">
        <v>416</v>
      </c>
      <c r="D232" s="26">
        <f t="shared" si="3"/>
        <v>9.7087378640776656E-3</v>
      </c>
    </row>
    <row r="233" spans="1:4" ht="25.95" customHeight="1" x14ac:dyDescent="0.3">
      <c r="A233" s="25">
        <v>45230</v>
      </c>
      <c r="B233" s="24" t="s">
        <v>5</v>
      </c>
      <c r="C233" s="24">
        <v>401</v>
      </c>
      <c r="D233" s="26">
        <f t="shared" si="3"/>
        <v>-3.6057692307692291E-2</v>
      </c>
    </row>
    <row r="234" spans="1:4" ht="25.95" customHeight="1" x14ac:dyDescent="0.3">
      <c r="A234" s="25">
        <v>45260</v>
      </c>
      <c r="B234" s="24" t="s">
        <v>5</v>
      </c>
      <c r="C234" s="24">
        <v>408</v>
      </c>
      <c r="D234" s="26">
        <f t="shared" si="3"/>
        <v>1.7456359102244301E-2</v>
      </c>
    </row>
    <row r="235" spans="1:4" ht="25.95" customHeight="1" x14ac:dyDescent="0.3">
      <c r="A235" s="25">
        <v>45291</v>
      </c>
      <c r="B235" s="24" t="s">
        <v>5</v>
      </c>
      <c r="C235" s="24">
        <v>433</v>
      </c>
      <c r="D235" s="26">
        <f t="shared" si="3"/>
        <v>6.1274509803921573E-2</v>
      </c>
    </row>
    <row r="236" spans="1:4" ht="25.95" customHeight="1" x14ac:dyDescent="0.3">
      <c r="A236" s="25">
        <v>45322</v>
      </c>
      <c r="B236" s="24" t="s">
        <v>5</v>
      </c>
      <c r="C236" s="24">
        <v>413</v>
      </c>
      <c r="D236" s="26">
        <f t="shared" si="3"/>
        <v>-4.6189376443418029E-2</v>
      </c>
    </row>
    <row r="237" spans="1:4" ht="25.95" customHeight="1" x14ac:dyDescent="0.3">
      <c r="A237" s="25">
        <v>45351</v>
      </c>
      <c r="B237" s="24" t="s">
        <v>5</v>
      </c>
      <c r="C237" s="24">
        <v>380</v>
      </c>
      <c r="D237" s="26">
        <f t="shared" si="3"/>
        <v>-7.9903147699757815E-2</v>
      </c>
    </row>
    <row r="238" spans="1:4" ht="25.95" customHeight="1" x14ac:dyDescent="0.3">
      <c r="A238" s="25">
        <v>45382</v>
      </c>
      <c r="B238" s="24" t="s">
        <v>5</v>
      </c>
      <c r="C238" s="24">
        <v>407</v>
      </c>
      <c r="D238" s="26">
        <f t="shared" si="3"/>
        <v>7.1052631578947478E-2</v>
      </c>
    </row>
    <row r="239" spans="1:4" ht="25.95" customHeight="1" x14ac:dyDescent="0.3">
      <c r="A239" s="25">
        <v>45412</v>
      </c>
      <c r="B239" s="24" t="s">
        <v>5</v>
      </c>
      <c r="C239" s="24">
        <v>414</v>
      </c>
      <c r="D239" s="26">
        <f t="shared" si="3"/>
        <v>1.7199017199017286E-2</v>
      </c>
    </row>
    <row r="240" spans="1:4" ht="25.95" customHeight="1" x14ac:dyDescent="0.3">
      <c r="A240" s="25">
        <v>45443</v>
      </c>
      <c r="B240" s="24" t="s">
        <v>5</v>
      </c>
      <c r="C240" s="24">
        <v>405</v>
      </c>
      <c r="D240" s="26">
        <f t="shared" si="3"/>
        <v>-2.1739130434782594E-2</v>
      </c>
    </row>
    <row r="241" spans="1:4" ht="25.95" customHeight="1" x14ac:dyDescent="0.3">
      <c r="A241" s="25">
        <v>45473</v>
      </c>
      <c r="B241" s="24" t="s">
        <v>5</v>
      </c>
      <c r="C241" s="24">
        <v>404</v>
      </c>
      <c r="D241" s="26">
        <f t="shared" si="3"/>
        <v>-2.4691358024691024E-3</v>
      </c>
    </row>
    <row r="242" spans="1:4" ht="25.95" customHeight="1" x14ac:dyDescent="0.3">
      <c r="A242" s="25">
        <v>45504</v>
      </c>
      <c r="B242" s="24" t="s">
        <v>5</v>
      </c>
      <c r="C242" s="24">
        <v>479</v>
      </c>
      <c r="D242" s="26">
        <f t="shared" si="3"/>
        <v>0.18564356435643559</v>
      </c>
    </row>
    <row r="243" spans="1:4" ht="25.95" customHeight="1" x14ac:dyDescent="0.3">
      <c r="A243" s="25">
        <v>45535</v>
      </c>
      <c r="B243" s="24" t="s">
        <v>5</v>
      </c>
      <c r="C243" s="24">
        <v>485</v>
      </c>
      <c r="D243" s="26">
        <f t="shared" si="3"/>
        <v>1.2526096033402823E-2</v>
      </c>
    </row>
    <row r="244" spans="1:4" ht="25.95" customHeight="1" x14ac:dyDescent="0.3">
      <c r="A244" s="25">
        <v>45565</v>
      </c>
      <c r="B244" s="24" t="s">
        <v>5</v>
      </c>
      <c r="C244" s="24">
        <v>501</v>
      </c>
      <c r="D244" s="26">
        <f t="shared" si="3"/>
        <v>3.2989690721649589E-2</v>
      </c>
    </row>
    <row r="245" spans="1:4" ht="25.95" customHeight="1" x14ac:dyDescent="0.3">
      <c r="A245" s="25">
        <v>45596</v>
      </c>
      <c r="B245" s="24" t="s">
        <v>5</v>
      </c>
      <c r="C245" s="24">
        <v>472</v>
      </c>
      <c r="D245" s="26">
        <f t="shared" si="3"/>
        <v>-5.7884231536926123E-2</v>
      </c>
    </row>
    <row r="246" spans="1:4" ht="25.95" customHeight="1" x14ac:dyDescent="0.3">
      <c r="A246" s="25">
        <v>45626</v>
      </c>
      <c r="B246" s="24" t="s">
        <v>5</v>
      </c>
      <c r="C246" s="24">
        <v>461</v>
      </c>
      <c r="D246" s="26">
        <f t="shared" si="3"/>
        <v>-2.3305084745762761E-2</v>
      </c>
    </row>
    <row r="247" spans="1:4" ht="25.95" customHeight="1" x14ac:dyDescent="0.3">
      <c r="A247" s="25">
        <v>45657</v>
      </c>
      <c r="B247" s="24" t="s">
        <v>5</v>
      </c>
      <c r="C247" s="24">
        <v>468</v>
      </c>
      <c r="D247" s="26">
        <f t="shared" si="3"/>
        <v>1.5184381778741818E-2</v>
      </c>
    </row>
    <row r="248" spans="1:4" ht="25.95" customHeight="1" x14ac:dyDescent="0.3">
      <c r="A248" s="25">
        <v>43861</v>
      </c>
      <c r="B248" s="24" t="s">
        <v>4</v>
      </c>
      <c r="C248" s="24">
        <v>11962</v>
      </c>
      <c r="D248" s="26" t="str">
        <f t="shared" si="3"/>
        <v/>
      </c>
    </row>
    <row r="249" spans="1:4" ht="25.95" customHeight="1" x14ac:dyDescent="0.3">
      <c r="A249" s="25">
        <v>43890</v>
      </c>
      <c r="B249" s="24" t="s">
        <v>4</v>
      </c>
      <c r="C249" s="24">
        <v>11202</v>
      </c>
      <c r="D249" s="26">
        <f t="shared" si="3"/>
        <v>-6.3534525998996783E-2</v>
      </c>
    </row>
    <row r="250" spans="1:4" ht="25.95" customHeight="1" x14ac:dyDescent="0.3">
      <c r="A250" s="25">
        <v>43921</v>
      </c>
      <c r="B250" s="24" t="s">
        <v>4</v>
      </c>
      <c r="C250" s="24">
        <v>8598</v>
      </c>
      <c r="D250" s="26">
        <f t="shared" si="3"/>
        <v>-0.23245848955543658</v>
      </c>
    </row>
    <row r="251" spans="1:4" ht="25.95" customHeight="1" x14ac:dyDescent="0.3">
      <c r="A251" s="25">
        <v>43951</v>
      </c>
      <c r="B251" s="24" t="s">
        <v>4</v>
      </c>
      <c r="C251" s="24">
        <v>9860</v>
      </c>
      <c r="D251" s="26">
        <f t="shared" si="3"/>
        <v>0.14677832053966045</v>
      </c>
    </row>
    <row r="252" spans="1:4" ht="25.95" customHeight="1" x14ac:dyDescent="0.3">
      <c r="A252" s="25">
        <v>43982</v>
      </c>
      <c r="B252" s="24" t="s">
        <v>4</v>
      </c>
      <c r="C252" s="24">
        <v>9580</v>
      </c>
      <c r="D252" s="26">
        <f t="shared" si="3"/>
        <v>-2.8397565922920864E-2</v>
      </c>
    </row>
    <row r="253" spans="1:4" ht="25.95" customHeight="1" x14ac:dyDescent="0.3">
      <c r="A253" s="25">
        <v>44012</v>
      </c>
      <c r="B253" s="24" t="s">
        <v>4</v>
      </c>
      <c r="C253" s="24">
        <v>10302</v>
      </c>
      <c r="D253" s="26">
        <f t="shared" si="3"/>
        <v>7.5365344467640982E-2</v>
      </c>
    </row>
    <row r="254" spans="1:4" ht="25.95" customHeight="1" x14ac:dyDescent="0.3">
      <c r="A254" s="25">
        <v>44043</v>
      </c>
      <c r="B254" s="24" t="s">
        <v>4</v>
      </c>
      <c r="C254" s="24">
        <v>11073</v>
      </c>
      <c r="D254" s="26">
        <f t="shared" si="3"/>
        <v>7.4839836924869063E-2</v>
      </c>
    </row>
    <row r="255" spans="1:4" ht="25.95" customHeight="1" x14ac:dyDescent="0.3">
      <c r="A255" s="25">
        <v>44074</v>
      </c>
      <c r="B255" s="24" t="s">
        <v>4</v>
      </c>
      <c r="C255" s="24">
        <v>11388</v>
      </c>
      <c r="D255" s="26">
        <f t="shared" si="3"/>
        <v>2.8447575182877216E-2</v>
      </c>
    </row>
    <row r="256" spans="1:4" ht="25.95" customHeight="1" x14ac:dyDescent="0.3">
      <c r="A256" s="25">
        <v>44104</v>
      </c>
      <c r="B256" s="24" t="s">
        <v>4</v>
      </c>
      <c r="C256" s="24">
        <v>11248</v>
      </c>
      <c r="D256" s="26">
        <f t="shared" si="3"/>
        <v>-1.2293642430628693E-2</v>
      </c>
    </row>
    <row r="257" spans="1:4" ht="25.95" customHeight="1" x14ac:dyDescent="0.3">
      <c r="A257" s="25">
        <v>44135</v>
      </c>
      <c r="B257" s="24" t="s">
        <v>4</v>
      </c>
      <c r="C257" s="24">
        <v>11642</v>
      </c>
      <c r="D257" s="26">
        <f t="shared" si="3"/>
        <v>3.5028449502133796E-2</v>
      </c>
    </row>
    <row r="258" spans="1:4" ht="25.95" customHeight="1" x14ac:dyDescent="0.3">
      <c r="A258" s="25">
        <v>44165</v>
      </c>
      <c r="B258" s="24" t="s">
        <v>4</v>
      </c>
      <c r="C258" s="24">
        <v>12969</v>
      </c>
      <c r="D258" s="26">
        <f t="shared" si="3"/>
        <v>0.11398385157189495</v>
      </c>
    </row>
    <row r="259" spans="1:4" ht="25.95" customHeight="1" x14ac:dyDescent="0.3">
      <c r="A259" s="25">
        <v>44196</v>
      </c>
      <c r="B259" s="24" t="s">
        <v>4</v>
      </c>
      <c r="C259" s="24">
        <v>13982</v>
      </c>
      <c r="D259" s="26">
        <f t="shared" si="3"/>
        <v>7.8109337651322441E-2</v>
      </c>
    </row>
    <row r="260" spans="1:4" ht="25.95" customHeight="1" x14ac:dyDescent="0.3">
      <c r="A260" s="25">
        <v>44227</v>
      </c>
      <c r="B260" s="24" t="s">
        <v>4</v>
      </c>
      <c r="C260" s="24">
        <v>13635</v>
      </c>
      <c r="D260" s="26">
        <f t="shared" si="3"/>
        <v>-2.4817622657702709E-2</v>
      </c>
    </row>
    <row r="261" spans="1:4" ht="25.95" customHeight="1" x14ac:dyDescent="0.3">
      <c r="A261" s="25">
        <v>44255</v>
      </c>
      <c r="B261" s="24" t="s">
        <v>4</v>
      </c>
      <c r="C261" s="24">
        <v>14529</v>
      </c>
      <c r="D261" s="26">
        <f t="shared" si="3"/>
        <v>6.5566556655665575E-2</v>
      </c>
    </row>
    <row r="262" spans="1:4" ht="25.95" customHeight="1" x14ac:dyDescent="0.3">
      <c r="A262" s="25">
        <v>44286</v>
      </c>
      <c r="B262" s="24" t="s">
        <v>4</v>
      </c>
      <c r="C262" s="24">
        <v>14691</v>
      </c>
      <c r="D262" s="26">
        <f t="shared" si="3"/>
        <v>1.1150113565971509E-2</v>
      </c>
    </row>
    <row r="263" spans="1:4" ht="25.95" customHeight="1" x14ac:dyDescent="0.3">
      <c r="A263" s="25">
        <v>44316</v>
      </c>
      <c r="B263" s="24" t="s">
        <v>4</v>
      </c>
      <c r="C263" s="24">
        <v>14631</v>
      </c>
      <c r="D263" s="26">
        <f t="shared" si="3"/>
        <v>-4.0841331427404759E-3</v>
      </c>
    </row>
    <row r="264" spans="1:4" ht="25.95" customHeight="1" x14ac:dyDescent="0.3">
      <c r="A264" s="25">
        <v>44347</v>
      </c>
      <c r="B264" s="24" t="s">
        <v>4</v>
      </c>
      <c r="C264" s="24">
        <v>15583</v>
      </c>
      <c r="D264" s="26">
        <f t="shared" ref="D264:D327" si="4">IF(B264=B263,(C264/C263)-1,"")</f>
        <v>6.5067322807736971E-2</v>
      </c>
    </row>
    <row r="265" spans="1:4" ht="25.95" customHeight="1" x14ac:dyDescent="0.3">
      <c r="A265" s="25">
        <v>44377</v>
      </c>
      <c r="B265" s="24" t="s">
        <v>4</v>
      </c>
      <c r="C265" s="24">
        <v>15722</v>
      </c>
      <c r="D265" s="26">
        <f t="shared" si="4"/>
        <v>8.9199768979015825E-3</v>
      </c>
    </row>
    <row r="266" spans="1:4" ht="25.95" customHeight="1" x14ac:dyDescent="0.3">
      <c r="A266" s="25">
        <v>44408</v>
      </c>
      <c r="B266" s="24" t="s">
        <v>4</v>
      </c>
      <c r="C266" s="24">
        <v>15763</v>
      </c>
      <c r="D266" s="26">
        <f t="shared" si="4"/>
        <v>2.607810711105385E-3</v>
      </c>
    </row>
    <row r="267" spans="1:4" ht="25.95" customHeight="1" x14ac:dyDescent="0.3">
      <c r="A267" s="25">
        <v>44439</v>
      </c>
      <c r="B267" s="24" t="s">
        <v>4</v>
      </c>
      <c r="C267" s="24">
        <v>17132</v>
      </c>
      <c r="D267" s="26">
        <f t="shared" si="4"/>
        <v>8.6848950072955677E-2</v>
      </c>
    </row>
    <row r="268" spans="1:4" ht="25.95" customHeight="1" x14ac:dyDescent="0.3">
      <c r="A268" s="25">
        <v>44469</v>
      </c>
      <c r="B268" s="24" t="s">
        <v>4</v>
      </c>
      <c r="C268" s="24">
        <v>17618</v>
      </c>
      <c r="D268" s="26">
        <f t="shared" si="4"/>
        <v>2.8367966378706422E-2</v>
      </c>
    </row>
    <row r="269" spans="1:4" ht="25.95" customHeight="1" x14ac:dyDescent="0.3">
      <c r="A269" s="25">
        <v>44500</v>
      </c>
      <c r="B269" s="24" t="s">
        <v>4</v>
      </c>
      <c r="C269" s="24">
        <v>17672</v>
      </c>
      <c r="D269" s="26">
        <f t="shared" si="4"/>
        <v>3.0650471109092692E-3</v>
      </c>
    </row>
    <row r="270" spans="1:4" ht="25.95" customHeight="1" x14ac:dyDescent="0.3">
      <c r="A270" s="25">
        <v>44530</v>
      </c>
      <c r="B270" s="24" t="s">
        <v>4</v>
      </c>
      <c r="C270" s="24">
        <v>16983</v>
      </c>
      <c r="D270" s="26">
        <f t="shared" si="4"/>
        <v>-3.8988229968311416E-2</v>
      </c>
    </row>
    <row r="271" spans="1:4" ht="25.95" customHeight="1" x14ac:dyDescent="0.3">
      <c r="A271" s="25">
        <v>44561</v>
      </c>
      <c r="B271" s="24" t="s">
        <v>4</v>
      </c>
      <c r="C271" s="24">
        <v>17354</v>
      </c>
      <c r="D271" s="26">
        <f t="shared" si="4"/>
        <v>2.1845374786551242E-2</v>
      </c>
    </row>
    <row r="272" spans="1:4" ht="25.95" customHeight="1" x14ac:dyDescent="0.3">
      <c r="A272" s="25">
        <v>44592</v>
      </c>
      <c r="B272" s="24" t="s">
        <v>4</v>
      </c>
      <c r="C272" s="24">
        <v>17340</v>
      </c>
      <c r="D272" s="26">
        <f t="shared" si="4"/>
        <v>-8.0673043678691769E-4</v>
      </c>
    </row>
    <row r="273" spans="1:4" ht="25.95" customHeight="1" x14ac:dyDescent="0.3">
      <c r="A273" s="25">
        <v>44620</v>
      </c>
      <c r="B273" s="24" t="s">
        <v>4</v>
      </c>
      <c r="C273" s="24">
        <v>16794</v>
      </c>
      <c r="D273" s="26">
        <f t="shared" si="4"/>
        <v>-3.148788927335644E-2</v>
      </c>
    </row>
    <row r="274" spans="1:4" ht="25.95" customHeight="1" x14ac:dyDescent="0.3">
      <c r="A274" s="25">
        <v>44651</v>
      </c>
      <c r="B274" s="24" t="s">
        <v>4</v>
      </c>
      <c r="C274" s="24">
        <v>17465</v>
      </c>
      <c r="D274" s="26">
        <f t="shared" si="4"/>
        <v>3.9954745742527109E-2</v>
      </c>
    </row>
    <row r="275" spans="1:4" ht="25.95" customHeight="1" x14ac:dyDescent="0.3">
      <c r="A275" s="25">
        <v>44681</v>
      </c>
      <c r="B275" s="24" t="s">
        <v>4</v>
      </c>
      <c r="C275" s="24">
        <v>17103</v>
      </c>
      <c r="D275" s="26">
        <f t="shared" si="4"/>
        <v>-2.0727168622960201E-2</v>
      </c>
    </row>
    <row r="276" spans="1:4" ht="25.95" customHeight="1" x14ac:dyDescent="0.3">
      <c r="A276" s="25">
        <v>44712</v>
      </c>
      <c r="B276" s="24" t="s">
        <v>4</v>
      </c>
      <c r="C276" s="24">
        <v>16585</v>
      </c>
      <c r="D276" s="26">
        <f t="shared" si="4"/>
        <v>-3.0287084137285869E-2</v>
      </c>
    </row>
    <row r="277" spans="1:4" ht="25.95" customHeight="1" x14ac:dyDescent="0.3">
      <c r="A277" s="25">
        <v>44742</v>
      </c>
      <c r="B277" s="24" t="s">
        <v>4</v>
      </c>
      <c r="C277" s="24">
        <v>15780</v>
      </c>
      <c r="D277" s="26">
        <f t="shared" si="4"/>
        <v>-4.8537835393427819E-2</v>
      </c>
    </row>
    <row r="278" spans="1:4" ht="25.95" customHeight="1" x14ac:dyDescent="0.3">
      <c r="A278" s="25">
        <v>44773</v>
      </c>
      <c r="B278" s="24" t="s">
        <v>4</v>
      </c>
      <c r="C278" s="24">
        <v>17158</v>
      </c>
      <c r="D278" s="26">
        <f t="shared" si="4"/>
        <v>8.7325728770595745E-2</v>
      </c>
    </row>
    <row r="279" spans="1:4" ht="25.95" customHeight="1" x14ac:dyDescent="0.3">
      <c r="A279" s="25">
        <v>44804</v>
      </c>
      <c r="B279" s="24" t="s">
        <v>4</v>
      </c>
      <c r="C279" s="24">
        <v>17759</v>
      </c>
      <c r="D279" s="26">
        <f t="shared" si="4"/>
        <v>3.5027392469984875E-2</v>
      </c>
    </row>
    <row r="280" spans="1:4" ht="25.95" customHeight="1" x14ac:dyDescent="0.3">
      <c r="A280" s="25">
        <v>44834</v>
      </c>
      <c r="B280" s="24" t="s">
        <v>4</v>
      </c>
      <c r="C280" s="24">
        <v>17094</v>
      </c>
      <c r="D280" s="26">
        <f t="shared" si="4"/>
        <v>-3.744580212849824E-2</v>
      </c>
    </row>
    <row r="281" spans="1:4" ht="25.95" customHeight="1" x14ac:dyDescent="0.3">
      <c r="A281" s="25">
        <v>44865</v>
      </c>
      <c r="B281" s="24" t="s">
        <v>4</v>
      </c>
      <c r="C281" s="24">
        <v>18012</v>
      </c>
      <c r="D281" s="26">
        <f t="shared" si="4"/>
        <v>5.3703053703053616E-2</v>
      </c>
    </row>
    <row r="282" spans="1:4" ht="25.95" customHeight="1" x14ac:dyDescent="0.3">
      <c r="A282" s="25">
        <v>44895</v>
      </c>
      <c r="B282" s="24" t="s">
        <v>4</v>
      </c>
      <c r="C282" s="24">
        <v>18758</v>
      </c>
      <c r="D282" s="26">
        <f t="shared" si="4"/>
        <v>4.1416833222296168E-2</v>
      </c>
    </row>
    <row r="283" spans="1:4" ht="25.95" customHeight="1" x14ac:dyDescent="0.3">
      <c r="A283" s="25">
        <v>44926</v>
      </c>
      <c r="B283" s="24" t="s">
        <v>4</v>
      </c>
      <c r="C283" s="24">
        <v>18105</v>
      </c>
      <c r="D283" s="26">
        <f t="shared" si="4"/>
        <v>-3.4811813626186128E-2</v>
      </c>
    </row>
    <row r="284" spans="1:4" ht="25.95" customHeight="1" x14ac:dyDescent="0.3">
      <c r="A284" s="25">
        <v>44957</v>
      </c>
      <c r="B284" s="24" t="s">
        <v>4</v>
      </c>
      <c r="C284" s="24">
        <v>17662</v>
      </c>
      <c r="D284" s="26">
        <f t="shared" si="4"/>
        <v>-2.4468378900856069E-2</v>
      </c>
    </row>
    <row r="285" spans="1:4" ht="25.95" customHeight="1" x14ac:dyDescent="0.3">
      <c r="A285" s="25">
        <v>44985</v>
      </c>
      <c r="B285" s="24" t="s">
        <v>4</v>
      </c>
      <c r="C285" s="24">
        <v>17304</v>
      </c>
      <c r="D285" s="26">
        <f t="shared" si="4"/>
        <v>-2.0269505152304412E-2</v>
      </c>
    </row>
    <row r="286" spans="1:4" ht="25.95" customHeight="1" x14ac:dyDescent="0.3">
      <c r="A286" s="25">
        <v>45016</v>
      </c>
      <c r="B286" s="24" t="s">
        <v>4</v>
      </c>
      <c r="C286" s="24">
        <v>17360</v>
      </c>
      <c r="D286" s="26">
        <f t="shared" si="4"/>
        <v>3.2362459546926292E-3</v>
      </c>
    </row>
    <row r="287" spans="1:4" ht="25.95" customHeight="1" x14ac:dyDescent="0.3">
      <c r="A287" s="25">
        <v>45046</v>
      </c>
      <c r="B287" s="24" t="s">
        <v>4</v>
      </c>
      <c r="C287" s="24">
        <v>18065</v>
      </c>
      <c r="D287" s="26">
        <f t="shared" si="4"/>
        <v>4.061059907834097E-2</v>
      </c>
    </row>
    <row r="288" spans="1:4" ht="25.95" customHeight="1" x14ac:dyDescent="0.3">
      <c r="A288" s="25">
        <v>45077</v>
      </c>
      <c r="B288" s="24" t="s">
        <v>4</v>
      </c>
      <c r="C288" s="24">
        <v>18534</v>
      </c>
      <c r="D288" s="26">
        <f t="shared" si="4"/>
        <v>2.5961804594519799E-2</v>
      </c>
    </row>
    <row r="289" spans="1:4" ht="25.95" customHeight="1" x14ac:dyDescent="0.3">
      <c r="A289" s="25">
        <v>45107</v>
      </c>
      <c r="B289" s="24" t="s">
        <v>4</v>
      </c>
      <c r="C289" s="24">
        <v>19189</v>
      </c>
      <c r="D289" s="26">
        <f t="shared" si="4"/>
        <v>3.534045537930286E-2</v>
      </c>
    </row>
    <row r="290" spans="1:4" ht="25.95" customHeight="1" x14ac:dyDescent="0.3">
      <c r="A290" s="25">
        <v>45138</v>
      </c>
      <c r="B290" s="24" t="s">
        <v>4</v>
      </c>
      <c r="C290" s="24">
        <v>19754</v>
      </c>
      <c r="D290" s="26">
        <f t="shared" si="4"/>
        <v>2.9443952264318174E-2</v>
      </c>
    </row>
    <row r="291" spans="1:4" ht="25.95" customHeight="1" x14ac:dyDescent="0.3">
      <c r="A291" s="25">
        <v>45169</v>
      </c>
      <c r="B291" s="24" t="s">
        <v>4</v>
      </c>
      <c r="C291" s="24">
        <v>19254</v>
      </c>
      <c r="D291" s="26">
        <f t="shared" si="4"/>
        <v>-2.5311329351017542E-2</v>
      </c>
    </row>
    <row r="292" spans="1:4" ht="25.95" customHeight="1" x14ac:dyDescent="0.3">
      <c r="A292" s="25">
        <v>45199</v>
      </c>
      <c r="B292" s="24" t="s">
        <v>4</v>
      </c>
      <c r="C292" s="24">
        <v>19638</v>
      </c>
      <c r="D292" s="26">
        <f t="shared" si="4"/>
        <v>1.994390775942656E-2</v>
      </c>
    </row>
    <row r="293" spans="1:4" ht="25.95" customHeight="1" x14ac:dyDescent="0.3">
      <c r="A293" s="25">
        <v>45230</v>
      </c>
      <c r="B293" s="24" t="s">
        <v>4</v>
      </c>
      <c r="C293" s="24">
        <v>19080</v>
      </c>
      <c r="D293" s="26">
        <f t="shared" si="4"/>
        <v>-2.8414298808432603E-2</v>
      </c>
    </row>
    <row r="294" spans="1:4" ht="25.95" customHeight="1" x14ac:dyDescent="0.3">
      <c r="A294" s="25">
        <v>45260</v>
      </c>
      <c r="B294" s="24" t="s">
        <v>4</v>
      </c>
      <c r="C294" s="24">
        <v>20133</v>
      </c>
      <c r="D294" s="26">
        <f t="shared" si="4"/>
        <v>5.5188679245282923E-2</v>
      </c>
    </row>
    <row r="295" spans="1:4" ht="25.95" customHeight="1" x14ac:dyDescent="0.3">
      <c r="A295" s="25">
        <v>45291</v>
      </c>
      <c r="B295" s="24" t="s">
        <v>4</v>
      </c>
      <c r="C295" s="24">
        <v>21731</v>
      </c>
      <c r="D295" s="26">
        <f t="shared" si="4"/>
        <v>7.9372175036010573E-2</v>
      </c>
    </row>
    <row r="296" spans="1:4" ht="25.95" customHeight="1" x14ac:dyDescent="0.3">
      <c r="A296" s="25">
        <v>45322</v>
      </c>
      <c r="B296" s="24" t="s">
        <v>4</v>
      </c>
      <c r="C296" s="24">
        <v>21726</v>
      </c>
      <c r="D296" s="26">
        <f t="shared" si="4"/>
        <v>-2.3008605218355349E-4</v>
      </c>
    </row>
    <row r="297" spans="1:4" ht="25.95" customHeight="1" x14ac:dyDescent="0.3">
      <c r="A297" s="25">
        <v>45351</v>
      </c>
      <c r="B297" s="24" t="s">
        <v>4</v>
      </c>
      <c r="C297" s="24">
        <v>21983</v>
      </c>
      <c r="D297" s="26">
        <f t="shared" si="4"/>
        <v>1.1829144803461311E-2</v>
      </c>
    </row>
    <row r="298" spans="1:4" ht="25.95" customHeight="1" x14ac:dyDescent="0.3">
      <c r="A298" s="25">
        <v>45382</v>
      </c>
      <c r="B298" s="24" t="s">
        <v>4</v>
      </c>
      <c r="C298" s="24">
        <v>22327</v>
      </c>
      <c r="D298" s="26">
        <f t="shared" si="4"/>
        <v>1.5648455624800883E-2</v>
      </c>
    </row>
    <row r="299" spans="1:4" ht="25.95" customHeight="1" x14ac:dyDescent="0.3">
      <c r="A299" s="25">
        <v>45412</v>
      </c>
      <c r="B299" s="24" t="s">
        <v>4</v>
      </c>
      <c r="C299" s="24">
        <v>22605</v>
      </c>
      <c r="D299" s="26">
        <f t="shared" si="4"/>
        <v>1.2451292157477534E-2</v>
      </c>
    </row>
    <row r="300" spans="1:4" ht="25.95" customHeight="1" x14ac:dyDescent="0.3">
      <c r="A300" s="25">
        <v>45443</v>
      </c>
      <c r="B300" s="24" t="s">
        <v>4</v>
      </c>
      <c r="C300" s="24">
        <v>22531</v>
      </c>
      <c r="D300" s="26">
        <f t="shared" si="4"/>
        <v>-3.2736120327361284E-3</v>
      </c>
    </row>
    <row r="301" spans="1:4" ht="25.95" customHeight="1" x14ac:dyDescent="0.3">
      <c r="A301" s="25">
        <v>45473</v>
      </c>
      <c r="B301" s="24" t="s">
        <v>4</v>
      </c>
      <c r="C301" s="24">
        <v>24011</v>
      </c>
      <c r="D301" s="26">
        <f t="shared" si="4"/>
        <v>6.5687275309573412E-2</v>
      </c>
    </row>
    <row r="302" spans="1:4" ht="25.95" customHeight="1" x14ac:dyDescent="0.3">
      <c r="A302" s="25">
        <v>45504</v>
      </c>
      <c r="B302" s="24" t="s">
        <v>4</v>
      </c>
      <c r="C302" s="24">
        <v>24951</v>
      </c>
      <c r="D302" s="26">
        <f t="shared" si="4"/>
        <v>3.9148723501728266E-2</v>
      </c>
    </row>
    <row r="303" spans="1:4" ht="25.95" customHeight="1" x14ac:dyDescent="0.3">
      <c r="A303" s="25">
        <v>45535</v>
      </c>
      <c r="B303" s="24" t="s">
        <v>4</v>
      </c>
      <c r="C303" s="24">
        <v>25236</v>
      </c>
      <c r="D303" s="26">
        <f t="shared" si="4"/>
        <v>1.1422387880245299E-2</v>
      </c>
    </row>
    <row r="304" spans="1:4" ht="25.95" customHeight="1" x14ac:dyDescent="0.3">
      <c r="A304" s="25">
        <v>45565</v>
      </c>
      <c r="B304" s="24" t="s">
        <v>4</v>
      </c>
      <c r="C304" s="24">
        <v>25811</v>
      </c>
      <c r="D304" s="26">
        <f t="shared" si="4"/>
        <v>2.2784910445395434E-2</v>
      </c>
    </row>
    <row r="305" spans="1:4" ht="25.95" customHeight="1" x14ac:dyDescent="0.3">
      <c r="A305" s="25">
        <v>45596</v>
      </c>
      <c r="B305" s="24" t="s">
        <v>4</v>
      </c>
      <c r="C305" s="24">
        <v>24205</v>
      </c>
      <c r="D305" s="26">
        <f t="shared" si="4"/>
        <v>-6.2221533454728584E-2</v>
      </c>
    </row>
    <row r="306" spans="1:4" ht="25.95" customHeight="1" x14ac:dyDescent="0.3">
      <c r="A306" s="25">
        <v>45626</v>
      </c>
      <c r="B306" s="24" t="s">
        <v>4</v>
      </c>
      <c r="C306" s="24">
        <v>24131</v>
      </c>
      <c r="D306" s="26">
        <f t="shared" si="4"/>
        <v>-3.0572195827308635E-3</v>
      </c>
    </row>
    <row r="307" spans="1:4" ht="25.95" customHeight="1" x14ac:dyDescent="0.3">
      <c r="A307" s="25">
        <v>45657</v>
      </c>
      <c r="B307" s="24" t="s">
        <v>4</v>
      </c>
      <c r="C307" s="24">
        <v>23645</v>
      </c>
      <c r="D307" s="26">
        <f t="shared" si="4"/>
        <v>-2.0140068791181465E-2</v>
      </c>
    </row>
    <row r="308" spans="1:4" ht="25.95" customHeight="1" x14ac:dyDescent="0.3">
      <c r="A308" s="25">
        <v>43861</v>
      </c>
      <c r="B308" s="24" t="s">
        <v>3</v>
      </c>
      <c r="C308" s="24">
        <v>1822</v>
      </c>
      <c r="D308" s="26" t="str">
        <f t="shared" si="4"/>
        <v/>
      </c>
    </row>
    <row r="309" spans="1:4" ht="25.95" customHeight="1" x14ac:dyDescent="0.3">
      <c r="A309" s="25">
        <v>43890</v>
      </c>
      <c r="B309" s="24" t="s">
        <v>3</v>
      </c>
      <c r="C309" s="24">
        <v>1757</v>
      </c>
      <c r="D309" s="26">
        <f t="shared" si="4"/>
        <v>-3.5675082327113028E-2</v>
      </c>
    </row>
    <row r="310" spans="1:4" ht="25.95" customHeight="1" x14ac:dyDescent="0.3">
      <c r="A310" s="25">
        <v>43921</v>
      </c>
      <c r="B310" s="24" t="s">
        <v>3</v>
      </c>
      <c r="C310" s="24">
        <v>1604</v>
      </c>
      <c r="D310" s="26">
        <f t="shared" si="4"/>
        <v>-8.7080250426863959E-2</v>
      </c>
    </row>
    <row r="311" spans="1:4" ht="25.95" customHeight="1" x14ac:dyDescent="0.3">
      <c r="A311" s="25">
        <v>43951</v>
      </c>
      <c r="B311" s="24" t="s">
        <v>3</v>
      </c>
      <c r="C311" s="24">
        <v>1783</v>
      </c>
      <c r="D311" s="26">
        <f t="shared" si="4"/>
        <v>0.11159600997506236</v>
      </c>
    </row>
    <row r="312" spans="1:4" ht="25.95" customHeight="1" x14ac:dyDescent="0.3">
      <c r="A312" s="25">
        <v>43982</v>
      </c>
      <c r="B312" s="24" t="s">
        <v>3</v>
      </c>
      <c r="C312" s="24">
        <v>1745</v>
      </c>
      <c r="D312" s="26">
        <f t="shared" si="4"/>
        <v>-2.1312394840157012E-2</v>
      </c>
    </row>
    <row r="313" spans="1:4" ht="25.95" customHeight="1" x14ac:dyDescent="0.3">
      <c r="A313" s="25">
        <v>44012</v>
      </c>
      <c r="B313" s="24" t="s">
        <v>3</v>
      </c>
      <c r="C313" s="24">
        <v>1843</v>
      </c>
      <c r="D313" s="26">
        <f t="shared" si="4"/>
        <v>5.6160458452721995E-2</v>
      </c>
    </row>
    <row r="314" spans="1:4" ht="25.95" customHeight="1" x14ac:dyDescent="0.3">
      <c r="A314" s="25">
        <v>44043</v>
      </c>
      <c r="B314" s="24" t="s">
        <v>3</v>
      </c>
      <c r="C314" s="24">
        <v>2025</v>
      </c>
      <c r="D314" s="26">
        <f t="shared" si="4"/>
        <v>9.8752034725990256E-2</v>
      </c>
    </row>
    <row r="315" spans="1:4" ht="25.95" customHeight="1" x14ac:dyDescent="0.3">
      <c r="A315" s="25">
        <v>44074</v>
      </c>
      <c r="B315" s="24" t="s">
        <v>3</v>
      </c>
      <c r="C315" s="24">
        <v>2008</v>
      </c>
      <c r="D315" s="26">
        <f t="shared" si="4"/>
        <v>-8.3950617283951035E-3</v>
      </c>
    </row>
    <row r="316" spans="1:4" ht="25.95" customHeight="1" x14ac:dyDescent="0.3">
      <c r="A316" s="25">
        <v>44104</v>
      </c>
      <c r="B316" s="24" t="s">
        <v>3</v>
      </c>
      <c r="C316" s="24">
        <v>2217</v>
      </c>
      <c r="D316" s="26">
        <f t="shared" si="4"/>
        <v>0.10408366533864544</v>
      </c>
    </row>
    <row r="317" spans="1:4" ht="25.95" customHeight="1" x14ac:dyDescent="0.3">
      <c r="A317" s="25">
        <v>44135</v>
      </c>
      <c r="B317" s="24" t="s">
        <v>3</v>
      </c>
      <c r="C317" s="24">
        <v>2371</v>
      </c>
      <c r="D317" s="26">
        <f t="shared" si="4"/>
        <v>6.9463238610735223E-2</v>
      </c>
    </row>
    <row r="318" spans="1:4" ht="25.95" customHeight="1" x14ac:dyDescent="0.3">
      <c r="A318" s="25">
        <v>44165</v>
      </c>
      <c r="B318" s="24" t="s">
        <v>3</v>
      </c>
      <c r="C318" s="24">
        <v>2394</v>
      </c>
      <c r="D318" s="26">
        <f t="shared" si="4"/>
        <v>9.7005482918599562E-3</v>
      </c>
    </row>
    <row r="319" spans="1:4" ht="25.95" customHeight="1" x14ac:dyDescent="0.3">
      <c r="A319" s="25">
        <v>44196</v>
      </c>
      <c r="B319" s="24" t="s">
        <v>3</v>
      </c>
      <c r="C319" s="24">
        <v>2557</v>
      </c>
      <c r="D319" s="26">
        <f t="shared" si="4"/>
        <v>6.8086883876357529E-2</v>
      </c>
    </row>
    <row r="320" spans="1:4" ht="25.95" customHeight="1" x14ac:dyDescent="0.3">
      <c r="A320" s="25">
        <v>44227</v>
      </c>
      <c r="B320" s="24" t="s">
        <v>3</v>
      </c>
      <c r="C320" s="24">
        <v>2780</v>
      </c>
      <c r="D320" s="26">
        <f t="shared" si="4"/>
        <v>8.7211576065701957E-2</v>
      </c>
    </row>
    <row r="321" spans="1:4" ht="25.95" customHeight="1" x14ac:dyDescent="0.3">
      <c r="A321" s="25">
        <v>44255</v>
      </c>
      <c r="B321" s="24" t="s">
        <v>3</v>
      </c>
      <c r="C321" s="24">
        <v>2591</v>
      </c>
      <c r="D321" s="26">
        <f t="shared" si="4"/>
        <v>-6.7985611510791411E-2</v>
      </c>
    </row>
    <row r="322" spans="1:4" ht="25.95" customHeight="1" x14ac:dyDescent="0.3">
      <c r="A322" s="25">
        <v>44286</v>
      </c>
      <c r="B322" s="24" t="s">
        <v>3</v>
      </c>
      <c r="C322" s="24">
        <v>2844</v>
      </c>
      <c r="D322" s="26">
        <f t="shared" si="4"/>
        <v>9.7645696642223001E-2</v>
      </c>
    </row>
    <row r="323" spans="1:4" ht="25.95" customHeight="1" x14ac:dyDescent="0.3">
      <c r="A323" s="25">
        <v>44316</v>
      </c>
      <c r="B323" s="24" t="s">
        <v>3</v>
      </c>
      <c r="C323" s="24">
        <v>2717</v>
      </c>
      <c r="D323" s="26">
        <f t="shared" si="4"/>
        <v>-4.4655414908579494E-2</v>
      </c>
    </row>
    <row r="324" spans="1:4" ht="25.95" customHeight="1" x14ac:dyDescent="0.3">
      <c r="A324" s="25">
        <v>44347</v>
      </c>
      <c r="B324" s="24" t="s">
        <v>3</v>
      </c>
      <c r="C324" s="24">
        <v>2828</v>
      </c>
      <c r="D324" s="26">
        <f t="shared" si="4"/>
        <v>4.0853882959146048E-2</v>
      </c>
    </row>
    <row r="325" spans="1:4" ht="25.95" customHeight="1" x14ac:dyDescent="0.3">
      <c r="A325" s="25">
        <v>44377</v>
      </c>
      <c r="B325" s="24" t="s">
        <v>3</v>
      </c>
      <c r="C325" s="24">
        <v>3009</v>
      </c>
      <c r="D325" s="26">
        <f t="shared" si="4"/>
        <v>6.4002828854313965E-2</v>
      </c>
    </row>
    <row r="326" spans="1:4" ht="25.95" customHeight="1" x14ac:dyDescent="0.3">
      <c r="A326" s="25">
        <v>44408</v>
      </c>
      <c r="B326" s="24" t="s">
        <v>3</v>
      </c>
      <c r="C326" s="24">
        <v>2849</v>
      </c>
      <c r="D326" s="26">
        <f t="shared" si="4"/>
        <v>-5.3173811897640366E-2</v>
      </c>
    </row>
    <row r="327" spans="1:4" ht="25.95" customHeight="1" x14ac:dyDescent="0.3">
      <c r="A327" s="25">
        <v>44439</v>
      </c>
      <c r="B327" s="24" t="s">
        <v>3</v>
      </c>
      <c r="C327" s="24">
        <v>3413</v>
      </c>
      <c r="D327" s="26">
        <f t="shared" si="4"/>
        <v>0.19796419796419795</v>
      </c>
    </row>
    <row r="328" spans="1:4" ht="25.95" customHeight="1" x14ac:dyDescent="0.3">
      <c r="A328" s="25">
        <v>44469</v>
      </c>
      <c r="B328" s="24" t="s">
        <v>3</v>
      </c>
      <c r="C328" s="24">
        <v>3403</v>
      </c>
      <c r="D328" s="26">
        <f t="shared" ref="D328:D367" si="5">IF(B328=B327,(C328/C327)-1,"")</f>
        <v>-2.9299736302372814E-3</v>
      </c>
    </row>
    <row r="329" spans="1:4" ht="25.95" customHeight="1" x14ac:dyDescent="0.3">
      <c r="A329" s="25">
        <v>44500</v>
      </c>
      <c r="B329" s="24" t="s">
        <v>3</v>
      </c>
      <c r="C329" s="24">
        <v>3063</v>
      </c>
      <c r="D329" s="26">
        <f t="shared" si="5"/>
        <v>-9.9911842491918867E-2</v>
      </c>
    </row>
    <row r="330" spans="1:4" ht="25.95" customHeight="1" x14ac:dyDescent="0.3">
      <c r="A330" s="25">
        <v>44530</v>
      </c>
      <c r="B330" s="24" t="s">
        <v>3</v>
      </c>
      <c r="C330" s="24">
        <v>3187</v>
      </c>
      <c r="D330" s="26">
        <f t="shared" si="5"/>
        <v>4.0483186418543982E-2</v>
      </c>
    </row>
    <row r="331" spans="1:4" ht="25.95" customHeight="1" x14ac:dyDescent="0.3">
      <c r="A331" s="25">
        <v>44561</v>
      </c>
      <c r="B331" s="24" t="s">
        <v>3</v>
      </c>
      <c r="C331" s="24">
        <v>3376</v>
      </c>
      <c r="D331" s="26">
        <f t="shared" si="5"/>
        <v>5.9303420144336316E-2</v>
      </c>
    </row>
    <row r="332" spans="1:4" ht="25.95" customHeight="1" x14ac:dyDescent="0.3">
      <c r="A332" s="25">
        <v>44592</v>
      </c>
      <c r="B332" s="24" t="s">
        <v>3</v>
      </c>
      <c r="C332" s="24">
        <v>3374</v>
      </c>
      <c r="D332" s="26">
        <f t="shared" si="5"/>
        <v>-5.924170616113944E-4</v>
      </c>
    </row>
    <row r="333" spans="1:4" ht="25.95" customHeight="1" x14ac:dyDescent="0.3">
      <c r="A333" s="25">
        <v>44620</v>
      </c>
      <c r="B333" s="24" t="s">
        <v>3</v>
      </c>
      <c r="C333" s="24">
        <v>3216</v>
      </c>
      <c r="D333" s="26">
        <f t="shared" si="5"/>
        <v>-4.6828689982216898E-2</v>
      </c>
    </row>
    <row r="334" spans="1:4" ht="25.95" customHeight="1" x14ac:dyDescent="0.3">
      <c r="A334" s="25">
        <v>44651</v>
      </c>
      <c r="B334" s="24" t="s">
        <v>3</v>
      </c>
      <c r="C334" s="24">
        <v>3384</v>
      </c>
      <c r="D334" s="26">
        <f t="shared" si="5"/>
        <v>5.2238805970149294E-2</v>
      </c>
    </row>
    <row r="335" spans="1:4" ht="25.95" customHeight="1" x14ac:dyDescent="0.3">
      <c r="A335" s="25">
        <v>44681</v>
      </c>
      <c r="B335" s="24" t="s">
        <v>3</v>
      </c>
      <c r="C335" s="24">
        <v>3209</v>
      </c>
      <c r="D335" s="26">
        <f t="shared" si="5"/>
        <v>-5.171394799054374E-2</v>
      </c>
    </row>
    <row r="336" spans="1:4" ht="25.95" customHeight="1" x14ac:dyDescent="0.3">
      <c r="A336" s="25">
        <v>44712</v>
      </c>
      <c r="B336" s="24" t="s">
        <v>3</v>
      </c>
      <c r="C336" s="24">
        <v>3044</v>
      </c>
      <c r="D336" s="26">
        <f t="shared" si="5"/>
        <v>-5.1417887192271694E-2</v>
      </c>
    </row>
    <row r="337" spans="1:4" ht="25.95" customHeight="1" x14ac:dyDescent="0.3">
      <c r="A337" s="25">
        <v>44742</v>
      </c>
      <c r="B337" s="24" t="s">
        <v>3</v>
      </c>
      <c r="C337" s="24">
        <v>2976</v>
      </c>
      <c r="D337" s="26">
        <f t="shared" si="5"/>
        <v>-2.2339027595269401E-2</v>
      </c>
    </row>
    <row r="338" spans="1:4" ht="25.95" customHeight="1" x14ac:dyDescent="0.3">
      <c r="A338" s="25">
        <v>44773</v>
      </c>
      <c r="B338" s="24" t="s">
        <v>3</v>
      </c>
      <c r="C338" s="24">
        <v>3007</v>
      </c>
      <c r="D338" s="26">
        <f t="shared" si="5"/>
        <v>1.0416666666666741E-2</v>
      </c>
    </row>
    <row r="339" spans="1:4" ht="25.95" customHeight="1" x14ac:dyDescent="0.3">
      <c r="A339" s="25">
        <v>44804</v>
      </c>
      <c r="B339" s="24" t="s">
        <v>3</v>
      </c>
      <c r="C339" s="24">
        <v>2932</v>
      </c>
      <c r="D339" s="26">
        <f t="shared" si="5"/>
        <v>-2.4941802460924478E-2</v>
      </c>
    </row>
    <row r="340" spans="1:4" ht="25.95" customHeight="1" x14ac:dyDescent="0.3">
      <c r="A340" s="25">
        <v>44834</v>
      </c>
      <c r="B340" s="24" t="s">
        <v>3</v>
      </c>
      <c r="C340" s="24">
        <v>2744</v>
      </c>
      <c r="D340" s="26">
        <f t="shared" si="5"/>
        <v>-6.4120054570259155E-2</v>
      </c>
    </row>
    <row r="341" spans="1:4" ht="25.95" customHeight="1" x14ac:dyDescent="0.3">
      <c r="A341" s="25">
        <v>44865</v>
      </c>
      <c r="B341" s="24" t="s">
        <v>3</v>
      </c>
      <c r="C341" s="24">
        <v>2916</v>
      </c>
      <c r="D341" s="26">
        <f t="shared" si="5"/>
        <v>6.2682215743440128E-2</v>
      </c>
    </row>
    <row r="342" spans="1:4" ht="25.95" customHeight="1" x14ac:dyDescent="0.3">
      <c r="A342" s="25">
        <v>44895</v>
      </c>
      <c r="B342" s="24" t="s">
        <v>3</v>
      </c>
      <c r="C342" s="24">
        <v>3105</v>
      </c>
      <c r="D342" s="26">
        <f t="shared" si="5"/>
        <v>6.4814814814814881E-2</v>
      </c>
    </row>
    <row r="343" spans="1:4" ht="25.95" customHeight="1" x14ac:dyDescent="0.3">
      <c r="A343" s="25">
        <v>44926</v>
      </c>
      <c r="B343" s="24" t="s">
        <v>3</v>
      </c>
      <c r="C343" s="24">
        <v>2982</v>
      </c>
      <c r="D343" s="26">
        <f t="shared" si="5"/>
        <v>-3.9613526570048352E-2</v>
      </c>
    </row>
    <row r="344" spans="1:4" ht="25.95" customHeight="1" x14ac:dyDescent="0.3">
      <c r="A344" s="25">
        <v>44957</v>
      </c>
      <c r="B344" s="24" t="s">
        <v>3</v>
      </c>
      <c r="C344" s="24">
        <v>3075</v>
      </c>
      <c r="D344" s="26">
        <f t="shared" si="5"/>
        <v>3.1187122736418438E-2</v>
      </c>
    </row>
    <row r="345" spans="1:4" ht="25.95" customHeight="1" x14ac:dyDescent="0.3">
      <c r="A345" s="25">
        <v>44985</v>
      </c>
      <c r="B345" s="24" t="s">
        <v>3</v>
      </c>
      <c r="C345" s="24">
        <v>3102</v>
      </c>
      <c r="D345" s="26">
        <f t="shared" si="5"/>
        <v>8.7804878048780566E-3</v>
      </c>
    </row>
    <row r="346" spans="1:4" ht="25.95" customHeight="1" x14ac:dyDescent="0.3">
      <c r="A346" s="25">
        <v>45016</v>
      </c>
      <c r="B346" s="24" t="s">
        <v>3</v>
      </c>
      <c r="C346" s="24">
        <v>3002</v>
      </c>
      <c r="D346" s="26">
        <f t="shared" si="5"/>
        <v>-3.2237266279819488E-2</v>
      </c>
    </row>
    <row r="347" spans="1:4" ht="25.95" customHeight="1" x14ac:dyDescent="0.3">
      <c r="A347" s="25">
        <v>45046</v>
      </c>
      <c r="B347" s="24" t="s">
        <v>3</v>
      </c>
      <c r="C347" s="24">
        <v>3014</v>
      </c>
      <c r="D347" s="26">
        <f t="shared" si="5"/>
        <v>3.9973351099267251E-3</v>
      </c>
    </row>
    <row r="348" spans="1:4" ht="25.95" customHeight="1" x14ac:dyDescent="0.3">
      <c r="A348" s="25">
        <v>45077</v>
      </c>
      <c r="B348" s="24" t="s">
        <v>3</v>
      </c>
      <c r="C348" s="24">
        <v>3080</v>
      </c>
      <c r="D348" s="26">
        <f t="shared" si="5"/>
        <v>2.1897810218978186E-2</v>
      </c>
    </row>
    <row r="349" spans="1:4" ht="25.95" customHeight="1" x14ac:dyDescent="0.3">
      <c r="A349" s="25">
        <v>45107</v>
      </c>
      <c r="B349" s="24" t="s">
        <v>3</v>
      </c>
      <c r="C349" s="24">
        <v>3092</v>
      </c>
      <c r="D349" s="26">
        <f t="shared" si="5"/>
        <v>3.8961038961038419E-3</v>
      </c>
    </row>
    <row r="350" spans="1:4" ht="25.95" customHeight="1" x14ac:dyDescent="0.3">
      <c r="A350" s="25">
        <v>45138</v>
      </c>
      <c r="B350" s="24" t="s">
        <v>3</v>
      </c>
      <c r="C350" s="24">
        <v>3228</v>
      </c>
      <c r="D350" s="26">
        <f t="shared" si="5"/>
        <v>4.3984476067270295E-2</v>
      </c>
    </row>
    <row r="351" spans="1:4" ht="25.95" customHeight="1" x14ac:dyDescent="0.3">
      <c r="A351" s="25">
        <v>45169</v>
      </c>
      <c r="B351" s="24" t="s">
        <v>3</v>
      </c>
      <c r="C351" s="24">
        <v>3175</v>
      </c>
      <c r="D351" s="26">
        <f t="shared" si="5"/>
        <v>-1.6418835192069436E-2</v>
      </c>
    </row>
    <row r="352" spans="1:4" ht="25.95" customHeight="1" x14ac:dyDescent="0.3">
      <c r="A352" s="25">
        <v>45199</v>
      </c>
      <c r="B352" s="24" t="s">
        <v>3</v>
      </c>
      <c r="C352" s="24">
        <v>3337</v>
      </c>
      <c r="D352" s="26">
        <f t="shared" si="5"/>
        <v>5.1023622047244199E-2</v>
      </c>
    </row>
    <row r="353" spans="1:4" ht="25.95" customHeight="1" x14ac:dyDescent="0.3">
      <c r="A353" s="25">
        <v>45230</v>
      </c>
      <c r="B353" s="24" t="s">
        <v>3</v>
      </c>
      <c r="C353" s="24">
        <v>3186</v>
      </c>
      <c r="D353" s="26">
        <f t="shared" si="5"/>
        <v>-4.5250224752771961E-2</v>
      </c>
    </row>
    <row r="354" spans="1:4" ht="25.95" customHeight="1" x14ac:dyDescent="0.3">
      <c r="A354" s="25">
        <v>45260</v>
      </c>
      <c r="B354" s="24" t="s">
        <v>3</v>
      </c>
      <c r="C354" s="24">
        <v>3307</v>
      </c>
      <c r="D354" s="26">
        <f t="shared" si="5"/>
        <v>3.7978656622724483E-2</v>
      </c>
    </row>
    <row r="355" spans="1:4" ht="25.95" customHeight="1" x14ac:dyDescent="0.3">
      <c r="A355" s="25">
        <v>45291</v>
      </c>
      <c r="B355" s="24" t="s">
        <v>3</v>
      </c>
      <c r="C355" s="24">
        <v>3597</v>
      </c>
      <c r="D355" s="26">
        <f t="shared" si="5"/>
        <v>8.7692772905957117E-2</v>
      </c>
    </row>
    <row r="356" spans="1:4" ht="25.95" customHeight="1" x14ac:dyDescent="0.3">
      <c r="A356" s="25">
        <v>45322</v>
      </c>
      <c r="B356" s="24" t="s">
        <v>3</v>
      </c>
      <c r="C356" s="24">
        <v>3618</v>
      </c>
      <c r="D356" s="26">
        <f t="shared" si="5"/>
        <v>5.8381984987490032E-3</v>
      </c>
    </row>
    <row r="357" spans="1:4" ht="25.95" customHeight="1" x14ac:dyDescent="0.3">
      <c r="A357" s="25">
        <v>45351</v>
      </c>
      <c r="B357" s="24" t="s">
        <v>3</v>
      </c>
      <c r="C357" s="24">
        <v>3910</v>
      </c>
      <c r="D357" s="26">
        <f t="shared" si="5"/>
        <v>8.0707573244886754E-2</v>
      </c>
    </row>
    <row r="358" spans="1:4" ht="25.95" customHeight="1" x14ac:dyDescent="0.3">
      <c r="A358" s="25">
        <v>45382</v>
      </c>
      <c r="B358" s="24" t="s">
        <v>3</v>
      </c>
      <c r="C358" s="24">
        <v>3701</v>
      </c>
      <c r="D358" s="26">
        <f t="shared" si="5"/>
        <v>-5.3452685421994883E-2</v>
      </c>
    </row>
    <row r="359" spans="1:4" ht="25.95" customHeight="1" x14ac:dyDescent="0.3">
      <c r="A359" s="25">
        <v>45412</v>
      </c>
      <c r="B359" s="24" t="s">
        <v>3</v>
      </c>
      <c r="C359" s="24">
        <v>3648</v>
      </c>
      <c r="D359" s="26">
        <f t="shared" si="5"/>
        <v>-1.4320453931369936E-2</v>
      </c>
    </row>
    <row r="360" spans="1:4" ht="25.95" customHeight="1" x14ac:dyDescent="0.3">
      <c r="A360" s="25">
        <v>45443</v>
      </c>
      <c r="B360" s="24" t="s">
        <v>3</v>
      </c>
      <c r="C360" s="24">
        <v>3505</v>
      </c>
      <c r="D360" s="26">
        <f t="shared" si="5"/>
        <v>-3.9199561403508776E-2</v>
      </c>
    </row>
    <row r="361" spans="1:4" ht="25.95" customHeight="1" x14ac:dyDescent="0.3">
      <c r="A361" s="25">
        <v>45473</v>
      </c>
      <c r="B361" s="24" t="s">
        <v>3</v>
      </c>
      <c r="C361" s="24">
        <v>3755</v>
      </c>
      <c r="D361" s="26">
        <f t="shared" si="5"/>
        <v>7.1326676176890258E-2</v>
      </c>
    </row>
    <row r="362" spans="1:4" ht="25.95" customHeight="1" x14ac:dyDescent="0.3">
      <c r="A362" s="25">
        <v>45504</v>
      </c>
      <c r="B362" s="24" t="s">
        <v>3</v>
      </c>
      <c r="C362" s="24">
        <v>4218</v>
      </c>
      <c r="D362" s="26">
        <f t="shared" si="5"/>
        <v>0.12330226364846864</v>
      </c>
    </row>
    <row r="363" spans="1:4" ht="25.95" customHeight="1" x14ac:dyDescent="0.3">
      <c r="A363" s="25">
        <v>45535</v>
      </c>
      <c r="B363" s="24" t="s">
        <v>3</v>
      </c>
      <c r="C363" s="24">
        <v>4390</v>
      </c>
      <c r="D363" s="26">
        <f t="shared" si="5"/>
        <v>4.0777619724988057E-2</v>
      </c>
    </row>
    <row r="364" spans="1:4" ht="25.95" customHeight="1" x14ac:dyDescent="0.3">
      <c r="A364" s="25">
        <v>45565</v>
      </c>
      <c r="B364" s="24" t="s">
        <v>3</v>
      </c>
      <c r="C364" s="24">
        <v>4115</v>
      </c>
      <c r="D364" s="26">
        <f t="shared" si="5"/>
        <v>-6.2642369020501132E-2</v>
      </c>
    </row>
    <row r="365" spans="1:4" ht="25.95" customHeight="1" x14ac:dyDescent="0.3">
      <c r="A365" s="25">
        <v>45596</v>
      </c>
      <c r="B365" s="24" t="s">
        <v>3</v>
      </c>
      <c r="C365" s="24">
        <v>3826</v>
      </c>
      <c r="D365" s="26">
        <f t="shared" si="5"/>
        <v>-7.0230862697448382E-2</v>
      </c>
    </row>
    <row r="366" spans="1:4" ht="25.95" customHeight="1" x14ac:dyDescent="0.3">
      <c r="A366" s="25">
        <v>45626</v>
      </c>
      <c r="B366" s="24" t="s">
        <v>3</v>
      </c>
      <c r="C366" s="24">
        <v>4127</v>
      </c>
      <c r="D366" s="26">
        <f t="shared" si="5"/>
        <v>7.8672242550967164E-2</v>
      </c>
    </row>
    <row r="367" spans="1:4" ht="25.95" customHeight="1" x14ac:dyDescent="0.3">
      <c r="A367" s="25">
        <v>45657</v>
      </c>
      <c r="B367" s="24" t="s">
        <v>3</v>
      </c>
      <c r="C367" s="24">
        <v>3957</v>
      </c>
      <c r="D367" s="26">
        <f t="shared" si="5"/>
        <v>-4.1192149260964372E-2</v>
      </c>
    </row>
  </sheetData>
  <mergeCells count="4">
    <mergeCell ref="A4:Q4"/>
    <mergeCell ref="E5:J41"/>
    <mergeCell ref="Q5:Q41"/>
    <mergeCell ref="K41:P4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EB35-B8C4-4D2E-AE1D-FF786B3016B5}">
  <dimension ref="A1:N24"/>
  <sheetViews>
    <sheetView zoomScale="86" zoomScaleNormal="80" workbookViewId="0">
      <selection activeCell="L5" sqref="L5:N23"/>
    </sheetView>
  </sheetViews>
  <sheetFormatPr defaultColWidth="16.77734375" defaultRowHeight="30" customHeight="1" x14ac:dyDescent="0.3"/>
  <cols>
    <col min="2" max="2" width="24.44140625" customWidth="1"/>
    <col min="3" max="3" width="22.5546875" customWidth="1"/>
    <col min="4" max="4" width="22.109375" customWidth="1"/>
    <col min="5" max="5" width="26.5546875" customWidth="1"/>
  </cols>
  <sheetData>
    <row r="1" spans="1:14" ht="30" customHeight="1" x14ac:dyDescent="0.65"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4" ht="30" customHeight="1" x14ac:dyDescent="0.3">
      <c r="A2" s="3"/>
      <c r="B2" s="3"/>
      <c r="C2" s="3"/>
      <c r="D2" s="3"/>
      <c r="E2" s="3"/>
      <c r="F2" s="3"/>
      <c r="G2" s="3"/>
    </row>
    <row r="3" spans="1:14" ht="30" customHeight="1" x14ac:dyDescent="0.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44.4" customHeight="1" x14ac:dyDescent="0.3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4" ht="39" customHeight="1" x14ac:dyDescent="0.3">
      <c r="A5" s="67"/>
      <c r="B5" s="23" t="s">
        <v>12</v>
      </c>
      <c r="C5" s="27" t="s">
        <v>10</v>
      </c>
      <c r="D5" s="27" t="s">
        <v>11</v>
      </c>
      <c r="E5" s="27" t="s">
        <v>16</v>
      </c>
      <c r="F5" s="67"/>
      <c r="G5" s="67"/>
      <c r="L5" s="67"/>
      <c r="M5" s="67"/>
      <c r="N5" s="67"/>
    </row>
    <row r="6" spans="1:14" ht="30" customHeight="1" x14ac:dyDescent="0.3">
      <c r="A6" s="67"/>
      <c r="B6" s="30" t="s">
        <v>8</v>
      </c>
      <c r="C6" s="31">
        <f>AVERAGEIF(Monthly_Returns!B8:B367,Asset_Risk_Return!B6,Monthly_Returns!D8:D367)</f>
        <v>5.8568961962961316E-3</v>
      </c>
      <c r="D6" s="31" cm="1">
        <f t="array" ref="D6">_xlfn.STDEV.S(IF(Monthly_Returns!B8:B367=Asset_Risk_Return!B6,Monthly_Returns!D8:D367))</f>
        <v>6.7702959203976929E-3</v>
      </c>
      <c r="E6" s="30" t="str">
        <f>IF(D6&lt;0.01,"Very Low",IF(D6&lt;0.04,"Low",IF(D6&lt;0.07,"Medium","High")))</f>
        <v>Very Low</v>
      </c>
      <c r="F6" s="67"/>
      <c r="G6" s="67"/>
      <c r="L6" s="67"/>
      <c r="M6" s="67"/>
      <c r="N6" s="67"/>
    </row>
    <row r="7" spans="1:14" ht="30" customHeight="1" x14ac:dyDescent="0.3">
      <c r="A7" s="67"/>
      <c r="B7" s="30" t="s">
        <v>7</v>
      </c>
      <c r="C7" s="31">
        <f>AVERAGEIF(Monthly_Returns!B9:B367,Asset_Risk_Return!B7,Monthly_Returns!D9:D367)</f>
        <v>1.0646008787383025E-2</v>
      </c>
      <c r="D7" s="31" cm="1">
        <f t="array" ref="D7">_xlfn.STDEV.S(IF(Monthly_Returns!B9:B367=Asset_Risk_Return!B7,Monthly_Returns!D9:D367))</f>
        <v>4.1972858072973664E-2</v>
      </c>
      <c r="E7" s="30" t="str">
        <f t="shared" ref="E7:E11" si="0">IF(D7&lt;0.01,"Very Low",IF(D7&lt;0.04,"Low",IF(D7&lt;0.07,"Medium","High")))</f>
        <v>Medium</v>
      </c>
      <c r="F7" s="67"/>
      <c r="G7" s="67"/>
      <c r="L7" s="67"/>
      <c r="M7" s="67"/>
      <c r="N7" s="67"/>
    </row>
    <row r="8" spans="1:14" ht="30" customHeight="1" x14ac:dyDescent="0.3">
      <c r="A8" s="67"/>
      <c r="B8" s="30" t="s">
        <v>6</v>
      </c>
      <c r="C8" s="31">
        <f>AVERAGEIF(Monthly_Returns!B10:B367,Asset_Risk_Return!B8,Monthly_Returns!D10:D367)</f>
        <v>9.6417272106101432E-3</v>
      </c>
      <c r="D8" s="31" cm="1">
        <f t="array" ref="D8">_xlfn.STDEV.S(IF(Monthly_Returns!B10:B367=Asset_Risk_Return!B8,Monthly_Returns!D10:D367))</f>
        <v>7.2919616765178441E-2</v>
      </c>
      <c r="E8" s="30" t="str">
        <f t="shared" si="0"/>
        <v>High</v>
      </c>
      <c r="F8" s="67"/>
      <c r="G8" s="67"/>
      <c r="L8" s="67"/>
      <c r="M8" s="67"/>
      <c r="N8" s="67"/>
    </row>
    <row r="9" spans="1:14" ht="30" customHeight="1" x14ac:dyDescent="0.3">
      <c r="A9" s="67"/>
      <c r="B9" s="30" t="s">
        <v>5</v>
      </c>
      <c r="C9" s="31">
        <f>AVERAGEIF(Monthly_Returns!B11:B367,Asset_Risk_Return!B9,Monthly_Returns!D11:D367)</f>
        <v>1.8334467620953452E-2</v>
      </c>
      <c r="D9" s="31" cm="1">
        <f t="array" ref="D9">_xlfn.STDEV.S(IF(Monthly_Returns!B11:B367=Asset_Risk_Return!B9,Monthly_Returns!D11:D367))</f>
        <v>6.8904343847184552E-2</v>
      </c>
      <c r="E9" s="30" t="str">
        <f t="shared" si="0"/>
        <v>Medium</v>
      </c>
      <c r="F9" s="67"/>
      <c r="G9" s="67"/>
      <c r="L9" s="67"/>
      <c r="M9" s="67"/>
      <c r="N9" s="67"/>
    </row>
    <row r="10" spans="1:14" ht="30" customHeight="1" x14ac:dyDescent="0.3">
      <c r="A10" s="67"/>
      <c r="B10" s="30" t="s">
        <v>4</v>
      </c>
      <c r="C10" s="31">
        <f>AVERAGEIF(Monthly_Returns!B12:B367,Asset_Risk_Return!B10,Monthly_Returns!D12:D367)</f>
        <v>1.3142797158466548E-2</v>
      </c>
      <c r="D10" s="31" cm="1">
        <f t="array" ref="D10">_xlfn.STDEV.S(IF(Monthly_Returns!B12:B367=Asset_Risk_Return!B10,Monthly_Returns!D12:D367))</f>
        <v>5.459361928166586E-2</v>
      </c>
      <c r="E10" s="30" t="str">
        <f t="shared" si="0"/>
        <v>Medium</v>
      </c>
      <c r="F10" s="67"/>
      <c r="G10" s="67"/>
      <c r="L10" s="67"/>
      <c r="M10" s="67"/>
      <c r="N10" s="67"/>
    </row>
    <row r="11" spans="1:14" ht="30" customHeight="1" x14ac:dyDescent="0.3">
      <c r="A11" s="67"/>
      <c r="B11" s="30" t="s">
        <v>3</v>
      </c>
      <c r="C11" s="31">
        <f>AVERAGEIF(Monthly_Returns!B13:B367,Asset_Risk_Return!B11,Monthly_Returns!D13:D367)</f>
        <v>1.5065964197018106E-2</v>
      </c>
      <c r="D11" s="31" cm="1">
        <f t="array" ref="D11">_xlfn.STDEV.S(IF(Monthly_Returns!B13:B367=Asset_Risk_Return!B11,Monthly_Returns!D13:D367))</f>
        <v>6.1886072437675341E-2</v>
      </c>
      <c r="E11" s="30" t="str">
        <f t="shared" si="0"/>
        <v>Medium</v>
      </c>
      <c r="F11" s="67"/>
      <c r="G11" s="67"/>
      <c r="L11" s="67"/>
      <c r="M11" s="67"/>
      <c r="N11" s="67"/>
    </row>
    <row r="12" spans="1:14" ht="30" customHeight="1" x14ac:dyDescent="0.3">
      <c r="A12" s="67"/>
      <c r="B12" s="67"/>
      <c r="C12" s="67"/>
      <c r="D12" s="67"/>
      <c r="E12" s="67"/>
      <c r="F12" s="67"/>
      <c r="G12" s="67"/>
      <c r="L12" s="67"/>
      <c r="M12" s="67"/>
      <c r="N12" s="67"/>
    </row>
    <row r="13" spans="1:14" ht="30" customHeight="1" x14ac:dyDescent="0.3">
      <c r="A13" s="67"/>
      <c r="F13" s="67"/>
      <c r="G13" s="67"/>
      <c r="L13" s="67"/>
      <c r="M13" s="67"/>
      <c r="N13" s="67"/>
    </row>
    <row r="14" spans="1:14" ht="30" customHeight="1" x14ac:dyDescent="0.3">
      <c r="A14" s="67"/>
      <c r="F14" s="67"/>
      <c r="G14" s="67"/>
      <c r="L14" s="67"/>
      <c r="M14" s="67"/>
      <c r="N14" s="67"/>
    </row>
    <row r="15" spans="1:14" ht="30" customHeight="1" x14ac:dyDescent="0.3">
      <c r="A15" s="67"/>
      <c r="F15" s="67"/>
      <c r="G15" s="67"/>
      <c r="L15" s="67"/>
      <c r="M15" s="67"/>
      <c r="N15" s="67"/>
    </row>
    <row r="16" spans="1:14" ht="30" customHeight="1" x14ac:dyDescent="0.3">
      <c r="A16" s="67"/>
      <c r="F16" s="67"/>
      <c r="G16" s="67"/>
      <c r="L16" s="67"/>
      <c r="M16" s="67"/>
      <c r="N16" s="67"/>
    </row>
    <row r="17" spans="1:14" ht="30" customHeight="1" x14ac:dyDescent="0.3">
      <c r="A17" s="67"/>
      <c r="F17" s="67"/>
      <c r="G17" s="67"/>
      <c r="L17" s="67"/>
      <c r="M17" s="67"/>
      <c r="N17" s="67"/>
    </row>
    <row r="18" spans="1:14" ht="30" customHeight="1" x14ac:dyDescent="0.3">
      <c r="A18" s="67"/>
      <c r="F18" s="67"/>
      <c r="G18" s="67"/>
      <c r="L18" s="67"/>
      <c r="M18" s="67"/>
      <c r="N18" s="67"/>
    </row>
    <row r="19" spans="1:14" ht="30" customHeight="1" x14ac:dyDescent="0.3">
      <c r="A19" s="67"/>
      <c r="F19" s="67"/>
      <c r="G19" s="67"/>
      <c r="L19" s="67"/>
      <c r="M19" s="67"/>
      <c r="N19" s="67"/>
    </row>
    <row r="20" spans="1:14" ht="30" customHeight="1" x14ac:dyDescent="0.3">
      <c r="A20" s="67"/>
      <c r="F20" s="67"/>
      <c r="G20" s="67"/>
      <c r="L20" s="67"/>
      <c r="M20" s="67"/>
      <c r="N20" s="67"/>
    </row>
    <row r="21" spans="1:14" ht="30" customHeight="1" x14ac:dyDescent="0.3">
      <c r="A21" s="67"/>
      <c r="F21" s="67"/>
      <c r="G21" s="67"/>
      <c r="L21" s="67"/>
      <c r="M21" s="67"/>
      <c r="N21" s="67"/>
    </row>
    <row r="22" spans="1:14" ht="30" customHeight="1" x14ac:dyDescent="0.3">
      <c r="A22" s="67"/>
      <c r="F22" s="67"/>
      <c r="G22" s="67"/>
      <c r="L22" s="67"/>
      <c r="M22" s="67"/>
      <c r="N22" s="67"/>
    </row>
    <row r="23" spans="1:14" ht="30" customHeight="1" x14ac:dyDescent="0.3">
      <c r="A23" s="67"/>
      <c r="F23" s="67"/>
      <c r="G23" s="67"/>
      <c r="L23" s="67"/>
      <c r="M23" s="67"/>
      <c r="N23" s="67"/>
    </row>
    <row r="24" spans="1:14" ht="30" customHeight="1" x14ac:dyDescent="0.3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</sheetData>
  <mergeCells count="6">
    <mergeCell ref="A3:N4"/>
    <mergeCell ref="A5:A24"/>
    <mergeCell ref="B24:N24"/>
    <mergeCell ref="B12:E12"/>
    <mergeCell ref="F5:G23"/>
    <mergeCell ref="L5:N2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8835-6C73-44DC-B288-19E75D39549D}">
  <dimension ref="A3:O64"/>
  <sheetViews>
    <sheetView zoomScale="80" zoomScaleNormal="100" workbookViewId="0">
      <selection activeCell="P17" sqref="P17"/>
    </sheetView>
  </sheetViews>
  <sheetFormatPr defaultColWidth="17.77734375" defaultRowHeight="25.95" customHeight="1" x14ac:dyDescent="0.3"/>
  <sheetData>
    <row r="3" spans="1:15" ht="25.95" customHeight="1" x14ac:dyDescent="0.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5" ht="25.95" customHeight="1" x14ac:dyDescent="0.3">
      <c r="A4" s="6" t="s">
        <v>13</v>
      </c>
      <c r="B4" s="6" t="s">
        <v>1</v>
      </c>
      <c r="H4" s="67"/>
      <c r="I4" s="67"/>
      <c r="J4" s="67"/>
      <c r="O4" s="67"/>
    </row>
    <row r="5" spans="1:15" ht="25.95" customHeight="1" x14ac:dyDescent="0.3">
      <c r="A5" s="33" t="s">
        <v>0</v>
      </c>
      <c r="B5" s="23" t="s">
        <v>8</v>
      </c>
      <c r="C5" s="23" t="s">
        <v>7</v>
      </c>
      <c r="D5" s="23" t="s">
        <v>6</v>
      </c>
      <c r="E5" s="23" t="s">
        <v>5</v>
      </c>
      <c r="F5" s="23" t="s">
        <v>4</v>
      </c>
      <c r="G5" s="23" t="s">
        <v>3</v>
      </c>
      <c r="H5" s="67"/>
      <c r="I5" s="67"/>
      <c r="J5" s="67"/>
      <c r="O5" s="67"/>
    </row>
    <row r="6" spans="1:15" ht="25.95" customHeight="1" x14ac:dyDescent="0.3">
      <c r="A6" s="34">
        <v>43890</v>
      </c>
      <c r="B6" s="35">
        <v>1.717395000850197E-2</v>
      </c>
      <c r="C6" s="35">
        <v>2.7777777777777679E-2</v>
      </c>
      <c r="D6" s="35">
        <v>-3.9586919104991347E-2</v>
      </c>
      <c r="E6" s="35">
        <v>-0.15846994535519121</v>
      </c>
      <c r="F6" s="35">
        <v>-6.3534525998996783E-2</v>
      </c>
      <c r="G6" s="35">
        <v>-3.5675082327113028E-2</v>
      </c>
      <c r="H6" s="67"/>
      <c r="I6" s="67"/>
      <c r="J6" s="67"/>
      <c r="O6" s="67"/>
    </row>
    <row r="7" spans="1:15" ht="25.95" customHeight="1" x14ac:dyDescent="0.3">
      <c r="A7" s="36">
        <v>43921</v>
      </c>
      <c r="B7" s="17">
        <v>6.4308571974425188E-3</v>
      </c>
      <c r="C7" s="17">
        <v>2.7027027027026973E-2</v>
      </c>
      <c r="D7" s="17">
        <v>-0.26881720430107525</v>
      </c>
      <c r="E7" s="17">
        <v>-0.12987012987012991</v>
      </c>
      <c r="F7" s="17">
        <v>-0.23245848955543658</v>
      </c>
      <c r="G7" s="17">
        <v>-8.7080250426863959E-2</v>
      </c>
      <c r="H7" s="67"/>
      <c r="I7" s="67"/>
      <c r="J7" s="67"/>
      <c r="O7" s="67"/>
    </row>
    <row r="8" spans="1:15" ht="25.95" customHeight="1" x14ac:dyDescent="0.3">
      <c r="A8" s="34">
        <v>43951</v>
      </c>
      <c r="B8" s="35">
        <v>3.7287756395665284E-5</v>
      </c>
      <c r="C8" s="35">
        <v>0.13157894736842102</v>
      </c>
      <c r="D8" s="35">
        <v>0.16176470588235303</v>
      </c>
      <c r="E8" s="35">
        <v>5.9701492537313383E-2</v>
      </c>
      <c r="F8" s="35">
        <v>0.14677832053966045</v>
      </c>
      <c r="G8" s="35">
        <v>0.11159600997506236</v>
      </c>
      <c r="H8" s="67"/>
      <c r="I8" s="67"/>
      <c r="J8" s="67"/>
      <c r="O8" s="67"/>
    </row>
    <row r="9" spans="1:15" ht="25.95" customHeight="1" x14ac:dyDescent="0.3">
      <c r="A9" s="36">
        <v>43982</v>
      </c>
      <c r="B9" s="17">
        <v>2.4893733856698352E-2</v>
      </c>
      <c r="C9" s="17">
        <v>-4.6511627906976716E-2</v>
      </c>
      <c r="D9" s="17">
        <v>-4.8523206751054815E-2</v>
      </c>
      <c r="E9" s="17">
        <v>8.4507042253521236E-2</v>
      </c>
      <c r="F9" s="17">
        <v>-2.8397565922920864E-2</v>
      </c>
      <c r="G9" s="17">
        <v>-2.1312394840157012E-2</v>
      </c>
      <c r="H9" s="67"/>
      <c r="I9" s="67"/>
      <c r="J9" s="67"/>
      <c r="O9" s="67"/>
    </row>
    <row r="10" spans="1:15" ht="25.95" customHeight="1" x14ac:dyDescent="0.3">
      <c r="A10" s="34">
        <v>44012</v>
      </c>
      <c r="B10" s="35">
        <v>1.5187294531647799E-2</v>
      </c>
      <c r="C10" s="35">
        <v>4.8780487804878092E-2</v>
      </c>
      <c r="D10" s="35">
        <v>0.1197339246119733</v>
      </c>
      <c r="E10" s="35">
        <v>-1.2987012987012991E-2</v>
      </c>
      <c r="F10" s="35">
        <v>7.5365344467640982E-2</v>
      </c>
      <c r="G10" s="35">
        <v>5.6160458452721995E-2</v>
      </c>
      <c r="H10" s="67"/>
      <c r="I10" s="67"/>
      <c r="J10" s="67"/>
      <c r="O10" s="67"/>
    </row>
    <row r="11" spans="1:15" ht="25.95" customHeight="1" x14ac:dyDescent="0.3">
      <c r="A11" s="36">
        <v>44043</v>
      </c>
      <c r="B11" s="17">
        <v>1.693435412933697E-2</v>
      </c>
      <c r="C11" s="17">
        <v>9.3023255813953432E-2</v>
      </c>
      <c r="D11" s="17">
        <v>-3.1683168316831711E-2</v>
      </c>
      <c r="E11" s="17">
        <v>-6.5789473684210176E-3</v>
      </c>
      <c r="F11" s="17">
        <v>7.4839836924869063E-2</v>
      </c>
      <c r="G11" s="17">
        <v>9.8752034725990256E-2</v>
      </c>
      <c r="H11" s="67"/>
      <c r="I11" s="67"/>
      <c r="J11" s="67"/>
      <c r="O11" s="67"/>
    </row>
    <row r="12" spans="1:15" ht="25.95" customHeight="1" x14ac:dyDescent="0.3">
      <c r="A12" s="34">
        <v>44074</v>
      </c>
      <c r="B12" s="35">
        <v>-5.5838896933505522E-3</v>
      </c>
      <c r="C12" s="35">
        <v>-4.2553191489361653E-2</v>
      </c>
      <c r="D12" s="35">
        <v>7.9754601226993849E-2</v>
      </c>
      <c r="E12" s="35">
        <v>3.3112582781456901E-2</v>
      </c>
      <c r="F12" s="35">
        <v>2.8447575182877216E-2</v>
      </c>
      <c r="G12" s="35">
        <v>-8.3950617283951035E-3</v>
      </c>
      <c r="H12" s="67"/>
      <c r="I12" s="67"/>
      <c r="J12" s="67"/>
      <c r="O12" s="67"/>
    </row>
    <row r="13" spans="1:15" ht="25.95" customHeight="1" x14ac:dyDescent="0.3">
      <c r="A13" s="36">
        <v>44104</v>
      </c>
      <c r="B13" s="17">
        <v>5.4960454889578791E-3</v>
      </c>
      <c r="C13" s="17">
        <v>-2.2222222222222254E-2</v>
      </c>
      <c r="D13" s="17">
        <v>-3.2196969696969724E-2</v>
      </c>
      <c r="E13" s="17">
        <v>-9.6153846153846145E-2</v>
      </c>
      <c r="F13" s="17">
        <v>-1.2293642430628693E-2</v>
      </c>
      <c r="G13" s="17">
        <v>0.10408366533864544</v>
      </c>
      <c r="H13" s="67"/>
      <c r="I13" s="67"/>
      <c r="J13" s="67"/>
      <c r="O13" s="67"/>
    </row>
    <row r="14" spans="1:15" ht="25.95" customHeight="1" x14ac:dyDescent="0.3">
      <c r="A14" s="34">
        <v>44135</v>
      </c>
      <c r="B14" s="35">
        <v>1.8313997263794013E-2</v>
      </c>
      <c r="C14" s="35">
        <v>0</v>
      </c>
      <c r="D14" s="35">
        <v>9.784735812133083E-2</v>
      </c>
      <c r="E14" s="35">
        <v>-4.2553191489361653E-2</v>
      </c>
      <c r="F14" s="35">
        <v>3.5028449502133796E-2</v>
      </c>
      <c r="G14" s="35">
        <v>6.9463238610735223E-2</v>
      </c>
      <c r="H14" s="67"/>
      <c r="I14" s="67"/>
      <c r="J14" s="67"/>
      <c r="O14" s="67"/>
    </row>
    <row r="15" spans="1:15" ht="25.95" customHeight="1" x14ac:dyDescent="0.3">
      <c r="A15" s="36">
        <v>44165</v>
      </c>
      <c r="B15" s="17">
        <v>6.5853435988763032E-3</v>
      </c>
      <c r="C15" s="17">
        <v>-2.2727272727272707E-2</v>
      </c>
      <c r="D15" s="17">
        <v>0.21568627450980382</v>
      </c>
      <c r="E15" s="17">
        <v>0.17777777777777781</v>
      </c>
      <c r="F15" s="17">
        <v>0.11398385157189495</v>
      </c>
      <c r="G15" s="17">
        <v>9.7005482918599562E-3</v>
      </c>
      <c r="H15" s="67"/>
      <c r="I15" s="67"/>
      <c r="J15" s="67"/>
      <c r="O15" s="67"/>
    </row>
    <row r="16" spans="1:15" ht="25.95" customHeight="1" x14ac:dyDescent="0.3">
      <c r="A16" s="34">
        <v>44196</v>
      </c>
      <c r="B16" s="35">
        <v>2.9913728432107156E-3</v>
      </c>
      <c r="C16" s="35">
        <v>2.3255813953488413E-2</v>
      </c>
      <c r="D16" s="35">
        <v>-2.9325513196480912E-3</v>
      </c>
      <c r="E16" s="35">
        <v>7.547169811320753E-2</v>
      </c>
      <c r="F16" s="35">
        <v>7.8109337651322441E-2</v>
      </c>
      <c r="G16" s="35">
        <v>6.8086883876357529E-2</v>
      </c>
      <c r="H16" s="67"/>
      <c r="I16" s="67"/>
      <c r="J16" s="67"/>
      <c r="O16" s="67"/>
    </row>
    <row r="17" spans="1:15" ht="25.95" customHeight="1" x14ac:dyDescent="0.3">
      <c r="A17" s="36">
        <v>44227</v>
      </c>
      <c r="B17" s="17">
        <v>-1.234117746052199E-3</v>
      </c>
      <c r="C17" s="17">
        <v>-2.2727272727272707E-2</v>
      </c>
      <c r="D17" s="17">
        <v>-3.0882352941176472E-2</v>
      </c>
      <c r="E17" s="17">
        <v>-2.9239766081871399E-2</v>
      </c>
      <c r="F17" s="17">
        <v>-2.4817622657702709E-2</v>
      </c>
      <c r="G17" s="17">
        <v>8.7211576065701957E-2</v>
      </c>
      <c r="H17" s="67"/>
      <c r="I17" s="67"/>
      <c r="J17" s="67"/>
      <c r="O17" s="67"/>
    </row>
    <row r="18" spans="1:15" ht="25.95" customHeight="1" x14ac:dyDescent="0.3">
      <c r="A18" s="34">
        <v>44255</v>
      </c>
      <c r="B18" s="35">
        <v>-1.3888498850165742E-2</v>
      </c>
      <c r="C18" s="35">
        <v>-6.9767441860465129E-2</v>
      </c>
      <c r="D18" s="35">
        <v>0.103186646433991</v>
      </c>
      <c r="E18" s="35">
        <v>6.0240963855422436E-3</v>
      </c>
      <c r="F18" s="35">
        <v>6.5566556655665575E-2</v>
      </c>
      <c r="G18" s="35">
        <v>-6.7985611510791411E-2</v>
      </c>
      <c r="H18" s="67"/>
      <c r="I18" s="67"/>
      <c r="J18" s="67"/>
      <c r="K18" s="67"/>
      <c r="L18" s="67"/>
      <c r="M18" s="67"/>
      <c r="N18" s="67"/>
      <c r="O18" s="67"/>
    </row>
    <row r="19" spans="1:15" ht="25.95" customHeight="1" x14ac:dyDescent="0.3">
      <c r="A19" s="36">
        <v>44286</v>
      </c>
      <c r="B19" s="17">
        <v>1.2590576843970469E-2</v>
      </c>
      <c r="C19" s="17">
        <v>-5.0000000000000044E-2</v>
      </c>
      <c r="D19" s="17">
        <v>-2.751031636863821E-2</v>
      </c>
      <c r="E19" s="17">
        <v>9.5808383233533023E-2</v>
      </c>
      <c r="F19" s="17">
        <v>1.1150113565971509E-2</v>
      </c>
      <c r="G19" s="17">
        <v>9.7645696642223001E-2</v>
      </c>
      <c r="H19" s="67"/>
      <c r="I19" s="67"/>
      <c r="J19" s="67"/>
      <c r="K19" s="67"/>
      <c r="L19" s="67"/>
      <c r="M19" s="67"/>
      <c r="N19" s="67"/>
      <c r="O19" s="67"/>
    </row>
    <row r="20" spans="1:15" ht="25.95" customHeight="1" x14ac:dyDescent="0.3">
      <c r="A20" s="34">
        <v>44316</v>
      </c>
      <c r="B20" s="35">
        <v>9.2653644116260647E-3</v>
      </c>
      <c r="C20" s="35">
        <v>7.8947368421052655E-2</v>
      </c>
      <c r="D20" s="35">
        <v>-5.3748231966053717E-2</v>
      </c>
      <c r="E20" s="35">
        <v>-7.1038251366120186E-2</v>
      </c>
      <c r="F20" s="35">
        <v>-4.0841331427404759E-3</v>
      </c>
      <c r="G20" s="35">
        <v>-4.4655414908579494E-2</v>
      </c>
      <c r="H20" s="67"/>
      <c r="I20" s="67"/>
      <c r="J20" s="67"/>
      <c r="K20" s="67"/>
      <c r="L20" s="67"/>
      <c r="M20" s="67"/>
      <c r="N20" s="67"/>
      <c r="O20" s="67"/>
    </row>
    <row r="21" spans="1:15" ht="25.95" customHeight="1" x14ac:dyDescent="0.3">
      <c r="A21" s="36">
        <v>44347</v>
      </c>
      <c r="B21" s="17">
        <v>4.4492745546078627E-3</v>
      </c>
      <c r="C21" s="17">
        <v>4.8780487804878092E-2</v>
      </c>
      <c r="D21" s="17">
        <v>7.3243647234678688E-2</v>
      </c>
      <c r="E21" s="17">
        <v>7.0588235294117618E-2</v>
      </c>
      <c r="F21" s="17">
        <v>6.5067322807736971E-2</v>
      </c>
      <c r="G21" s="17">
        <v>4.0853882959146048E-2</v>
      </c>
      <c r="H21" s="67"/>
      <c r="I21" s="67"/>
      <c r="J21" s="67"/>
      <c r="K21" s="67"/>
      <c r="L21" s="67"/>
      <c r="M21" s="67"/>
      <c r="N21" s="67"/>
      <c r="O21" s="67"/>
    </row>
    <row r="22" spans="1:15" ht="25.95" customHeight="1" x14ac:dyDescent="0.3">
      <c r="A22" s="34">
        <v>44377</v>
      </c>
      <c r="B22" s="35">
        <v>7.0281217344669855E-4</v>
      </c>
      <c r="C22" s="35">
        <v>-4.6511627906976716E-2</v>
      </c>
      <c r="D22" s="35">
        <v>-1.2534818941504211E-2</v>
      </c>
      <c r="E22" s="35">
        <v>-6.5934065934065922E-2</v>
      </c>
      <c r="F22" s="35">
        <v>8.9199768979015825E-3</v>
      </c>
      <c r="G22" s="35">
        <v>6.4002828854313965E-2</v>
      </c>
      <c r="H22" s="67"/>
      <c r="I22" s="67"/>
      <c r="J22" s="67"/>
      <c r="K22" s="67"/>
      <c r="L22" s="67"/>
      <c r="M22" s="67"/>
      <c r="N22" s="67"/>
      <c r="O22" s="67"/>
    </row>
    <row r="23" spans="1:15" ht="25.95" customHeight="1" x14ac:dyDescent="0.3">
      <c r="A23" s="36">
        <v>44408</v>
      </c>
      <c r="B23" s="17">
        <v>2.1870446865595028E-3</v>
      </c>
      <c r="C23" s="17">
        <v>2.4390243902439046E-2</v>
      </c>
      <c r="D23" s="17">
        <v>-4.3723554301833611E-2</v>
      </c>
      <c r="E23" s="17">
        <v>4.117647058823537E-2</v>
      </c>
      <c r="F23" s="17">
        <v>2.607810711105385E-3</v>
      </c>
      <c r="G23" s="17">
        <v>-5.3173811897640366E-2</v>
      </c>
      <c r="H23" s="67"/>
      <c r="I23" s="67"/>
      <c r="J23" s="67"/>
      <c r="K23" s="67"/>
      <c r="L23" s="67"/>
      <c r="M23" s="67"/>
      <c r="N23" s="67"/>
      <c r="O23" s="67"/>
    </row>
    <row r="24" spans="1:15" ht="25.95" customHeight="1" x14ac:dyDescent="0.3">
      <c r="A24" s="34">
        <v>44439</v>
      </c>
      <c r="B24" s="35">
        <v>8.8366646278303929E-3</v>
      </c>
      <c r="C24" s="35">
        <v>-2.3809523809523836E-2</v>
      </c>
      <c r="D24" s="35">
        <v>0.10914454277286145</v>
      </c>
      <c r="E24" s="35">
        <v>2.8248587570621542E-2</v>
      </c>
      <c r="F24" s="35">
        <v>8.6848950072955677E-2</v>
      </c>
      <c r="G24" s="35">
        <v>0.19796419796419795</v>
      </c>
      <c r="H24" s="67"/>
      <c r="I24" s="67"/>
      <c r="J24" s="67"/>
      <c r="K24" s="67"/>
      <c r="L24" s="67"/>
      <c r="M24" s="67"/>
      <c r="N24" s="67"/>
      <c r="O24" s="67"/>
    </row>
    <row r="25" spans="1:15" ht="25.95" customHeight="1" x14ac:dyDescent="0.3">
      <c r="A25" s="36">
        <v>44469</v>
      </c>
      <c r="B25" s="17">
        <v>7.9214195183776592E-3</v>
      </c>
      <c r="C25" s="17">
        <v>-2.4390243902439046E-2</v>
      </c>
      <c r="D25" s="17">
        <v>9.3085106382979621E-3</v>
      </c>
      <c r="E25" s="17">
        <v>0.11538461538461542</v>
      </c>
      <c r="F25" s="17">
        <v>2.8367966378706422E-2</v>
      </c>
      <c r="G25" s="17">
        <v>-2.9299736302372814E-3</v>
      </c>
      <c r="H25" s="67"/>
      <c r="I25" s="67"/>
      <c r="J25" s="67"/>
      <c r="K25" s="67"/>
      <c r="L25" s="67"/>
      <c r="M25" s="67"/>
      <c r="N25" s="67"/>
      <c r="O25" s="67"/>
    </row>
    <row r="26" spans="1:15" ht="25.95" customHeight="1" x14ac:dyDescent="0.3">
      <c r="A26" s="34">
        <v>44500</v>
      </c>
      <c r="B26" s="35">
        <v>-1.7380842985997846E-3</v>
      </c>
      <c r="C26" s="35">
        <v>5.0000000000000044E-2</v>
      </c>
      <c r="D26" s="35">
        <v>-7.905138339920903E-3</v>
      </c>
      <c r="E26" s="35">
        <v>-5.4187192118226646E-2</v>
      </c>
      <c r="F26" s="35">
        <v>3.0650471109092692E-3</v>
      </c>
      <c r="G26" s="35">
        <v>-9.9911842491918867E-2</v>
      </c>
      <c r="H26" s="67"/>
      <c r="I26" s="67"/>
      <c r="J26" s="67"/>
      <c r="K26" s="67"/>
      <c r="L26" s="67"/>
      <c r="M26" s="67"/>
      <c r="N26" s="67"/>
      <c r="O26" s="67"/>
    </row>
    <row r="27" spans="1:15" ht="25.95" customHeight="1" x14ac:dyDescent="0.3">
      <c r="A27" s="36">
        <v>44530</v>
      </c>
      <c r="B27" s="17">
        <v>7.4943451759126312E-3</v>
      </c>
      <c r="C27" s="17">
        <v>0</v>
      </c>
      <c r="D27" s="17">
        <v>-5.7104913678618807E-2</v>
      </c>
      <c r="E27" s="17">
        <v>-5.2083333333333703E-3</v>
      </c>
      <c r="F27" s="17">
        <v>-3.8988229968311416E-2</v>
      </c>
      <c r="G27" s="17">
        <v>4.0483186418543982E-2</v>
      </c>
      <c r="H27" s="67"/>
      <c r="I27" s="67"/>
      <c r="J27" s="67"/>
      <c r="K27" s="67"/>
      <c r="L27" s="67"/>
      <c r="M27" s="67"/>
      <c r="N27" s="67"/>
      <c r="O27" s="67"/>
    </row>
    <row r="28" spans="1:15" ht="25.95" customHeight="1" x14ac:dyDescent="0.3">
      <c r="A28" s="34">
        <v>44561</v>
      </c>
      <c r="B28" s="35">
        <v>-1.6680491939263797E-3</v>
      </c>
      <c r="C28" s="35">
        <v>-2.3809523809523836E-2</v>
      </c>
      <c r="D28" s="35">
        <v>-8.4507042253521014E-3</v>
      </c>
      <c r="E28" s="35">
        <v>-1.5706806282722474E-2</v>
      </c>
      <c r="F28" s="35">
        <v>2.1845374786551242E-2</v>
      </c>
      <c r="G28" s="35">
        <v>5.9303420144336316E-2</v>
      </c>
      <c r="H28" s="67"/>
      <c r="I28" s="67"/>
      <c r="J28" s="67"/>
      <c r="K28" s="67"/>
      <c r="L28" s="67"/>
      <c r="M28" s="67"/>
      <c r="N28" s="67"/>
      <c r="O28" s="67"/>
    </row>
    <row r="29" spans="1:15" ht="25.95" customHeight="1" x14ac:dyDescent="0.3">
      <c r="A29" s="36">
        <v>44592</v>
      </c>
      <c r="B29" s="17">
        <v>-5.2503394356488986E-3</v>
      </c>
      <c r="C29" s="17">
        <v>0</v>
      </c>
      <c r="D29" s="17">
        <v>4.2613636363635354E-3</v>
      </c>
      <c r="E29" s="17">
        <v>1.0638297872340496E-2</v>
      </c>
      <c r="F29" s="17">
        <v>-8.0673043678691769E-4</v>
      </c>
      <c r="G29" s="17">
        <v>-5.924170616113944E-4</v>
      </c>
      <c r="H29" s="67"/>
      <c r="I29" s="67"/>
      <c r="J29" s="67"/>
      <c r="K29" s="67"/>
      <c r="L29" s="67"/>
      <c r="M29" s="67"/>
      <c r="N29" s="67"/>
      <c r="O29" s="67"/>
    </row>
    <row r="30" spans="1:15" ht="25.95" customHeight="1" x14ac:dyDescent="0.3">
      <c r="A30" s="34">
        <v>44620</v>
      </c>
      <c r="B30" s="35">
        <v>5.5020049935690096E-3</v>
      </c>
      <c r="C30" s="35">
        <v>7.3170731707317138E-2</v>
      </c>
      <c r="D30" s="35">
        <v>-4.1018387553040991E-2</v>
      </c>
      <c r="E30" s="35">
        <v>-2.1052631578947323E-2</v>
      </c>
      <c r="F30" s="35">
        <v>-3.148788927335644E-2</v>
      </c>
      <c r="G30" s="35">
        <v>-4.6828689982216898E-2</v>
      </c>
      <c r="H30" s="67"/>
      <c r="I30" s="67"/>
      <c r="J30" s="67"/>
      <c r="K30" s="67"/>
      <c r="L30" s="67"/>
      <c r="M30" s="67"/>
      <c r="N30" s="67"/>
      <c r="O30" s="67"/>
    </row>
    <row r="31" spans="1:15" ht="25.95" customHeight="1" x14ac:dyDescent="0.3">
      <c r="A31" s="36">
        <v>44651</v>
      </c>
      <c r="B31" s="17">
        <v>1.4146272457207232E-3</v>
      </c>
      <c r="C31" s="17">
        <v>0</v>
      </c>
      <c r="D31" s="17">
        <v>3.0973451327433565E-2</v>
      </c>
      <c r="E31" s="17">
        <v>0.18817204301075274</v>
      </c>
      <c r="F31" s="17">
        <v>3.9954745742527109E-2</v>
      </c>
      <c r="G31" s="17">
        <v>5.2238805970149294E-2</v>
      </c>
      <c r="H31" s="67"/>
      <c r="I31" s="67"/>
      <c r="J31" s="67"/>
      <c r="K31" s="67"/>
      <c r="L31" s="67"/>
      <c r="M31" s="67"/>
      <c r="N31" s="67"/>
      <c r="O31" s="67"/>
    </row>
    <row r="32" spans="1:15" ht="25.95" customHeight="1" x14ac:dyDescent="0.3">
      <c r="A32" s="34">
        <v>44681</v>
      </c>
      <c r="B32" s="35">
        <v>-3.3061527502682431E-3</v>
      </c>
      <c r="C32" s="35">
        <v>2.2727272727272707E-2</v>
      </c>
      <c r="D32" s="35">
        <v>-5.7224606580829729E-2</v>
      </c>
      <c r="E32" s="35">
        <v>3.6199095022624528E-2</v>
      </c>
      <c r="F32" s="35">
        <v>-2.0727168622960201E-2</v>
      </c>
      <c r="G32" s="35">
        <v>-5.171394799054374E-2</v>
      </c>
      <c r="H32" s="67"/>
      <c r="I32" s="67"/>
      <c r="J32" s="67"/>
      <c r="K32" s="67"/>
      <c r="L32" s="67"/>
      <c r="M32" s="67"/>
      <c r="N32" s="67"/>
      <c r="O32" s="67"/>
    </row>
    <row r="33" spans="1:15" ht="25.95" customHeight="1" x14ac:dyDescent="0.3">
      <c r="A33" s="36">
        <v>44712</v>
      </c>
      <c r="B33" s="17">
        <v>-7.2343364102130936E-3</v>
      </c>
      <c r="C33" s="17">
        <v>-2.2222222222222254E-2</v>
      </c>
      <c r="D33" s="17">
        <v>3.0349013657056112E-3</v>
      </c>
      <c r="E33" s="17">
        <v>4.366812227074246E-2</v>
      </c>
      <c r="F33" s="17">
        <v>-3.0287084137285869E-2</v>
      </c>
      <c r="G33" s="17">
        <v>-5.1417887192271694E-2</v>
      </c>
      <c r="H33" s="67"/>
      <c r="I33" s="67"/>
      <c r="J33" s="67"/>
      <c r="K33" s="67"/>
      <c r="L33" s="67"/>
      <c r="M33" s="67"/>
      <c r="N33" s="67"/>
      <c r="O33" s="67"/>
    </row>
    <row r="34" spans="1:15" ht="25.95" customHeight="1" x14ac:dyDescent="0.3">
      <c r="A34" s="34">
        <v>44742</v>
      </c>
      <c r="B34" s="35">
        <v>3.9761371023103731E-3</v>
      </c>
      <c r="C34" s="35">
        <v>0</v>
      </c>
      <c r="D34" s="35">
        <v>-1.8154311649016597E-2</v>
      </c>
      <c r="E34" s="35">
        <v>3.3472803347280422E-2</v>
      </c>
      <c r="F34" s="35">
        <v>-4.8537835393427819E-2</v>
      </c>
      <c r="G34" s="35">
        <v>-2.2339027595269401E-2</v>
      </c>
      <c r="H34" s="67"/>
      <c r="I34" s="67"/>
      <c r="J34" s="67"/>
      <c r="K34" s="67"/>
      <c r="L34" s="67"/>
      <c r="M34" s="67"/>
      <c r="N34" s="67"/>
      <c r="O34" s="67"/>
    </row>
    <row r="35" spans="1:15" ht="25.95" customHeight="1" x14ac:dyDescent="0.3">
      <c r="A35" s="36">
        <v>44773</v>
      </c>
      <c r="B35" s="17">
        <v>1.1657282549172088E-2</v>
      </c>
      <c r="C35" s="17">
        <v>0</v>
      </c>
      <c r="D35" s="17">
        <v>6.3174114021571581E-2</v>
      </c>
      <c r="E35" s="17">
        <v>0.10526315789473695</v>
      </c>
      <c r="F35" s="17">
        <v>8.7325728770595745E-2</v>
      </c>
      <c r="G35" s="17">
        <v>1.0416666666666741E-2</v>
      </c>
      <c r="H35" s="67"/>
      <c r="I35" s="67"/>
      <c r="J35" s="67"/>
      <c r="K35" s="67"/>
      <c r="L35" s="67"/>
      <c r="M35" s="67"/>
      <c r="N35" s="67"/>
      <c r="O35" s="67"/>
    </row>
    <row r="36" spans="1:15" ht="25.95" customHeight="1" x14ac:dyDescent="0.3">
      <c r="A36" s="34">
        <v>44804</v>
      </c>
      <c r="B36" s="35">
        <v>1.2267626863171843E-2</v>
      </c>
      <c r="C36" s="35">
        <v>0</v>
      </c>
      <c r="D36" s="35">
        <v>3.6231884057970953E-2</v>
      </c>
      <c r="E36" s="35">
        <v>5.8608058608058622E-2</v>
      </c>
      <c r="F36" s="35">
        <v>3.5027392469984875E-2</v>
      </c>
      <c r="G36" s="35">
        <v>-2.4941802460924478E-2</v>
      </c>
      <c r="H36" s="67"/>
      <c r="I36" s="67"/>
      <c r="J36" s="67"/>
      <c r="K36" s="67"/>
      <c r="L36" s="67"/>
      <c r="M36" s="67"/>
      <c r="N36" s="67"/>
      <c r="O36" s="67"/>
    </row>
    <row r="37" spans="1:15" ht="25.95" customHeight="1" x14ac:dyDescent="0.3">
      <c r="A37" s="36">
        <v>44834</v>
      </c>
      <c r="B37" s="17">
        <v>2.2158013223894102E-4</v>
      </c>
      <c r="C37" s="17">
        <v>-2.2727272727272707E-2</v>
      </c>
      <c r="D37" s="17">
        <v>-4.3356643356643354E-2</v>
      </c>
      <c r="E37" s="17">
        <v>3.8062283737024138E-2</v>
      </c>
      <c r="F37" s="17">
        <v>-3.744580212849824E-2</v>
      </c>
      <c r="G37" s="17">
        <v>-6.4120054570259155E-2</v>
      </c>
      <c r="H37" s="67"/>
      <c r="I37" s="67"/>
      <c r="J37" s="67"/>
      <c r="K37" s="67"/>
      <c r="L37" s="67"/>
      <c r="M37" s="67"/>
      <c r="N37" s="67"/>
      <c r="O37" s="67"/>
    </row>
    <row r="38" spans="1:15" ht="25.95" customHeight="1" x14ac:dyDescent="0.3">
      <c r="A38" s="34">
        <v>44865</v>
      </c>
      <c r="B38" s="35">
        <v>3.4027168567403177E-3</v>
      </c>
      <c r="C38" s="35">
        <v>0</v>
      </c>
      <c r="D38" s="35">
        <v>5.2631578947368363E-2</v>
      </c>
      <c r="E38" s="35">
        <v>5.0000000000000044E-2</v>
      </c>
      <c r="F38" s="35">
        <v>5.3703053703053616E-2</v>
      </c>
      <c r="G38" s="35">
        <v>6.2682215743440128E-2</v>
      </c>
      <c r="H38" s="67"/>
      <c r="I38" s="67"/>
      <c r="J38" s="67"/>
      <c r="K38" s="67"/>
      <c r="L38" s="67"/>
      <c r="M38" s="67"/>
      <c r="N38" s="67"/>
      <c r="O38" s="67"/>
    </row>
    <row r="39" spans="1:15" ht="25.95" customHeight="1" x14ac:dyDescent="0.3">
      <c r="A39" s="36">
        <v>44895</v>
      </c>
      <c r="B39" s="17">
        <v>1.117734504938106E-2</v>
      </c>
      <c r="C39" s="17">
        <v>4.6511627906976827E-2</v>
      </c>
      <c r="D39" s="17">
        <v>7.4999999999999956E-2</v>
      </c>
      <c r="E39" s="17">
        <v>-2.5396825396825418E-2</v>
      </c>
      <c r="F39" s="17">
        <v>4.1416833222296168E-2</v>
      </c>
      <c r="G39" s="17">
        <v>6.4814814814814881E-2</v>
      </c>
      <c r="H39" s="67"/>
      <c r="I39" s="67"/>
      <c r="J39" s="67"/>
      <c r="K39" s="67"/>
      <c r="L39" s="67"/>
      <c r="M39" s="67"/>
      <c r="N39" s="67"/>
      <c r="O39" s="67"/>
    </row>
    <row r="40" spans="1:15" ht="25.95" customHeight="1" x14ac:dyDescent="0.3">
      <c r="A40" s="34">
        <v>44926</v>
      </c>
      <c r="B40" s="35">
        <v>3.1702872181238462E-3</v>
      </c>
      <c r="C40" s="35">
        <v>4.4444444444444509E-2</v>
      </c>
      <c r="D40" s="35">
        <v>1.1627906976744207E-2</v>
      </c>
      <c r="E40" s="35">
        <v>-2.6058631921824116E-2</v>
      </c>
      <c r="F40" s="35">
        <v>-3.4811813626186128E-2</v>
      </c>
      <c r="G40" s="35">
        <v>-3.9613526570048352E-2</v>
      </c>
      <c r="H40" s="67"/>
      <c r="I40" s="67"/>
      <c r="J40" s="67"/>
      <c r="K40" s="67"/>
      <c r="L40" s="67"/>
      <c r="M40" s="67"/>
      <c r="N40" s="67"/>
      <c r="O40" s="67"/>
    </row>
    <row r="41" spans="1:15" ht="25.95" customHeight="1" x14ac:dyDescent="0.3">
      <c r="A41" s="36">
        <v>44957</v>
      </c>
      <c r="B41" s="17">
        <v>3.9612177915266944E-3</v>
      </c>
      <c r="C41" s="17">
        <v>4.2553191489361764E-2</v>
      </c>
      <c r="D41" s="17">
        <v>-1.4048531289910571E-2</v>
      </c>
      <c r="E41" s="17">
        <v>6.3545150501672198E-2</v>
      </c>
      <c r="F41" s="17">
        <v>-2.4468378900856069E-2</v>
      </c>
      <c r="G41" s="17">
        <v>3.1187122736418438E-2</v>
      </c>
      <c r="H41" s="67"/>
      <c r="I41" s="67"/>
      <c r="J41" s="67"/>
      <c r="K41" s="67"/>
      <c r="L41" s="67"/>
      <c r="M41" s="67"/>
      <c r="N41" s="67"/>
      <c r="O41" s="67"/>
    </row>
    <row r="42" spans="1:15" ht="25.95" customHeight="1" x14ac:dyDescent="0.3">
      <c r="A42" s="34">
        <v>44985</v>
      </c>
      <c r="B42" s="35">
        <v>2.5957058122998422E-3</v>
      </c>
      <c r="C42" s="35">
        <v>-4.081632653061229E-2</v>
      </c>
      <c r="D42" s="35">
        <v>-2.5906735751295429E-3</v>
      </c>
      <c r="E42" s="35">
        <v>6.9182389937106903E-2</v>
      </c>
      <c r="F42" s="35">
        <v>-2.0269505152304412E-2</v>
      </c>
      <c r="G42" s="35">
        <v>8.7804878048780566E-3</v>
      </c>
      <c r="H42" s="67"/>
      <c r="I42" s="67"/>
      <c r="J42" s="67"/>
      <c r="K42" s="67"/>
      <c r="L42" s="67"/>
      <c r="M42" s="67"/>
      <c r="N42" s="67"/>
      <c r="O42" s="67"/>
    </row>
    <row r="43" spans="1:15" ht="25.95" customHeight="1" x14ac:dyDescent="0.3">
      <c r="A43" s="36">
        <v>45016</v>
      </c>
      <c r="B43" s="17">
        <v>1.0076285699458509E-2</v>
      </c>
      <c r="C43" s="17">
        <v>8.5106382978723305E-2</v>
      </c>
      <c r="D43" s="17">
        <v>5.1948051948051965E-3</v>
      </c>
      <c r="E43" s="17">
        <v>3.2352941176470695E-2</v>
      </c>
      <c r="F43" s="17">
        <v>3.2362459546926292E-3</v>
      </c>
      <c r="G43" s="17">
        <v>-3.2237266279819488E-2</v>
      </c>
      <c r="H43" s="67"/>
      <c r="I43" s="67"/>
      <c r="J43" s="67"/>
      <c r="K43" s="67"/>
      <c r="L43" s="67"/>
      <c r="M43" s="67"/>
      <c r="N43" s="67"/>
      <c r="O43" s="67"/>
    </row>
    <row r="44" spans="1:15" ht="25.95" customHeight="1" x14ac:dyDescent="0.3">
      <c r="A44" s="34">
        <v>45046</v>
      </c>
      <c r="B44" s="35">
        <v>1.3101221924423756E-2</v>
      </c>
      <c r="C44" s="35">
        <v>0</v>
      </c>
      <c r="D44" s="35">
        <v>4.9095607235142058E-2</v>
      </c>
      <c r="E44" s="35">
        <v>0.11111111111111116</v>
      </c>
      <c r="F44" s="35">
        <v>4.061059907834097E-2</v>
      </c>
      <c r="G44" s="35">
        <v>3.9973351099267251E-3</v>
      </c>
      <c r="H44" s="67"/>
      <c r="I44" s="67"/>
      <c r="J44" s="67"/>
      <c r="K44" s="67"/>
      <c r="L44" s="67"/>
      <c r="M44" s="67"/>
      <c r="N44" s="67"/>
      <c r="O44" s="67"/>
    </row>
    <row r="45" spans="1:15" ht="25.95" customHeight="1" x14ac:dyDescent="0.3">
      <c r="A45" s="36">
        <v>45077</v>
      </c>
      <c r="B45" s="17">
        <v>1.1517472016318475E-2</v>
      </c>
      <c r="C45" s="17">
        <v>0</v>
      </c>
      <c r="D45" s="17">
        <v>-4.5566502463054159E-2</v>
      </c>
      <c r="E45" s="17">
        <v>4.6153846153846212E-2</v>
      </c>
      <c r="F45" s="17">
        <v>2.5961804594519799E-2</v>
      </c>
      <c r="G45" s="17">
        <v>2.1897810218978186E-2</v>
      </c>
      <c r="H45" s="67"/>
      <c r="I45" s="67"/>
      <c r="J45" s="67"/>
      <c r="K45" s="67"/>
      <c r="L45" s="67"/>
      <c r="M45" s="67"/>
      <c r="N45" s="67"/>
      <c r="O45" s="67"/>
    </row>
    <row r="46" spans="1:15" ht="25.95" customHeight="1" x14ac:dyDescent="0.3">
      <c r="A46" s="34">
        <v>45107</v>
      </c>
      <c r="B46" s="35">
        <v>1.9469287825149006E-3</v>
      </c>
      <c r="C46" s="35">
        <v>-3.9215686274509776E-2</v>
      </c>
      <c r="D46" s="35">
        <v>6.8387096774193523E-2</v>
      </c>
      <c r="E46" s="35">
        <v>3.6764705882353033E-2</v>
      </c>
      <c r="F46" s="35">
        <v>3.534045537930286E-2</v>
      </c>
      <c r="G46" s="35">
        <v>3.8961038961038419E-3</v>
      </c>
      <c r="H46" s="67"/>
      <c r="I46" s="67"/>
      <c r="J46" s="67"/>
      <c r="K46" s="67"/>
      <c r="L46" s="67"/>
      <c r="M46" s="67"/>
      <c r="N46" s="67"/>
      <c r="O46" s="67"/>
    </row>
    <row r="47" spans="1:15" ht="25.95" customHeight="1" x14ac:dyDescent="0.3">
      <c r="A47" s="36">
        <v>45138</v>
      </c>
      <c r="B47" s="17">
        <v>4.4506096306633491E-3</v>
      </c>
      <c r="C47" s="17">
        <v>4.081632653061229E-2</v>
      </c>
      <c r="D47" s="17">
        <v>-2.8985507246376829E-2</v>
      </c>
      <c r="E47" s="17">
        <v>3.0732860520094496E-2</v>
      </c>
      <c r="F47" s="17">
        <v>2.9443952264318174E-2</v>
      </c>
      <c r="G47" s="17">
        <v>4.3984476067270295E-2</v>
      </c>
      <c r="H47" s="67"/>
      <c r="I47" s="67"/>
      <c r="J47" s="67"/>
      <c r="K47" s="67"/>
      <c r="L47" s="67"/>
      <c r="M47" s="67"/>
      <c r="N47" s="67"/>
      <c r="O47" s="67"/>
    </row>
    <row r="48" spans="1:15" ht="25.95" customHeight="1" x14ac:dyDescent="0.3">
      <c r="A48" s="34">
        <v>45169</v>
      </c>
      <c r="B48" s="35">
        <v>6.7113722472995629E-3</v>
      </c>
      <c r="C48" s="35">
        <v>-1.9607843137254943E-2</v>
      </c>
      <c r="D48" s="35">
        <v>-4.8507462686567138E-2</v>
      </c>
      <c r="E48" s="35">
        <v>-5.5045871559633031E-2</v>
      </c>
      <c r="F48" s="35">
        <v>-2.5311329351017542E-2</v>
      </c>
      <c r="G48" s="35">
        <v>-1.6418835192069436E-2</v>
      </c>
      <c r="H48" s="67"/>
      <c r="I48" s="67"/>
      <c r="J48" s="67"/>
      <c r="K48" s="67"/>
      <c r="L48" s="67"/>
      <c r="M48" s="67"/>
      <c r="N48" s="67"/>
      <c r="O48" s="67"/>
    </row>
    <row r="49" spans="1:15" ht="25.95" customHeight="1" x14ac:dyDescent="0.3">
      <c r="A49" s="36">
        <v>45199</v>
      </c>
      <c r="B49" s="17">
        <v>3.1834876509269083E-3</v>
      </c>
      <c r="C49" s="17">
        <v>-2.0000000000000018E-2</v>
      </c>
      <c r="D49" s="17">
        <v>-2.8758169934640532E-2</v>
      </c>
      <c r="E49" s="17">
        <v>9.7087378640776656E-3</v>
      </c>
      <c r="F49" s="17">
        <v>1.994390775942656E-2</v>
      </c>
      <c r="G49" s="17">
        <v>5.1023622047244199E-2</v>
      </c>
      <c r="H49" s="67"/>
      <c r="I49" s="67"/>
      <c r="J49" s="67"/>
      <c r="K49" s="67"/>
      <c r="L49" s="67"/>
      <c r="M49" s="67"/>
      <c r="N49" s="67"/>
      <c r="O49" s="67"/>
    </row>
    <row r="50" spans="1:15" ht="25.95" customHeight="1" x14ac:dyDescent="0.3">
      <c r="A50" s="34">
        <v>45230</v>
      </c>
      <c r="B50" s="35">
        <v>1.6880874736235896E-3</v>
      </c>
      <c r="C50" s="35">
        <v>6.1224489795918435E-2</v>
      </c>
      <c r="D50" s="35">
        <v>-3.2301480484522194E-2</v>
      </c>
      <c r="E50" s="35">
        <v>-3.6057692307692291E-2</v>
      </c>
      <c r="F50" s="35">
        <v>-2.8414298808432603E-2</v>
      </c>
      <c r="G50" s="35">
        <v>-4.5250224752771961E-2</v>
      </c>
      <c r="H50" s="67"/>
      <c r="I50" s="67"/>
      <c r="J50" s="67"/>
      <c r="K50" s="67"/>
      <c r="L50" s="67"/>
      <c r="M50" s="67"/>
      <c r="N50" s="67"/>
      <c r="O50" s="67"/>
    </row>
    <row r="51" spans="1:15" ht="25.95" customHeight="1" x14ac:dyDescent="0.3">
      <c r="A51" s="36">
        <v>45260</v>
      </c>
      <c r="B51" s="17">
        <v>8.7134704508025074E-3</v>
      </c>
      <c r="C51" s="17">
        <v>1.9230769230769162E-2</v>
      </c>
      <c r="D51" s="17">
        <v>5.5632823365785899E-2</v>
      </c>
      <c r="E51" s="17">
        <v>1.7456359102244301E-2</v>
      </c>
      <c r="F51" s="17">
        <v>5.5188679245282923E-2</v>
      </c>
      <c r="G51" s="17">
        <v>3.7978656622724483E-2</v>
      </c>
      <c r="H51" s="67"/>
      <c r="I51" s="67"/>
      <c r="J51" s="67"/>
      <c r="K51" s="67"/>
      <c r="L51" s="67"/>
      <c r="M51" s="67"/>
      <c r="N51" s="67"/>
      <c r="O51" s="67"/>
    </row>
    <row r="52" spans="1:15" ht="25.95" customHeight="1" x14ac:dyDescent="0.3">
      <c r="A52" s="34">
        <v>45291</v>
      </c>
      <c r="B52" s="35">
        <v>1.0658754417416372E-2</v>
      </c>
      <c r="C52" s="35">
        <v>1.8867924528301883E-2</v>
      </c>
      <c r="D52" s="35">
        <v>9.6179183135704838E-2</v>
      </c>
      <c r="E52" s="35">
        <v>6.1274509803921573E-2</v>
      </c>
      <c r="F52" s="35">
        <v>7.9372175036010573E-2</v>
      </c>
      <c r="G52" s="35">
        <v>8.7692772905957117E-2</v>
      </c>
      <c r="H52" s="67"/>
      <c r="I52" s="67"/>
      <c r="J52" s="67"/>
      <c r="K52" s="67"/>
      <c r="L52" s="67"/>
      <c r="M52" s="67"/>
      <c r="N52" s="67"/>
      <c r="O52" s="67"/>
    </row>
    <row r="53" spans="1:15" ht="25.95" customHeight="1" x14ac:dyDescent="0.3">
      <c r="A53" s="36">
        <v>45322</v>
      </c>
      <c r="B53" s="17">
        <v>6.7732750824520682E-3</v>
      </c>
      <c r="C53" s="17">
        <v>-1.851851851851849E-2</v>
      </c>
      <c r="D53" s="17">
        <v>-0.14423076923076927</v>
      </c>
      <c r="E53" s="17">
        <v>-4.6189376443418029E-2</v>
      </c>
      <c r="F53" s="17">
        <v>-2.3008605218355349E-4</v>
      </c>
      <c r="G53" s="17">
        <v>5.8381984987490032E-3</v>
      </c>
      <c r="H53" s="67"/>
      <c r="I53" s="67"/>
      <c r="J53" s="67"/>
      <c r="K53" s="67"/>
      <c r="L53" s="67"/>
      <c r="M53" s="67"/>
      <c r="N53" s="67"/>
      <c r="O53" s="67"/>
    </row>
    <row r="54" spans="1:15" ht="25.95" customHeight="1" x14ac:dyDescent="0.3">
      <c r="A54" s="34">
        <v>45351</v>
      </c>
      <c r="B54" s="35">
        <v>9.3025735343115201E-3</v>
      </c>
      <c r="C54" s="35">
        <v>0</v>
      </c>
      <c r="D54" s="35">
        <v>-4.0730337078651702E-2</v>
      </c>
      <c r="E54" s="35">
        <v>-7.9903147699757815E-2</v>
      </c>
      <c r="F54" s="35">
        <v>1.1829144803461311E-2</v>
      </c>
      <c r="G54" s="35">
        <v>8.0707573244886754E-2</v>
      </c>
      <c r="H54" s="67"/>
      <c r="I54" s="67"/>
      <c r="J54" s="67"/>
      <c r="K54" s="67"/>
      <c r="L54" s="67"/>
      <c r="M54" s="67"/>
      <c r="N54" s="67"/>
      <c r="O54" s="67"/>
    </row>
    <row r="55" spans="1:15" ht="25.95" customHeight="1" x14ac:dyDescent="0.3">
      <c r="A55" s="36">
        <v>45382</v>
      </c>
      <c r="B55" s="17">
        <v>7.8937291201754967E-3</v>
      </c>
      <c r="C55" s="17">
        <v>7.547169811320753E-2</v>
      </c>
      <c r="D55" s="17">
        <v>3.2210834553440648E-2</v>
      </c>
      <c r="E55" s="17">
        <v>7.1052631578947478E-2</v>
      </c>
      <c r="F55" s="17">
        <v>1.5648455624800883E-2</v>
      </c>
      <c r="G55" s="17">
        <v>-5.3452685421994883E-2</v>
      </c>
      <c r="H55" s="67"/>
      <c r="I55" s="67"/>
      <c r="J55" s="67"/>
      <c r="K55" s="67"/>
      <c r="L55" s="67"/>
      <c r="M55" s="67"/>
      <c r="N55" s="67"/>
      <c r="O55" s="67"/>
    </row>
    <row r="56" spans="1:15" ht="25.95" customHeight="1" x14ac:dyDescent="0.3">
      <c r="A56" s="34">
        <v>45412</v>
      </c>
      <c r="B56" s="35">
        <v>-2.2245862636383062E-3</v>
      </c>
      <c r="C56" s="35">
        <v>7.0175438596491224E-2</v>
      </c>
      <c r="D56" s="35">
        <v>4.9645390070921946E-2</v>
      </c>
      <c r="E56" s="35">
        <v>1.7199017199017286E-2</v>
      </c>
      <c r="F56" s="35">
        <v>1.2451292157477534E-2</v>
      </c>
      <c r="G56" s="35">
        <v>-1.4320453931369936E-2</v>
      </c>
      <c r="H56" s="67"/>
      <c r="I56" s="67"/>
      <c r="J56" s="67"/>
      <c r="K56" s="67"/>
      <c r="L56" s="67"/>
      <c r="M56" s="67"/>
      <c r="N56" s="67"/>
      <c r="O56" s="67"/>
    </row>
    <row r="57" spans="1:15" ht="25.95" customHeight="1" x14ac:dyDescent="0.3">
      <c r="A57" s="36">
        <v>45443</v>
      </c>
      <c r="B57" s="17">
        <v>1.3695032760409065E-2</v>
      </c>
      <c r="C57" s="17">
        <v>0</v>
      </c>
      <c r="D57" s="17">
        <v>6.7567567567567988E-3</v>
      </c>
      <c r="E57" s="17">
        <v>-2.1739130434782594E-2</v>
      </c>
      <c r="F57" s="17">
        <v>-3.2736120327361284E-3</v>
      </c>
      <c r="G57" s="17">
        <v>-3.9199561403508776E-2</v>
      </c>
      <c r="H57" s="67"/>
      <c r="I57" s="67"/>
      <c r="J57" s="67"/>
      <c r="K57" s="67"/>
      <c r="L57" s="67"/>
      <c r="M57" s="67"/>
      <c r="N57" s="67"/>
      <c r="O57" s="67"/>
    </row>
    <row r="58" spans="1:15" ht="25.95" customHeight="1" x14ac:dyDescent="0.3">
      <c r="A58" s="34">
        <v>45473</v>
      </c>
      <c r="B58" s="35">
        <v>4.976555011528383E-3</v>
      </c>
      <c r="C58" s="35">
        <v>0</v>
      </c>
      <c r="D58" s="35">
        <v>0.11543624161073818</v>
      </c>
      <c r="E58" s="35">
        <v>-2.4691358024691024E-3</v>
      </c>
      <c r="F58" s="35">
        <v>6.5687275309573412E-2</v>
      </c>
      <c r="G58" s="35">
        <v>7.1326676176890258E-2</v>
      </c>
      <c r="H58" s="67"/>
      <c r="I58" s="67"/>
      <c r="J58" s="67"/>
      <c r="K58" s="67"/>
      <c r="L58" s="67"/>
      <c r="M58" s="67"/>
      <c r="N58" s="67"/>
      <c r="O58" s="67"/>
    </row>
    <row r="59" spans="1:15" ht="25.95" customHeight="1" x14ac:dyDescent="0.3">
      <c r="A59" s="36">
        <v>45504</v>
      </c>
      <c r="B59" s="17">
        <v>1.0316267583668104E-2</v>
      </c>
      <c r="C59" s="17">
        <v>-3.2786885245901676E-2</v>
      </c>
      <c r="D59" s="17">
        <v>-4.0914560770156427E-2</v>
      </c>
      <c r="E59" s="17">
        <v>0.18564356435643559</v>
      </c>
      <c r="F59" s="17">
        <v>3.9148723501728266E-2</v>
      </c>
      <c r="G59" s="17">
        <v>0.12330226364846864</v>
      </c>
      <c r="H59" s="67"/>
      <c r="I59" s="67"/>
      <c r="J59" s="67"/>
      <c r="K59" s="67"/>
      <c r="L59" s="67"/>
      <c r="M59" s="67"/>
      <c r="N59" s="67"/>
      <c r="O59" s="67"/>
    </row>
    <row r="60" spans="1:15" ht="25.95" customHeight="1" x14ac:dyDescent="0.3">
      <c r="A60" s="34">
        <v>45535</v>
      </c>
      <c r="B60" s="35">
        <v>8.713223943888293E-3</v>
      </c>
      <c r="C60" s="35">
        <v>3.3898305084745672E-2</v>
      </c>
      <c r="D60" s="35">
        <v>1.3801756587201952E-2</v>
      </c>
      <c r="E60" s="35">
        <v>1.2526096033402823E-2</v>
      </c>
      <c r="F60" s="35">
        <v>1.1422387880245299E-2</v>
      </c>
      <c r="G60" s="35">
        <v>4.0777619724988057E-2</v>
      </c>
      <c r="H60" s="67"/>
      <c r="I60" s="67"/>
      <c r="J60" s="67"/>
      <c r="K60" s="67"/>
      <c r="L60" s="67"/>
      <c r="M60" s="67"/>
      <c r="N60" s="67"/>
      <c r="O60" s="67"/>
    </row>
    <row r="61" spans="1:15" ht="25.95" customHeight="1" x14ac:dyDescent="0.3">
      <c r="A61" s="36">
        <v>45565</v>
      </c>
      <c r="B61" s="17">
        <v>1.1670730596841317E-2</v>
      </c>
      <c r="C61" s="17">
        <v>4.9180327868852514E-2</v>
      </c>
      <c r="D61" s="17">
        <v>5.6930693069306981E-2</v>
      </c>
      <c r="E61" s="17">
        <v>3.2989690721649589E-2</v>
      </c>
      <c r="F61" s="17">
        <v>2.2784910445395434E-2</v>
      </c>
      <c r="G61" s="17">
        <v>-6.2642369020501132E-2</v>
      </c>
      <c r="H61" s="67"/>
      <c r="I61" s="67"/>
      <c r="J61" s="67"/>
      <c r="K61" s="67"/>
      <c r="L61" s="67"/>
      <c r="M61" s="67"/>
      <c r="N61" s="67"/>
      <c r="O61" s="67"/>
    </row>
    <row r="62" spans="1:15" ht="25.95" customHeight="1" x14ac:dyDescent="0.3">
      <c r="A62" s="34">
        <v>45596</v>
      </c>
      <c r="B62" s="35">
        <v>2.9552807516715074E-3</v>
      </c>
      <c r="C62" s="35">
        <v>4.6875E-2</v>
      </c>
      <c r="D62" s="35">
        <v>2.3419203747072626E-3</v>
      </c>
      <c r="E62" s="35">
        <v>-5.7884231536926123E-2</v>
      </c>
      <c r="F62" s="35">
        <v>-6.2221533454728584E-2</v>
      </c>
      <c r="G62" s="35">
        <v>-7.0230862697448382E-2</v>
      </c>
      <c r="H62" s="67"/>
      <c r="I62" s="67"/>
      <c r="J62" s="67"/>
      <c r="K62" s="67"/>
      <c r="L62" s="67"/>
      <c r="M62" s="67"/>
      <c r="N62" s="67"/>
      <c r="O62" s="67"/>
    </row>
    <row r="63" spans="1:15" ht="25.95" customHeight="1" x14ac:dyDescent="0.3">
      <c r="A63" s="36">
        <v>45626</v>
      </c>
      <c r="B63" s="17">
        <v>7.7478411742415432E-3</v>
      </c>
      <c r="C63" s="17">
        <v>-4.4776119402985093E-2</v>
      </c>
      <c r="D63" s="17">
        <v>3.5046728971962704E-2</v>
      </c>
      <c r="E63" s="17">
        <v>-2.3305084745762761E-2</v>
      </c>
      <c r="F63" s="17">
        <v>-3.0572195827308635E-3</v>
      </c>
      <c r="G63" s="17">
        <v>7.8672242550967164E-2</v>
      </c>
      <c r="H63" s="67"/>
      <c r="I63" s="67"/>
      <c r="J63" s="67"/>
      <c r="K63" s="67"/>
      <c r="L63" s="67"/>
      <c r="M63" s="67"/>
      <c r="N63" s="67"/>
      <c r="O63" s="67"/>
    </row>
    <row r="64" spans="1:15" ht="25.95" customHeight="1" x14ac:dyDescent="0.3">
      <c r="A64" s="34">
        <v>45657</v>
      </c>
      <c r="B64" s="35">
        <v>4.754460089251511E-3</v>
      </c>
      <c r="C64" s="35">
        <v>0</v>
      </c>
      <c r="D64" s="35">
        <v>-1.241534988713322E-2</v>
      </c>
      <c r="E64" s="35">
        <v>1.5184381778741818E-2</v>
      </c>
      <c r="F64" s="35">
        <v>-2.0140068791181465E-2</v>
      </c>
      <c r="G64" s="35">
        <v>-4.1192149260964372E-2</v>
      </c>
      <c r="H64" s="67"/>
      <c r="I64" s="67"/>
      <c r="J64" s="67"/>
      <c r="K64" s="67"/>
      <c r="L64" s="67"/>
      <c r="M64" s="67"/>
      <c r="N64" s="67"/>
      <c r="O64" s="67"/>
    </row>
  </sheetData>
  <mergeCells count="4">
    <mergeCell ref="A3:O3"/>
    <mergeCell ref="O4:O64"/>
    <mergeCell ref="H4:J64"/>
    <mergeCell ref="K18:N6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9065-3328-4A9E-9A00-3AB3AD187039}">
  <dimension ref="A3:P17"/>
  <sheetViews>
    <sheetView zoomScale="83" workbookViewId="0">
      <selection activeCell="K15" sqref="K15"/>
    </sheetView>
  </sheetViews>
  <sheetFormatPr defaultColWidth="15" defaultRowHeight="36" customHeight="1" x14ac:dyDescent="0.3"/>
  <sheetData>
    <row r="3" spans="1:16" ht="36" customHeight="1" x14ac:dyDescent="0.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36" customHeight="1" x14ac:dyDescent="0.3">
      <c r="H4" s="67"/>
      <c r="I4" s="67"/>
    </row>
    <row r="5" spans="1:16" ht="36" customHeight="1" x14ac:dyDescent="0.3">
      <c r="H5" s="67"/>
      <c r="I5" s="67"/>
    </row>
    <row r="6" spans="1:16" ht="36" customHeight="1" x14ac:dyDescent="0.3">
      <c r="A6" s="5" t="s">
        <v>40</v>
      </c>
      <c r="B6" s="37" t="s">
        <v>8</v>
      </c>
      <c r="C6" s="37" t="s">
        <v>7</v>
      </c>
      <c r="D6" s="37" t="s">
        <v>6</v>
      </c>
      <c r="E6" s="37" t="s">
        <v>5</v>
      </c>
      <c r="F6" s="37" t="s">
        <v>4</v>
      </c>
      <c r="G6" s="37" t="s">
        <v>3</v>
      </c>
      <c r="H6" s="67"/>
      <c r="I6" s="67"/>
    </row>
    <row r="7" spans="1:16" ht="36" customHeight="1" x14ac:dyDescent="0.3">
      <c r="A7" s="10" t="s">
        <v>8</v>
      </c>
      <c r="B7" s="38">
        <f>CORREL(Returns_Matrix!B6:B64,Returns_Matrix!$B$6:$B$64)</f>
        <v>1</v>
      </c>
      <c r="C7" s="38">
        <f>CORREL(Returns_Matrix!C6:C64,Returns_Matrix!$B$6:$B$64)</f>
        <v>0.12981595437503565</v>
      </c>
      <c r="D7" s="38">
        <f>CORREL(Returns_Matrix!D6:D64,Returns_Matrix!$B$6:$B$64)</f>
        <v>-4.0326141288209987E-2</v>
      </c>
      <c r="E7" s="38">
        <f>CORREL(Returns_Matrix!E6:E64,Returns_Matrix!$B$6:$B$64)</f>
        <v>3.9633333118974864E-3</v>
      </c>
      <c r="F7" s="38">
        <f>CORREL(Returns_Matrix!F6:F64,Returns_Matrix!$B$6:$B$64)</f>
        <v>5.4120731223944729E-2</v>
      </c>
      <c r="G7" s="38">
        <f>CORREL(Returns_Matrix!G6:G64,Returns_Matrix!$B$6:$B$64)</f>
        <v>0.22320488470920047</v>
      </c>
      <c r="H7" s="67"/>
      <c r="I7" s="67"/>
    </row>
    <row r="8" spans="1:16" ht="36" customHeight="1" x14ac:dyDescent="0.3">
      <c r="A8" s="10" t="s">
        <v>7</v>
      </c>
      <c r="B8" s="38">
        <f>CORREL(Returns_Matrix!B6:B64,Returns_Matrix!$C$6:$C$64)</f>
        <v>0.12981595437503565</v>
      </c>
      <c r="C8" s="38">
        <f>CORREL(Returns_Matrix!C6:C64,Returns_Matrix!$C$6:$C$64)</f>
        <v>1.0000000000000002</v>
      </c>
      <c r="D8" s="38">
        <f>CORREL(Returns_Matrix!D6:D64,Returns_Matrix!$C$6:$C$64)</f>
        <v>3.3491690726140805E-2</v>
      </c>
      <c r="E8" s="38">
        <f>CORREL(Returns_Matrix!E6:E64,Returns_Matrix!$C$6:$C$64)</f>
        <v>-0.1629289333996124</v>
      </c>
      <c r="F8" s="38">
        <f>CORREL(Returns_Matrix!F6:F64,Returns_Matrix!$C$6:$C$64)</f>
        <v>5.6352813016023746E-2</v>
      </c>
      <c r="G8" s="38">
        <f>CORREL(Returns_Matrix!G6:G64,Returns_Matrix!$C$6:$C$64)</f>
        <v>-0.16225036767504319</v>
      </c>
      <c r="H8" s="67"/>
      <c r="I8" s="67"/>
    </row>
    <row r="9" spans="1:16" ht="36" customHeight="1" x14ac:dyDescent="0.3">
      <c r="A9" s="10" t="s">
        <v>6</v>
      </c>
      <c r="B9" s="38">
        <f>CORREL(Returns_Matrix!B6:B64,Returns_Matrix!$D$6:$D$64)</f>
        <v>-4.0326141288209987E-2</v>
      </c>
      <c r="C9" s="38">
        <f>CORREL(Returns_Matrix!C6:C64,Returns_Matrix!$D$6:$D$64)</f>
        <v>3.3491690726140805E-2</v>
      </c>
      <c r="D9" s="38">
        <f>CORREL(Returns_Matrix!D6:D64,Returns_Matrix!$D$6:$D$64)</f>
        <v>1</v>
      </c>
      <c r="E9" s="38">
        <f>CORREL(Returns_Matrix!E6:E64,Returns_Matrix!$D$6:$D$64)</f>
        <v>0.40749195996061166</v>
      </c>
      <c r="F9" s="38">
        <f>CORREL(Returns_Matrix!F6:F64,Returns_Matrix!$D$6:$D$64)</f>
        <v>0.80158223286384811</v>
      </c>
      <c r="G9" s="38">
        <f>CORREL(Returns_Matrix!G6:G64,Returns_Matrix!$D$6:$D$64)</f>
        <v>0.30572275321711573</v>
      </c>
      <c r="H9" s="67"/>
      <c r="I9" s="67"/>
    </row>
    <row r="10" spans="1:16" ht="36" customHeight="1" x14ac:dyDescent="0.3">
      <c r="A10" s="10" t="s">
        <v>5</v>
      </c>
      <c r="B10" s="38">
        <f>CORREL(Returns_Matrix!B6:B64,Returns_Matrix!$E$6:$E$64)</f>
        <v>3.9633333118974864E-3</v>
      </c>
      <c r="C10" s="38">
        <f>CORREL(Returns_Matrix!C6:C64,Returns_Matrix!$E$6:$E$64)</f>
        <v>-0.1629289333996124</v>
      </c>
      <c r="D10" s="38">
        <f>CORREL(Returns_Matrix!D6:D64,Returns_Matrix!$E$6:$E$64)</f>
        <v>0.40749195996061166</v>
      </c>
      <c r="E10" s="38">
        <f>CORREL(Returns_Matrix!E6:E64,Returns_Matrix!$E$6:$E$64)</f>
        <v>1</v>
      </c>
      <c r="F10" s="38">
        <f>CORREL(Returns_Matrix!F6:F64,Returns_Matrix!$E$6:$E$64)</f>
        <v>0.51288960171292952</v>
      </c>
      <c r="G10" s="38">
        <f>CORREL(Returns_Matrix!G6:G64,Returns_Matrix!$E$6:$E$64)</f>
        <v>0.18361688237264959</v>
      </c>
      <c r="H10" s="67"/>
      <c r="I10" s="67"/>
    </row>
    <row r="11" spans="1:16" ht="36" customHeight="1" x14ac:dyDescent="0.3">
      <c r="A11" s="10" t="s">
        <v>4</v>
      </c>
      <c r="B11" s="38">
        <f>CORREL(Returns_Matrix!B6:B64,Returns_Matrix!$F$6:$F$64)</f>
        <v>5.4120731223944729E-2</v>
      </c>
      <c r="C11" s="38">
        <f>CORREL(Returns_Matrix!C6:C64,Returns_Matrix!$F$6:$F$64)</f>
        <v>5.6352813016023746E-2</v>
      </c>
      <c r="D11" s="38">
        <f>CORREL(Returns_Matrix!D6:D64,Returns_Matrix!$F$6:$F$64)</f>
        <v>0.80158223286384811</v>
      </c>
      <c r="E11" s="38">
        <f>CORREL(Returns_Matrix!E6:E64,Returns_Matrix!$F$6:$F$64)</f>
        <v>0.51288960171292952</v>
      </c>
      <c r="F11" s="38">
        <f>CORREL(Returns_Matrix!F6:F64,Returns_Matrix!$F$6:$F$64)</f>
        <v>1</v>
      </c>
      <c r="G11" s="38">
        <f>CORREL(Returns_Matrix!G6:G64,Returns_Matrix!$F$6:$F$64)</f>
        <v>0.53402607342028785</v>
      </c>
      <c r="H11" s="67"/>
      <c r="I11" s="67"/>
    </row>
    <row r="12" spans="1:16" ht="36" customHeight="1" x14ac:dyDescent="0.3">
      <c r="A12" s="10" t="s">
        <v>3</v>
      </c>
      <c r="B12" s="38">
        <f>CORREL(Returns_Matrix!B6:B64,Returns_Matrix!$G$6:$G$64)</f>
        <v>0.22320488470920047</v>
      </c>
      <c r="C12" s="38">
        <f>CORREL(Returns_Matrix!C6:C64,Returns_Matrix!$G$6:$G$64)</f>
        <v>-0.16225036767504319</v>
      </c>
      <c r="D12" s="38">
        <f>CORREL(Returns_Matrix!D6:D64,Returns_Matrix!$G$6:$G$64)</f>
        <v>0.30572275321711573</v>
      </c>
      <c r="E12" s="38">
        <f>CORREL(Returns_Matrix!E6:E64,Returns_Matrix!$G$6:$G$64)</f>
        <v>0.18361688237264959</v>
      </c>
      <c r="F12" s="38">
        <f>CORREL(Returns_Matrix!F6:F64,Returns_Matrix!$G$6:$G$64)</f>
        <v>0.53402607342028785</v>
      </c>
      <c r="G12" s="38">
        <f>CORREL(Returns_Matrix!G6:G64,Returns_Matrix!$G$6:$G$64)</f>
        <v>1</v>
      </c>
      <c r="H12" s="67"/>
      <c r="I12" s="67"/>
    </row>
    <row r="13" spans="1:16" ht="36" customHeight="1" x14ac:dyDescent="0.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</row>
    <row r="14" spans="1:16" ht="36" customHeight="1" x14ac:dyDescent="0.3">
      <c r="A14" s="39" t="s">
        <v>41</v>
      </c>
      <c r="B14" s="39" t="s">
        <v>42</v>
      </c>
    </row>
    <row r="15" spans="1:16" ht="36" customHeight="1" x14ac:dyDescent="0.3">
      <c r="A15" t="s">
        <v>43</v>
      </c>
      <c r="B15" t="s">
        <v>46</v>
      </c>
    </row>
    <row r="16" spans="1:16" ht="36" customHeight="1" x14ac:dyDescent="0.3">
      <c r="A16" t="s">
        <v>44</v>
      </c>
      <c r="B16" s="16" t="s">
        <v>47</v>
      </c>
    </row>
    <row r="17" spans="1:2" ht="36" customHeight="1" x14ac:dyDescent="0.3">
      <c r="A17" t="s">
        <v>45</v>
      </c>
      <c r="B17" s="16" t="s">
        <v>48</v>
      </c>
    </row>
  </sheetData>
  <mergeCells count="4">
    <mergeCell ref="A3:P3"/>
    <mergeCell ref="H4:I13"/>
    <mergeCell ref="A13:G13"/>
    <mergeCell ref="J13:P13"/>
  </mergeCells>
  <conditionalFormatting sqref="B7:G12">
    <cfRule type="colorScale" priority="1">
      <colorScale>
        <cfvo type="num" val="-1"/>
        <cfvo type="num" val="0"/>
        <cfvo type="num" val="1"/>
        <color rgb="FFFF0000"/>
        <color rgb="FFFFFFFF"/>
        <color rgb="FF00B050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D74C-FE54-4421-8554-1001FEE47052}">
  <dimension ref="A3:W66"/>
  <sheetViews>
    <sheetView zoomScale="64" zoomScaleNormal="80" workbookViewId="0">
      <selection activeCell="V14" sqref="V14"/>
    </sheetView>
  </sheetViews>
  <sheetFormatPr defaultColWidth="16.88671875" defaultRowHeight="30" customHeight="1" x14ac:dyDescent="0.3"/>
  <sheetData>
    <row r="3" spans="1:23" ht="37.799999999999997" customHeight="1" x14ac:dyDescent="0.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 spans="1:23" ht="30" customHeight="1" x14ac:dyDescent="0.3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3" ht="30" customHeight="1" x14ac:dyDescent="0.3">
      <c r="H5" s="67"/>
      <c r="M5" s="67"/>
      <c r="N5" s="67"/>
      <c r="O5" s="67"/>
      <c r="P5" s="67"/>
      <c r="Q5" s="67"/>
      <c r="R5" s="2" t="s">
        <v>49</v>
      </c>
      <c r="S5" s="2" t="s">
        <v>50</v>
      </c>
    </row>
    <row r="6" spans="1:23" ht="30" customHeight="1" x14ac:dyDescent="0.3">
      <c r="A6" s="42" t="s">
        <v>13</v>
      </c>
      <c r="B6" s="43" t="s">
        <v>1</v>
      </c>
      <c r="C6" s="44"/>
      <c r="D6" s="44"/>
      <c r="E6" s="44"/>
      <c r="F6" s="44"/>
      <c r="G6" s="45"/>
      <c r="H6" s="67"/>
      <c r="I6" s="5" t="s">
        <v>1</v>
      </c>
      <c r="J6" s="5" t="s">
        <v>14</v>
      </c>
      <c r="K6" s="5" t="s">
        <v>15</v>
      </c>
      <c r="L6" s="4" t="s">
        <v>16</v>
      </c>
      <c r="M6" s="67"/>
      <c r="N6" s="67"/>
      <c r="O6" s="67"/>
      <c r="P6" s="67"/>
      <c r="Q6" s="67"/>
      <c r="R6" t="s">
        <v>17</v>
      </c>
      <c r="S6" s="1">
        <f>_xlfn.PERCENTILE.INC(J7:J12,0.33)</f>
        <v>5.0176352858623596E-2</v>
      </c>
    </row>
    <row r="7" spans="1:23" ht="30" customHeight="1" x14ac:dyDescent="0.3">
      <c r="A7" s="46" t="s">
        <v>0</v>
      </c>
      <c r="B7" s="9" t="s">
        <v>8</v>
      </c>
      <c r="C7" s="9" t="s">
        <v>7</v>
      </c>
      <c r="D7" s="9" t="s">
        <v>6</v>
      </c>
      <c r="E7" s="9" t="s">
        <v>5</v>
      </c>
      <c r="F7" s="9" t="s">
        <v>4</v>
      </c>
      <c r="G7" s="47" t="s">
        <v>3</v>
      </c>
      <c r="H7" s="67"/>
      <c r="I7" s="37" t="s">
        <v>8</v>
      </c>
      <c r="J7" s="41">
        <f>_xlfn.STDEV.S(B8:B66)</f>
        <v>6.7702959203976929E-3</v>
      </c>
      <c r="K7" s="41">
        <f>J7*SQRT(12)</f>
        <v>2.3452993032810197E-2</v>
      </c>
      <c r="L7" s="40" t="str">
        <f t="shared" ref="L7:L12" si="0">IF($J7&lt;=$S$6,"Low Risk",IF($J7&lt;=$S$7,"Medium Risk","High Risk"))</f>
        <v>Low Risk</v>
      </c>
      <c r="M7" s="67"/>
      <c r="N7" s="67"/>
      <c r="O7" s="67"/>
      <c r="P7" s="67"/>
      <c r="Q7" s="67"/>
      <c r="R7" t="s">
        <v>18</v>
      </c>
      <c r="S7" s="1">
        <f>_xlfn.PERCENTILE.INC(J7:J12,0.66)</f>
        <v>6.3991553860528114E-2</v>
      </c>
    </row>
    <row r="8" spans="1:23" ht="30" customHeight="1" x14ac:dyDescent="0.3">
      <c r="A8" s="48">
        <v>43890</v>
      </c>
      <c r="B8" s="49">
        <v>1.717395000850197E-2</v>
      </c>
      <c r="C8" s="49">
        <v>2.7777777777777679E-2</v>
      </c>
      <c r="D8" s="49">
        <v>-3.9586919104991347E-2</v>
      </c>
      <c r="E8" s="49">
        <v>-0.15846994535519121</v>
      </c>
      <c r="F8" s="49">
        <v>-6.3534525998996783E-2</v>
      </c>
      <c r="G8" s="50">
        <v>-3.5675082327113028E-2</v>
      </c>
      <c r="H8" s="67"/>
      <c r="I8" s="37" t="s">
        <v>7</v>
      </c>
      <c r="J8" s="41">
        <f>_xlfn.STDEV.S(C8:C66)</f>
        <v>4.1972858072973664E-2</v>
      </c>
      <c r="K8" s="41">
        <f t="shared" ref="K8:K12" si="1">J8*SQRT(12)</f>
        <v>0.1453982454425358</v>
      </c>
      <c r="L8" s="40" t="str">
        <f t="shared" si="0"/>
        <v>Low Risk</v>
      </c>
      <c r="M8" s="67"/>
      <c r="N8" s="67"/>
      <c r="O8" s="67"/>
      <c r="P8" s="67"/>
      <c r="Q8" s="67"/>
      <c r="R8" s="67"/>
      <c r="S8" s="67"/>
    </row>
    <row r="9" spans="1:23" ht="30" customHeight="1" x14ac:dyDescent="0.3">
      <c r="A9" s="51">
        <v>43921</v>
      </c>
      <c r="B9" s="52">
        <v>6.4308571974425188E-3</v>
      </c>
      <c r="C9" s="52">
        <v>2.7027027027026973E-2</v>
      </c>
      <c r="D9" s="52">
        <v>-0.26881720430107525</v>
      </c>
      <c r="E9" s="52">
        <v>-0.12987012987012991</v>
      </c>
      <c r="F9" s="52">
        <v>-0.23245848955543658</v>
      </c>
      <c r="G9" s="53">
        <v>-8.7080250426863959E-2</v>
      </c>
      <c r="H9" s="67"/>
      <c r="I9" s="37" t="s">
        <v>6</v>
      </c>
      <c r="J9" s="41">
        <f>_xlfn.STDEV.S(D8:D66)</f>
        <v>7.2919616765178441E-2</v>
      </c>
      <c r="K9" s="41">
        <f t="shared" si="1"/>
        <v>0.25260096221148071</v>
      </c>
      <c r="L9" s="40" t="str">
        <f t="shared" si="0"/>
        <v>High Risk</v>
      </c>
      <c r="M9" s="67"/>
      <c r="N9" s="67"/>
      <c r="O9" s="67"/>
      <c r="P9" s="67"/>
      <c r="Q9" s="67"/>
      <c r="R9" s="67"/>
      <c r="S9" s="67"/>
    </row>
    <row r="10" spans="1:23" ht="30" customHeight="1" x14ac:dyDescent="0.3">
      <c r="A10" s="48">
        <v>43951</v>
      </c>
      <c r="B10" s="49">
        <v>3.7287756395665284E-5</v>
      </c>
      <c r="C10" s="49">
        <v>0.13157894736842102</v>
      </c>
      <c r="D10" s="49">
        <v>0.16176470588235303</v>
      </c>
      <c r="E10" s="49">
        <v>5.9701492537313383E-2</v>
      </c>
      <c r="F10" s="49">
        <v>0.14677832053966045</v>
      </c>
      <c r="G10" s="50">
        <v>0.11159600997506236</v>
      </c>
      <c r="H10" s="67"/>
      <c r="I10" s="37" t="s">
        <v>5</v>
      </c>
      <c r="J10" s="41">
        <f>_xlfn.STDEV.S(E8:E66)</f>
        <v>6.8904343847184552E-2</v>
      </c>
      <c r="K10" s="41">
        <f t="shared" si="1"/>
        <v>0.23869164881103919</v>
      </c>
      <c r="L10" s="40" t="str">
        <f t="shared" si="0"/>
        <v>High Risk</v>
      </c>
      <c r="M10" s="67"/>
      <c r="N10" s="67"/>
      <c r="O10" s="67"/>
      <c r="P10" s="67"/>
      <c r="Q10" s="67"/>
      <c r="R10" s="67"/>
      <c r="S10" s="67"/>
    </row>
    <row r="11" spans="1:23" ht="30" customHeight="1" x14ac:dyDescent="0.3">
      <c r="A11" s="51">
        <v>43982</v>
      </c>
      <c r="B11" s="52">
        <v>2.4893733856698352E-2</v>
      </c>
      <c r="C11" s="52">
        <v>-4.6511627906976716E-2</v>
      </c>
      <c r="D11" s="52">
        <v>-4.8523206751054815E-2</v>
      </c>
      <c r="E11" s="52">
        <v>8.4507042253521236E-2</v>
      </c>
      <c r="F11" s="52">
        <v>-2.8397565922920864E-2</v>
      </c>
      <c r="G11" s="53">
        <v>-2.1312394840157012E-2</v>
      </c>
      <c r="H11" s="67"/>
      <c r="I11" s="37" t="s">
        <v>4</v>
      </c>
      <c r="J11" s="41">
        <f>_xlfn.STDEV.S(F8:F66)</f>
        <v>5.459361928166586E-2</v>
      </c>
      <c r="K11" s="41">
        <f t="shared" si="1"/>
        <v>0.18911784472983437</v>
      </c>
      <c r="L11" s="40" t="str">
        <f t="shared" si="0"/>
        <v>Medium Risk</v>
      </c>
      <c r="M11" s="67"/>
      <c r="N11" s="67"/>
      <c r="O11" s="67"/>
      <c r="P11" s="67"/>
      <c r="Q11" s="67"/>
      <c r="R11" s="67"/>
      <c r="S11" s="67"/>
    </row>
    <row r="12" spans="1:23" ht="30" customHeight="1" x14ac:dyDescent="0.3">
      <c r="A12" s="48">
        <v>44012</v>
      </c>
      <c r="B12" s="49">
        <v>1.5187294531647799E-2</v>
      </c>
      <c r="C12" s="49">
        <v>4.8780487804878092E-2</v>
      </c>
      <c r="D12" s="49">
        <v>0.1197339246119733</v>
      </c>
      <c r="E12" s="49">
        <v>-1.2987012987012991E-2</v>
      </c>
      <c r="F12" s="49">
        <v>7.5365344467640982E-2</v>
      </c>
      <c r="G12" s="50">
        <v>5.6160458452721995E-2</v>
      </c>
      <c r="H12" s="67"/>
      <c r="I12" s="37" t="s">
        <v>3</v>
      </c>
      <c r="J12" s="41">
        <f>_xlfn.STDEV.S(G8:G66)</f>
        <v>6.1886072437675341E-2</v>
      </c>
      <c r="K12" s="41">
        <f t="shared" si="1"/>
        <v>0.2143796434858832</v>
      </c>
      <c r="L12" s="40" t="str">
        <f t="shared" si="0"/>
        <v>Medium Risk</v>
      </c>
      <c r="M12" s="67"/>
      <c r="N12" s="67"/>
      <c r="O12" s="67"/>
      <c r="P12" s="67"/>
      <c r="Q12" s="67"/>
      <c r="R12" s="67"/>
      <c r="S12" s="67"/>
    </row>
    <row r="13" spans="1:23" ht="30" customHeight="1" x14ac:dyDescent="0.3">
      <c r="A13" s="51">
        <v>44043</v>
      </c>
      <c r="B13" s="52">
        <v>1.693435412933697E-2</v>
      </c>
      <c r="C13" s="52">
        <v>9.3023255813953432E-2</v>
      </c>
      <c r="D13" s="52">
        <v>-3.1683168316831711E-2</v>
      </c>
      <c r="E13" s="52">
        <v>-6.5789473684210176E-3</v>
      </c>
      <c r="F13" s="52">
        <v>7.4839836924869063E-2</v>
      </c>
      <c r="G13" s="53">
        <v>9.8752034725990256E-2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</row>
    <row r="14" spans="1:23" ht="30" customHeight="1" x14ac:dyDescent="0.3">
      <c r="A14" s="48">
        <v>44074</v>
      </c>
      <c r="B14" s="49">
        <v>-5.5838896933505522E-3</v>
      </c>
      <c r="C14" s="49">
        <v>-4.2553191489361653E-2</v>
      </c>
      <c r="D14" s="49">
        <v>7.9754601226993849E-2</v>
      </c>
      <c r="E14" s="49">
        <v>3.3112582781456901E-2</v>
      </c>
      <c r="F14" s="49">
        <v>2.8447575182877216E-2</v>
      </c>
      <c r="G14" s="50">
        <v>-8.3950617283951035E-3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</row>
    <row r="15" spans="1:23" ht="30" customHeight="1" x14ac:dyDescent="0.3">
      <c r="A15" s="51">
        <v>44104</v>
      </c>
      <c r="B15" s="52">
        <v>5.4960454889578791E-3</v>
      </c>
      <c r="C15" s="52">
        <v>-2.2222222222222254E-2</v>
      </c>
      <c r="D15" s="52">
        <v>-3.2196969696969724E-2</v>
      </c>
      <c r="E15" s="52">
        <v>-9.6153846153846145E-2</v>
      </c>
      <c r="F15" s="52">
        <v>-1.2293642430628693E-2</v>
      </c>
      <c r="G15" s="53">
        <v>0.10408366533864544</v>
      </c>
      <c r="H15" s="67"/>
      <c r="M15" s="67"/>
      <c r="N15" s="67"/>
      <c r="O15" s="67"/>
      <c r="P15" s="67"/>
      <c r="Q15" s="67"/>
      <c r="R15" s="67"/>
      <c r="S15" s="67"/>
    </row>
    <row r="16" spans="1:23" ht="30" customHeight="1" x14ac:dyDescent="0.3">
      <c r="A16" s="48">
        <v>44135</v>
      </c>
      <c r="B16" s="49">
        <v>1.8313997263794013E-2</v>
      </c>
      <c r="C16" s="49">
        <v>0</v>
      </c>
      <c r="D16" s="49">
        <v>9.784735812133083E-2</v>
      </c>
      <c r="E16" s="49">
        <v>-4.2553191489361653E-2</v>
      </c>
      <c r="F16" s="49">
        <v>3.5028449502133796E-2</v>
      </c>
      <c r="G16" s="50">
        <v>6.9463238610735223E-2</v>
      </c>
      <c r="H16" s="67"/>
      <c r="M16" s="67"/>
      <c r="N16" s="67"/>
      <c r="O16" s="67"/>
      <c r="P16" s="67"/>
      <c r="Q16" s="67"/>
      <c r="R16" s="67"/>
      <c r="S16" s="67"/>
    </row>
    <row r="17" spans="1:19" ht="30" customHeight="1" x14ac:dyDescent="0.3">
      <c r="A17" s="51">
        <v>44165</v>
      </c>
      <c r="B17" s="52">
        <v>6.5853435988763032E-3</v>
      </c>
      <c r="C17" s="52">
        <v>-2.2727272727272707E-2</v>
      </c>
      <c r="D17" s="52">
        <v>0.21568627450980382</v>
      </c>
      <c r="E17" s="52">
        <v>0.17777777777777781</v>
      </c>
      <c r="F17" s="52">
        <v>0.11398385157189495</v>
      </c>
      <c r="G17" s="53">
        <v>9.7005482918599562E-3</v>
      </c>
      <c r="H17" s="67"/>
      <c r="M17" s="67"/>
      <c r="N17" s="67"/>
      <c r="O17" s="67"/>
      <c r="P17" s="67"/>
      <c r="Q17" s="67"/>
      <c r="R17" s="67"/>
      <c r="S17" s="67"/>
    </row>
    <row r="18" spans="1:19" ht="30" customHeight="1" x14ac:dyDescent="0.3">
      <c r="A18" s="48">
        <v>44196</v>
      </c>
      <c r="B18" s="49">
        <v>2.9913728432107156E-3</v>
      </c>
      <c r="C18" s="49">
        <v>2.3255813953488413E-2</v>
      </c>
      <c r="D18" s="49">
        <v>-2.9325513196480912E-3</v>
      </c>
      <c r="E18" s="49">
        <v>7.547169811320753E-2</v>
      </c>
      <c r="F18" s="49">
        <v>7.8109337651322441E-2</v>
      </c>
      <c r="G18" s="50">
        <v>6.8086883876357529E-2</v>
      </c>
      <c r="H18" s="67"/>
      <c r="M18" s="67"/>
      <c r="N18" s="67"/>
      <c r="O18" s="67"/>
      <c r="P18" s="67"/>
      <c r="Q18" s="67"/>
      <c r="R18" s="67"/>
      <c r="S18" s="67"/>
    </row>
    <row r="19" spans="1:19" ht="30" customHeight="1" x14ac:dyDescent="0.3">
      <c r="A19" s="51">
        <v>44227</v>
      </c>
      <c r="B19" s="52">
        <v>-1.234117746052199E-3</v>
      </c>
      <c r="C19" s="52">
        <v>-2.2727272727272707E-2</v>
      </c>
      <c r="D19" s="52">
        <v>-3.0882352941176472E-2</v>
      </c>
      <c r="E19" s="52">
        <v>-2.9239766081871399E-2</v>
      </c>
      <c r="F19" s="52">
        <v>-2.4817622657702709E-2</v>
      </c>
      <c r="G19" s="53">
        <v>8.7211576065701957E-2</v>
      </c>
      <c r="H19" s="67"/>
      <c r="M19" s="67"/>
      <c r="N19" s="67"/>
      <c r="O19" s="67"/>
      <c r="P19" s="67"/>
      <c r="Q19" s="67"/>
      <c r="R19" s="67"/>
      <c r="S19" s="67"/>
    </row>
    <row r="20" spans="1:19" ht="30" customHeight="1" x14ac:dyDescent="0.3">
      <c r="A20" s="48">
        <v>44255</v>
      </c>
      <c r="B20" s="49">
        <v>-1.3888498850165742E-2</v>
      </c>
      <c r="C20" s="49">
        <v>-6.9767441860465129E-2</v>
      </c>
      <c r="D20" s="49">
        <v>0.103186646433991</v>
      </c>
      <c r="E20" s="49">
        <v>6.0240963855422436E-3</v>
      </c>
      <c r="F20" s="49">
        <v>6.5566556655665575E-2</v>
      </c>
      <c r="G20" s="50">
        <v>-6.7985611510791411E-2</v>
      </c>
      <c r="H20" s="67"/>
      <c r="M20" s="67"/>
      <c r="N20" s="67"/>
      <c r="O20" s="67"/>
      <c r="P20" s="67"/>
      <c r="Q20" s="67"/>
      <c r="R20" s="67"/>
      <c r="S20" s="67"/>
    </row>
    <row r="21" spans="1:19" ht="30" customHeight="1" x14ac:dyDescent="0.3">
      <c r="A21" s="51">
        <v>44286</v>
      </c>
      <c r="B21" s="52">
        <v>1.2590576843970469E-2</v>
      </c>
      <c r="C21" s="52">
        <v>-5.0000000000000044E-2</v>
      </c>
      <c r="D21" s="52">
        <v>-2.751031636863821E-2</v>
      </c>
      <c r="E21" s="52">
        <v>9.5808383233533023E-2</v>
      </c>
      <c r="F21" s="52">
        <v>1.1150113565971509E-2</v>
      </c>
      <c r="G21" s="53">
        <v>9.7645696642223001E-2</v>
      </c>
      <c r="H21" s="67"/>
      <c r="M21" s="67"/>
      <c r="N21" s="67"/>
      <c r="O21" s="67"/>
      <c r="P21" s="67"/>
      <c r="Q21" s="67"/>
      <c r="R21" s="67"/>
      <c r="S21" s="67"/>
    </row>
    <row r="22" spans="1:19" ht="30" customHeight="1" x14ac:dyDescent="0.3">
      <c r="A22" s="48">
        <v>44316</v>
      </c>
      <c r="B22" s="49">
        <v>9.2653644116260647E-3</v>
      </c>
      <c r="C22" s="49">
        <v>7.8947368421052655E-2</v>
      </c>
      <c r="D22" s="49">
        <v>-5.3748231966053717E-2</v>
      </c>
      <c r="E22" s="49">
        <v>-7.1038251366120186E-2</v>
      </c>
      <c r="F22" s="49">
        <v>-4.0841331427404759E-3</v>
      </c>
      <c r="G22" s="50">
        <v>-4.4655414908579494E-2</v>
      </c>
      <c r="H22" s="67"/>
      <c r="M22" s="67"/>
      <c r="N22" s="67"/>
      <c r="O22" s="67"/>
      <c r="P22" s="67"/>
      <c r="Q22" s="67"/>
      <c r="R22" s="67"/>
      <c r="S22" s="67"/>
    </row>
    <row r="23" spans="1:19" ht="30" customHeight="1" x14ac:dyDescent="0.3">
      <c r="A23" s="51">
        <v>44347</v>
      </c>
      <c r="B23" s="52">
        <v>4.4492745546078627E-3</v>
      </c>
      <c r="C23" s="52">
        <v>4.8780487804878092E-2</v>
      </c>
      <c r="D23" s="52">
        <v>7.3243647234678688E-2</v>
      </c>
      <c r="E23" s="52">
        <v>7.0588235294117618E-2</v>
      </c>
      <c r="F23" s="52">
        <v>6.5067322807736971E-2</v>
      </c>
      <c r="G23" s="53">
        <v>4.0853882959146048E-2</v>
      </c>
      <c r="H23" s="67"/>
      <c r="M23" s="67"/>
      <c r="N23" s="67"/>
      <c r="O23" s="67"/>
      <c r="P23" s="67"/>
      <c r="Q23" s="67"/>
      <c r="R23" s="67"/>
      <c r="S23" s="67"/>
    </row>
    <row r="24" spans="1:19" ht="30" customHeight="1" x14ac:dyDescent="0.3">
      <c r="A24" s="48">
        <v>44377</v>
      </c>
      <c r="B24" s="49">
        <v>7.0281217344669855E-4</v>
      </c>
      <c r="C24" s="49">
        <v>-4.6511627906976716E-2</v>
      </c>
      <c r="D24" s="49">
        <v>-1.2534818941504211E-2</v>
      </c>
      <c r="E24" s="49">
        <v>-6.5934065934065922E-2</v>
      </c>
      <c r="F24" s="49">
        <v>8.9199768979015825E-3</v>
      </c>
      <c r="G24" s="50">
        <v>6.4002828854313965E-2</v>
      </c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</row>
    <row r="25" spans="1:19" ht="30" customHeight="1" x14ac:dyDescent="0.3">
      <c r="A25" s="51">
        <v>44408</v>
      </c>
      <c r="B25" s="52">
        <v>2.1870446865595028E-3</v>
      </c>
      <c r="C25" s="52">
        <v>2.4390243902439046E-2</v>
      </c>
      <c r="D25" s="52">
        <v>-4.3723554301833611E-2</v>
      </c>
      <c r="E25" s="52">
        <v>4.117647058823537E-2</v>
      </c>
      <c r="F25" s="52">
        <v>2.607810711105385E-3</v>
      </c>
      <c r="G25" s="53">
        <v>-5.3173811897640366E-2</v>
      </c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</row>
    <row r="26" spans="1:19" ht="30" customHeight="1" x14ac:dyDescent="0.3">
      <c r="A26" s="48">
        <v>44439</v>
      </c>
      <c r="B26" s="49">
        <v>8.8366646278303929E-3</v>
      </c>
      <c r="C26" s="49">
        <v>-2.3809523809523836E-2</v>
      </c>
      <c r="D26" s="49">
        <v>0.10914454277286145</v>
      </c>
      <c r="E26" s="49">
        <v>2.8248587570621542E-2</v>
      </c>
      <c r="F26" s="49">
        <v>8.6848950072955677E-2</v>
      </c>
      <c r="G26" s="50">
        <v>0.19796419796419795</v>
      </c>
    </row>
    <row r="27" spans="1:19" ht="30" customHeight="1" x14ac:dyDescent="0.3">
      <c r="A27" s="51">
        <v>44469</v>
      </c>
      <c r="B27" s="52">
        <v>7.9214195183776592E-3</v>
      </c>
      <c r="C27" s="52">
        <v>-2.4390243902439046E-2</v>
      </c>
      <c r="D27" s="52">
        <v>9.3085106382979621E-3</v>
      </c>
      <c r="E27" s="52">
        <v>0.11538461538461542</v>
      </c>
      <c r="F27" s="52">
        <v>2.8367966378706422E-2</v>
      </c>
      <c r="G27" s="53">
        <v>-2.9299736302372814E-3</v>
      </c>
    </row>
    <row r="28" spans="1:19" ht="30" customHeight="1" x14ac:dyDescent="0.3">
      <c r="A28" s="48">
        <v>44500</v>
      </c>
      <c r="B28" s="49">
        <v>-1.7380842985997846E-3</v>
      </c>
      <c r="C28" s="49">
        <v>5.0000000000000044E-2</v>
      </c>
      <c r="D28" s="49">
        <v>-7.905138339920903E-3</v>
      </c>
      <c r="E28" s="49">
        <v>-5.4187192118226646E-2</v>
      </c>
      <c r="F28" s="49">
        <v>3.0650471109092692E-3</v>
      </c>
      <c r="G28" s="50">
        <v>-9.9911842491918867E-2</v>
      </c>
    </row>
    <row r="29" spans="1:19" ht="30" customHeight="1" x14ac:dyDescent="0.3">
      <c r="A29" s="51">
        <v>44530</v>
      </c>
      <c r="B29" s="52">
        <v>7.4943451759126312E-3</v>
      </c>
      <c r="C29" s="52">
        <v>0</v>
      </c>
      <c r="D29" s="52">
        <v>-5.7104913678618807E-2</v>
      </c>
      <c r="E29" s="52">
        <v>-5.2083333333333703E-3</v>
      </c>
      <c r="F29" s="52">
        <v>-3.8988229968311416E-2</v>
      </c>
      <c r="G29" s="53">
        <v>4.0483186418543982E-2</v>
      </c>
    </row>
    <row r="30" spans="1:19" ht="30" customHeight="1" x14ac:dyDescent="0.3">
      <c r="A30" s="48">
        <v>44561</v>
      </c>
      <c r="B30" s="49">
        <v>-1.6680491939263797E-3</v>
      </c>
      <c r="C30" s="49">
        <v>-2.3809523809523836E-2</v>
      </c>
      <c r="D30" s="49">
        <v>-8.4507042253521014E-3</v>
      </c>
      <c r="E30" s="49">
        <v>-1.5706806282722474E-2</v>
      </c>
      <c r="F30" s="49">
        <v>2.1845374786551242E-2</v>
      </c>
      <c r="G30" s="50">
        <v>5.9303420144336316E-2</v>
      </c>
    </row>
    <row r="31" spans="1:19" ht="30" customHeight="1" x14ac:dyDescent="0.3">
      <c r="A31" s="51">
        <v>44592</v>
      </c>
      <c r="B31" s="52">
        <v>-5.2503394356488986E-3</v>
      </c>
      <c r="C31" s="52">
        <v>0</v>
      </c>
      <c r="D31" s="52">
        <v>4.2613636363635354E-3</v>
      </c>
      <c r="E31" s="52">
        <v>1.0638297872340496E-2</v>
      </c>
      <c r="F31" s="52">
        <v>-8.0673043678691769E-4</v>
      </c>
      <c r="G31" s="53">
        <v>-5.924170616113944E-4</v>
      </c>
    </row>
    <row r="32" spans="1:19" ht="30" customHeight="1" x14ac:dyDescent="0.3">
      <c r="A32" s="48">
        <v>44620</v>
      </c>
      <c r="B32" s="49">
        <v>5.5020049935690096E-3</v>
      </c>
      <c r="C32" s="49">
        <v>7.3170731707317138E-2</v>
      </c>
      <c r="D32" s="49">
        <v>-4.1018387553040991E-2</v>
      </c>
      <c r="E32" s="49">
        <v>-2.1052631578947323E-2</v>
      </c>
      <c r="F32" s="49">
        <v>-3.148788927335644E-2</v>
      </c>
      <c r="G32" s="50">
        <v>-4.6828689982216898E-2</v>
      </c>
    </row>
    <row r="33" spans="1:7" ht="30" customHeight="1" x14ac:dyDescent="0.3">
      <c r="A33" s="51">
        <v>44651</v>
      </c>
      <c r="B33" s="52">
        <v>1.4146272457207232E-3</v>
      </c>
      <c r="C33" s="52">
        <v>0</v>
      </c>
      <c r="D33" s="52">
        <v>3.0973451327433565E-2</v>
      </c>
      <c r="E33" s="52">
        <v>0.18817204301075274</v>
      </c>
      <c r="F33" s="52">
        <v>3.9954745742527109E-2</v>
      </c>
      <c r="G33" s="53">
        <v>5.2238805970149294E-2</v>
      </c>
    </row>
    <row r="34" spans="1:7" ht="30" customHeight="1" x14ac:dyDescent="0.3">
      <c r="A34" s="48">
        <v>44681</v>
      </c>
      <c r="B34" s="49">
        <v>-3.3061527502682431E-3</v>
      </c>
      <c r="C34" s="49">
        <v>2.2727272727272707E-2</v>
      </c>
      <c r="D34" s="49">
        <v>-5.7224606580829729E-2</v>
      </c>
      <c r="E34" s="49">
        <v>3.6199095022624528E-2</v>
      </c>
      <c r="F34" s="49">
        <v>-2.0727168622960201E-2</v>
      </c>
      <c r="G34" s="50">
        <v>-5.171394799054374E-2</v>
      </c>
    </row>
    <row r="35" spans="1:7" ht="30" customHeight="1" x14ac:dyDescent="0.3">
      <c r="A35" s="51">
        <v>44712</v>
      </c>
      <c r="B35" s="52">
        <v>-7.2343364102130936E-3</v>
      </c>
      <c r="C35" s="52">
        <v>-2.2222222222222254E-2</v>
      </c>
      <c r="D35" s="52">
        <v>3.0349013657056112E-3</v>
      </c>
      <c r="E35" s="52">
        <v>4.366812227074246E-2</v>
      </c>
      <c r="F35" s="52">
        <v>-3.0287084137285869E-2</v>
      </c>
      <c r="G35" s="53">
        <v>-5.1417887192271694E-2</v>
      </c>
    </row>
    <row r="36" spans="1:7" ht="30" customHeight="1" x14ac:dyDescent="0.3">
      <c r="A36" s="48">
        <v>44742</v>
      </c>
      <c r="B36" s="49">
        <v>3.9761371023103731E-3</v>
      </c>
      <c r="C36" s="49">
        <v>0</v>
      </c>
      <c r="D36" s="49">
        <v>-1.8154311649016597E-2</v>
      </c>
      <c r="E36" s="49">
        <v>3.3472803347280422E-2</v>
      </c>
      <c r="F36" s="49">
        <v>-4.8537835393427819E-2</v>
      </c>
      <c r="G36" s="50">
        <v>-2.2339027595269401E-2</v>
      </c>
    </row>
    <row r="37" spans="1:7" ht="30" customHeight="1" x14ac:dyDescent="0.3">
      <c r="A37" s="51">
        <v>44773</v>
      </c>
      <c r="B37" s="52">
        <v>1.1657282549172088E-2</v>
      </c>
      <c r="C37" s="52">
        <v>0</v>
      </c>
      <c r="D37" s="52">
        <v>6.3174114021571581E-2</v>
      </c>
      <c r="E37" s="52">
        <v>0.10526315789473695</v>
      </c>
      <c r="F37" s="52">
        <v>8.7325728770595745E-2</v>
      </c>
      <c r="G37" s="53">
        <v>1.0416666666666741E-2</v>
      </c>
    </row>
    <row r="38" spans="1:7" ht="30" customHeight="1" x14ac:dyDescent="0.3">
      <c r="A38" s="48">
        <v>44804</v>
      </c>
      <c r="B38" s="49">
        <v>1.2267626863171843E-2</v>
      </c>
      <c r="C38" s="49">
        <v>0</v>
      </c>
      <c r="D38" s="49">
        <v>3.6231884057970953E-2</v>
      </c>
      <c r="E38" s="49">
        <v>5.8608058608058622E-2</v>
      </c>
      <c r="F38" s="49">
        <v>3.5027392469984875E-2</v>
      </c>
      <c r="G38" s="50">
        <v>-2.4941802460924478E-2</v>
      </c>
    </row>
    <row r="39" spans="1:7" ht="30" customHeight="1" x14ac:dyDescent="0.3">
      <c r="A39" s="51">
        <v>44834</v>
      </c>
      <c r="B39" s="52">
        <v>2.2158013223894102E-4</v>
      </c>
      <c r="C39" s="52">
        <v>-2.2727272727272707E-2</v>
      </c>
      <c r="D39" s="52">
        <v>-4.3356643356643354E-2</v>
      </c>
      <c r="E39" s="52">
        <v>3.8062283737024138E-2</v>
      </c>
      <c r="F39" s="52">
        <v>-3.744580212849824E-2</v>
      </c>
      <c r="G39" s="53">
        <v>-6.4120054570259155E-2</v>
      </c>
    </row>
    <row r="40" spans="1:7" ht="30" customHeight="1" x14ac:dyDescent="0.3">
      <c r="A40" s="48">
        <v>44865</v>
      </c>
      <c r="B40" s="49">
        <v>3.4027168567403177E-3</v>
      </c>
      <c r="C40" s="49">
        <v>0</v>
      </c>
      <c r="D40" s="49">
        <v>5.2631578947368363E-2</v>
      </c>
      <c r="E40" s="49">
        <v>5.0000000000000044E-2</v>
      </c>
      <c r="F40" s="49">
        <v>5.3703053703053616E-2</v>
      </c>
      <c r="G40" s="50">
        <v>6.2682215743440128E-2</v>
      </c>
    </row>
    <row r="41" spans="1:7" ht="30" customHeight="1" x14ac:dyDescent="0.3">
      <c r="A41" s="51">
        <v>44895</v>
      </c>
      <c r="B41" s="52">
        <v>1.117734504938106E-2</v>
      </c>
      <c r="C41" s="52">
        <v>4.6511627906976827E-2</v>
      </c>
      <c r="D41" s="52">
        <v>7.4999999999999956E-2</v>
      </c>
      <c r="E41" s="52">
        <v>-2.5396825396825418E-2</v>
      </c>
      <c r="F41" s="52">
        <v>4.1416833222296168E-2</v>
      </c>
      <c r="G41" s="53">
        <v>6.4814814814814881E-2</v>
      </c>
    </row>
    <row r="42" spans="1:7" ht="30" customHeight="1" x14ac:dyDescent="0.3">
      <c r="A42" s="48">
        <v>44926</v>
      </c>
      <c r="B42" s="49">
        <v>3.1702872181238462E-3</v>
      </c>
      <c r="C42" s="49">
        <v>4.4444444444444509E-2</v>
      </c>
      <c r="D42" s="49">
        <v>1.1627906976744207E-2</v>
      </c>
      <c r="E42" s="49">
        <v>-2.6058631921824116E-2</v>
      </c>
      <c r="F42" s="49">
        <v>-3.4811813626186128E-2</v>
      </c>
      <c r="G42" s="50">
        <v>-3.9613526570048352E-2</v>
      </c>
    </row>
    <row r="43" spans="1:7" ht="30" customHeight="1" x14ac:dyDescent="0.3">
      <c r="A43" s="51">
        <v>44957</v>
      </c>
      <c r="B43" s="52">
        <v>3.9612177915266944E-3</v>
      </c>
      <c r="C43" s="52">
        <v>4.2553191489361764E-2</v>
      </c>
      <c r="D43" s="52">
        <v>-1.4048531289910571E-2</v>
      </c>
      <c r="E43" s="52">
        <v>6.3545150501672198E-2</v>
      </c>
      <c r="F43" s="52">
        <v>-2.4468378900856069E-2</v>
      </c>
      <c r="G43" s="53">
        <v>3.1187122736418438E-2</v>
      </c>
    </row>
    <row r="44" spans="1:7" ht="30" customHeight="1" x14ac:dyDescent="0.3">
      <c r="A44" s="48">
        <v>44985</v>
      </c>
      <c r="B44" s="49">
        <v>2.5957058122998422E-3</v>
      </c>
      <c r="C44" s="49">
        <v>-4.081632653061229E-2</v>
      </c>
      <c r="D44" s="49">
        <v>-2.5906735751295429E-3</v>
      </c>
      <c r="E44" s="49">
        <v>6.9182389937106903E-2</v>
      </c>
      <c r="F44" s="49">
        <v>-2.0269505152304412E-2</v>
      </c>
      <c r="G44" s="50">
        <v>8.7804878048780566E-3</v>
      </c>
    </row>
    <row r="45" spans="1:7" ht="30" customHeight="1" x14ac:dyDescent="0.3">
      <c r="A45" s="51">
        <v>45016</v>
      </c>
      <c r="B45" s="52">
        <v>1.0076285699458509E-2</v>
      </c>
      <c r="C45" s="52">
        <v>8.5106382978723305E-2</v>
      </c>
      <c r="D45" s="52">
        <v>5.1948051948051965E-3</v>
      </c>
      <c r="E45" s="52">
        <v>3.2352941176470695E-2</v>
      </c>
      <c r="F45" s="52">
        <v>3.2362459546926292E-3</v>
      </c>
      <c r="G45" s="53">
        <v>-3.2237266279819488E-2</v>
      </c>
    </row>
    <row r="46" spans="1:7" ht="30" customHeight="1" x14ac:dyDescent="0.3">
      <c r="A46" s="48">
        <v>45046</v>
      </c>
      <c r="B46" s="49">
        <v>1.3101221924423756E-2</v>
      </c>
      <c r="C46" s="49">
        <v>0</v>
      </c>
      <c r="D46" s="49">
        <v>4.9095607235142058E-2</v>
      </c>
      <c r="E46" s="49">
        <v>0.11111111111111116</v>
      </c>
      <c r="F46" s="49">
        <v>4.061059907834097E-2</v>
      </c>
      <c r="G46" s="50">
        <v>3.9973351099267251E-3</v>
      </c>
    </row>
    <row r="47" spans="1:7" ht="30" customHeight="1" x14ac:dyDescent="0.3">
      <c r="A47" s="51">
        <v>45077</v>
      </c>
      <c r="B47" s="52">
        <v>1.1517472016318475E-2</v>
      </c>
      <c r="C47" s="52">
        <v>0</v>
      </c>
      <c r="D47" s="52">
        <v>-4.5566502463054159E-2</v>
      </c>
      <c r="E47" s="52">
        <v>4.6153846153846212E-2</v>
      </c>
      <c r="F47" s="52">
        <v>2.5961804594519799E-2</v>
      </c>
      <c r="G47" s="53">
        <v>2.1897810218978186E-2</v>
      </c>
    </row>
    <row r="48" spans="1:7" ht="30" customHeight="1" x14ac:dyDescent="0.3">
      <c r="A48" s="48">
        <v>45107</v>
      </c>
      <c r="B48" s="49">
        <v>1.9469287825149006E-3</v>
      </c>
      <c r="C48" s="49">
        <v>-3.9215686274509776E-2</v>
      </c>
      <c r="D48" s="49">
        <v>6.8387096774193523E-2</v>
      </c>
      <c r="E48" s="49">
        <v>3.6764705882353033E-2</v>
      </c>
      <c r="F48" s="49">
        <v>3.534045537930286E-2</v>
      </c>
      <c r="G48" s="50">
        <v>3.8961038961038419E-3</v>
      </c>
    </row>
    <row r="49" spans="1:7" ht="30" customHeight="1" x14ac:dyDescent="0.3">
      <c r="A49" s="51">
        <v>45138</v>
      </c>
      <c r="B49" s="52">
        <v>4.4506096306633491E-3</v>
      </c>
      <c r="C49" s="52">
        <v>4.081632653061229E-2</v>
      </c>
      <c r="D49" s="52">
        <v>-2.8985507246376829E-2</v>
      </c>
      <c r="E49" s="52">
        <v>3.0732860520094496E-2</v>
      </c>
      <c r="F49" s="52">
        <v>2.9443952264318174E-2</v>
      </c>
      <c r="G49" s="53">
        <v>4.3984476067270295E-2</v>
      </c>
    </row>
    <row r="50" spans="1:7" ht="30" customHeight="1" x14ac:dyDescent="0.3">
      <c r="A50" s="48">
        <v>45169</v>
      </c>
      <c r="B50" s="49">
        <v>6.7113722472995629E-3</v>
      </c>
      <c r="C50" s="49">
        <v>-1.9607843137254943E-2</v>
      </c>
      <c r="D50" s="49">
        <v>-4.8507462686567138E-2</v>
      </c>
      <c r="E50" s="49">
        <v>-5.5045871559633031E-2</v>
      </c>
      <c r="F50" s="49">
        <v>-2.5311329351017542E-2</v>
      </c>
      <c r="G50" s="50">
        <v>-1.6418835192069436E-2</v>
      </c>
    </row>
    <row r="51" spans="1:7" ht="30" customHeight="1" x14ac:dyDescent="0.3">
      <c r="A51" s="51">
        <v>45199</v>
      </c>
      <c r="B51" s="52">
        <v>3.1834876509269083E-3</v>
      </c>
      <c r="C51" s="52">
        <v>-2.0000000000000018E-2</v>
      </c>
      <c r="D51" s="52">
        <v>-2.8758169934640532E-2</v>
      </c>
      <c r="E51" s="52">
        <v>9.7087378640776656E-3</v>
      </c>
      <c r="F51" s="52">
        <v>1.994390775942656E-2</v>
      </c>
      <c r="G51" s="53">
        <v>5.1023622047244199E-2</v>
      </c>
    </row>
    <row r="52" spans="1:7" ht="30" customHeight="1" x14ac:dyDescent="0.3">
      <c r="A52" s="48">
        <v>45230</v>
      </c>
      <c r="B52" s="49">
        <v>1.6880874736235896E-3</v>
      </c>
      <c r="C52" s="49">
        <v>6.1224489795918435E-2</v>
      </c>
      <c r="D52" s="49">
        <v>-3.2301480484522194E-2</v>
      </c>
      <c r="E52" s="49">
        <v>-3.6057692307692291E-2</v>
      </c>
      <c r="F52" s="49">
        <v>-2.8414298808432603E-2</v>
      </c>
      <c r="G52" s="50">
        <v>-4.5250224752771961E-2</v>
      </c>
    </row>
    <row r="53" spans="1:7" ht="30" customHeight="1" x14ac:dyDescent="0.3">
      <c r="A53" s="51">
        <v>45260</v>
      </c>
      <c r="B53" s="52">
        <v>8.7134704508025074E-3</v>
      </c>
      <c r="C53" s="52">
        <v>1.9230769230769162E-2</v>
      </c>
      <c r="D53" s="52">
        <v>5.5632823365785899E-2</v>
      </c>
      <c r="E53" s="52">
        <v>1.7456359102244301E-2</v>
      </c>
      <c r="F53" s="52">
        <v>5.5188679245282923E-2</v>
      </c>
      <c r="G53" s="53">
        <v>3.7978656622724483E-2</v>
      </c>
    </row>
    <row r="54" spans="1:7" ht="30" customHeight="1" x14ac:dyDescent="0.3">
      <c r="A54" s="48">
        <v>45291</v>
      </c>
      <c r="B54" s="49">
        <v>1.0658754417416372E-2</v>
      </c>
      <c r="C54" s="49">
        <v>1.8867924528301883E-2</v>
      </c>
      <c r="D54" s="49">
        <v>9.6179183135704838E-2</v>
      </c>
      <c r="E54" s="49">
        <v>6.1274509803921573E-2</v>
      </c>
      <c r="F54" s="49">
        <v>7.9372175036010573E-2</v>
      </c>
      <c r="G54" s="50">
        <v>8.7692772905957117E-2</v>
      </c>
    </row>
    <row r="55" spans="1:7" ht="30" customHeight="1" x14ac:dyDescent="0.3">
      <c r="A55" s="51">
        <v>45322</v>
      </c>
      <c r="B55" s="52">
        <v>6.7732750824520682E-3</v>
      </c>
      <c r="C55" s="52">
        <v>-1.851851851851849E-2</v>
      </c>
      <c r="D55" s="52">
        <v>-0.14423076923076927</v>
      </c>
      <c r="E55" s="52">
        <v>-4.6189376443418029E-2</v>
      </c>
      <c r="F55" s="52">
        <v>-2.3008605218355349E-4</v>
      </c>
      <c r="G55" s="53">
        <v>5.8381984987490032E-3</v>
      </c>
    </row>
    <row r="56" spans="1:7" ht="30" customHeight="1" x14ac:dyDescent="0.3">
      <c r="A56" s="48">
        <v>45351</v>
      </c>
      <c r="B56" s="49">
        <v>9.3025735343115201E-3</v>
      </c>
      <c r="C56" s="49">
        <v>0</v>
      </c>
      <c r="D56" s="49">
        <v>-4.0730337078651702E-2</v>
      </c>
      <c r="E56" s="49">
        <v>-7.9903147699757815E-2</v>
      </c>
      <c r="F56" s="49">
        <v>1.1829144803461311E-2</v>
      </c>
      <c r="G56" s="50">
        <v>8.0707573244886754E-2</v>
      </c>
    </row>
    <row r="57" spans="1:7" ht="30" customHeight="1" x14ac:dyDescent="0.3">
      <c r="A57" s="51">
        <v>45382</v>
      </c>
      <c r="B57" s="52">
        <v>7.8937291201754967E-3</v>
      </c>
      <c r="C57" s="52">
        <v>7.547169811320753E-2</v>
      </c>
      <c r="D57" s="52">
        <v>3.2210834553440648E-2</v>
      </c>
      <c r="E57" s="52">
        <v>7.1052631578947478E-2</v>
      </c>
      <c r="F57" s="52">
        <v>1.5648455624800883E-2</v>
      </c>
      <c r="G57" s="53">
        <v>-5.3452685421994883E-2</v>
      </c>
    </row>
    <row r="58" spans="1:7" ht="30" customHeight="1" x14ac:dyDescent="0.3">
      <c r="A58" s="48">
        <v>45412</v>
      </c>
      <c r="B58" s="49">
        <v>-2.2245862636383062E-3</v>
      </c>
      <c r="C58" s="49">
        <v>7.0175438596491224E-2</v>
      </c>
      <c r="D58" s="49">
        <v>4.9645390070921946E-2</v>
      </c>
      <c r="E58" s="49">
        <v>1.7199017199017286E-2</v>
      </c>
      <c r="F58" s="49">
        <v>1.2451292157477534E-2</v>
      </c>
      <c r="G58" s="50">
        <v>-1.4320453931369936E-2</v>
      </c>
    </row>
    <row r="59" spans="1:7" ht="30" customHeight="1" x14ac:dyDescent="0.3">
      <c r="A59" s="51">
        <v>45443</v>
      </c>
      <c r="B59" s="52">
        <v>1.3695032760409065E-2</v>
      </c>
      <c r="C59" s="52">
        <v>0</v>
      </c>
      <c r="D59" s="52">
        <v>6.7567567567567988E-3</v>
      </c>
      <c r="E59" s="52">
        <v>-2.1739130434782594E-2</v>
      </c>
      <c r="F59" s="52">
        <v>-3.2736120327361284E-3</v>
      </c>
      <c r="G59" s="53">
        <v>-3.9199561403508776E-2</v>
      </c>
    </row>
    <row r="60" spans="1:7" ht="30" customHeight="1" x14ac:dyDescent="0.3">
      <c r="A60" s="48">
        <v>45473</v>
      </c>
      <c r="B60" s="49">
        <v>4.976555011528383E-3</v>
      </c>
      <c r="C60" s="49">
        <v>0</v>
      </c>
      <c r="D60" s="49">
        <v>0.11543624161073818</v>
      </c>
      <c r="E60" s="49">
        <v>-2.4691358024691024E-3</v>
      </c>
      <c r="F60" s="49">
        <v>6.5687275309573412E-2</v>
      </c>
      <c r="G60" s="50">
        <v>7.1326676176890258E-2</v>
      </c>
    </row>
    <row r="61" spans="1:7" ht="30" customHeight="1" x14ac:dyDescent="0.3">
      <c r="A61" s="51">
        <v>45504</v>
      </c>
      <c r="B61" s="52">
        <v>1.0316267583668104E-2</v>
      </c>
      <c r="C61" s="52">
        <v>-3.2786885245901676E-2</v>
      </c>
      <c r="D61" s="52">
        <v>-4.0914560770156427E-2</v>
      </c>
      <c r="E61" s="52">
        <v>0.18564356435643559</v>
      </c>
      <c r="F61" s="52">
        <v>3.9148723501728266E-2</v>
      </c>
      <c r="G61" s="53">
        <v>0.12330226364846864</v>
      </c>
    </row>
    <row r="62" spans="1:7" ht="30" customHeight="1" x14ac:dyDescent="0.3">
      <c r="A62" s="48">
        <v>45535</v>
      </c>
      <c r="B62" s="49">
        <v>8.713223943888293E-3</v>
      </c>
      <c r="C62" s="49">
        <v>3.3898305084745672E-2</v>
      </c>
      <c r="D62" s="49">
        <v>1.3801756587201952E-2</v>
      </c>
      <c r="E62" s="49">
        <v>1.2526096033402823E-2</v>
      </c>
      <c r="F62" s="49">
        <v>1.1422387880245299E-2</v>
      </c>
      <c r="G62" s="50">
        <v>4.0777619724988057E-2</v>
      </c>
    </row>
    <row r="63" spans="1:7" ht="30" customHeight="1" x14ac:dyDescent="0.3">
      <c r="A63" s="51">
        <v>45565</v>
      </c>
      <c r="B63" s="52">
        <v>1.1670730596841317E-2</v>
      </c>
      <c r="C63" s="52">
        <v>4.9180327868852514E-2</v>
      </c>
      <c r="D63" s="52">
        <v>5.6930693069306981E-2</v>
      </c>
      <c r="E63" s="52">
        <v>3.2989690721649589E-2</v>
      </c>
      <c r="F63" s="52">
        <v>2.2784910445395434E-2</v>
      </c>
      <c r="G63" s="53">
        <v>-6.2642369020501132E-2</v>
      </c>
    </row>
    <row r="64" spans="1:7" ht="30" customHeight="1" x14ac:dyDescent="0.3">
      <c r="A64" s="48">
        <v>45596</v>
      </c>
      <c r="B64" s="49">
        <v>2.9552807516715074E-3</v>
      </c>
      <c r="C64" s="49">
        <v>4.6875E-2</v>
      </c>
      <c r="D64" s="49">
        <v>2.3419203747072626E-3</v>
      </c>
      <c r="E64" s="49">
        <v>-5.7884231536926123E-2</v>
      </c>
      <c r="F64" s="49">
        <v>-6.2221533454728584E-2</v>
      </c>
      <c r="G64" s="50">
        <v>-7.0230862697448382E-2</v>
      </c>
    </row>
    <row r="65" spans="1:7" ht="30" customHeight="1" x14ac:dyDescent="0.3">
      <c r="A65" s="51">
        <v>45626</v>
      </c>
      <c r="B65" s="52">
        <v>7.7478411742415432E-3</v>
      </c>
      <c r="C65" s="52">
        <v>-4.4776119402985093E-2</v>
      </c>
      <c r="D65" s="52">
        <v>3.5046728971962704E-2</v>
      </c>
      <c r="E65" s="52">
        <v>-2.3305084745762761E-2</v>
      </c>
      <c r="F65" s="52">
        <v>-3.0572195827308635E-3</v>
      </c>
      <c r="G65" s="53">
        <v>7.8672242550967164E-2</v>
      </c>
    </row>
    <row r="66" spans="1:7" ht="30" customHeight="1" x14ac:dyDescent="0.3">
      <c r="A66" s="54">
        <v>45657</v>
      </c>
      <c r="B66" s="55">
        <v>4.754460089251511E-3</v>
      </c>
      <c r="C66" s="55">
        <v>0</v>
      </c>
      <c r="D66" s="55">
        <v>-1.241534988713322E-2</v>
      </c>
      <c r="E66" s="55">
        <v>1.5184381778741818E-2</v>
      </c>
      <c r="F66" s="55">
        <v>-2.0140068791181465E-2</v>
      </c>
      <c r="G66" s="56">
        <v>-4.1192149260964372E-2</v>
      </c>
    </row>
  </sheetData>
  <mergeCells count="7">
    <mergeCell ref="A3:W4"/>
    <mergeCell ref="H5:H25"/>
    <mergeCell ref="M5:Q25"/>
    <mergeCell ref="I13:L14"/>
    <mergeCell ref="I24:L25"/>
    <mergeCell ref="R8:S10"/>
    <mergeCell ref="R11:S25"/>
  </mergeCells>
  <conditionalFormatting sqref="I7:L12">
    <cfRule type="containsText" dxfId="5" priority="1" operator="containsText" text="Low Risk">
      <formula>NOT(ISERROR(SEARCH("Low Risk",I7)))</formula>
    </cfRule>
    <cfRule type="containsText" dxfId="4" priority="2" operator="containsText" text="Medium Risk">
      <formula>NOT(ISERROR(SEARCH("Medium Risk",I7)))</formula>
    </cfRule>
    <cfRule type="containsText" dxfId="3" priority="3" operator="containsText" text="High Risk">
      <formula>NOT(ISERROR(SEARCH("High Risk",I7)))</formula>
    </cfRule>
    <cfRule type="containsText" dxfId="2" priority="4" operator="containsText" text="Medium Risk">
      <formula>NOT(ISERROR(SEARCH("Medium Risk",I7)))</formula>
    </cfRule>
    <cfRule type="containsText" dxfId="1" priority="5" operator="containsText" text="Low Risk">
      <formula>NOT(ISERROR(SEARCH("Low Risk",I7)))</formula>
    </cfRule>
    <cfRule type="containsText" dxfId="0" priority="6" operator="containsText" text="Low Risk">
      <formula>NOT(ISERROR(SEARCH("Low Risk",I7)))</formula>
    </cfRule>
  </conditionalFormatting>
  <pageMargins left="0.7" right="0.7" top="0.75" bottom="0.75" header="0.3" footer="0.3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D8384496-CF8B-4F50-B79E-98BDF75FFBDB}">
            <x14:iconSet custom="1">
              <x14:cfvo type="percent">
                <xm:f>0</xm:f>
              </x14:cfvo>
              <x14:cfvo type="percent">
                <xm:f>6.4</xm:f>
              </x14:cfvo>
              <x14:cfvo type="percent" gte="0">
                <xm:f>6.4</xm:f>
              </x14:cfvo>
              <x14:cfIcon iconSet="3TrafficLights1" iconId="2"/>
              <x14:cfIcon iconSet="3TrafficLights1" iconId="1"/>
              <x14:cfIcon iconSet="4RedToBlack" iconId="3"/>
            </x14:iconSet>
          </x14:cfRule>
          <xm:sqref>L6:L12</xm:sqref>
        </x14:conditionalFormatting>
        <x14:conditionalFormatting xmlns:xm="http://schemas.microsoft.com/office/excel/2006/main">
          <x14:cfRule type="iconSet" priority="8" id="{70D03CD5-765C-47FE-A237-66C0E201FF8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L7:L12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FCCB-9AEA-4E1D-89E0-99CBA5E90471}">
  <dimension ref="A1:K26"/>
  <sheetViews>
    <sheetView zoomScale="85" workbookViewId="0">
      <selection activeCell="K16" sqref="K16"/>
    </sheetView>
  </sheetViews>
  <sheetFormatPr defaultColWidth="27.77734375" defaultRowHeight="29.4" customHeight="1" x14ac:dyDescent="0.3"/>
  <sheetData>
    <row r="1" spans="1:11" ht="43.8" customHeight="1" x14ac:dyDescent="0.3"/>
    <row r="2" spans="1:11" ht="29.4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</row>
    <row r="3" spans="1:11" ht="29.4" customHeight="1" x14ac:dyDescent="0.3">
      <c r="D3" s="67"/>
      <c r="E3" s="67"/>
      <c r="F3" s="67"/>
      <c r="I3" s="67"/>
      <c r="J3" s="67"/>
      <c r="K3" s="8"/>
    </row>
    <row r="4" spans="1:11" ht="29.4" customHeight="1" x14ac:dyDescent="0.3">
      <c r="A4" s="57" t="s">
        <v>19</v>
      </c>
      <c r="B4" s="57" t="s">
        <v>25</v>
      </c>
      <c r="C4" s="58" t="s">
        <v>32</v>
      </c>
      <c r="D4" s="67"/>
      <c r="E4" s="67"/>
      <c r="F4" s="67"/>
      <c r="G4" s="32" t="s">
        <v>26</v>
      </c>
      <c r="H4" s="32" t="s">
        <v>27</v>
      </c>
      <c r="I4" s="67"/>
      <c r="J4" s="67"/>
      <c r="K4" s="8"/>
    </row>
    <row r="5" spans="1:11" ht="29.4" customHeight="1" x14ac:dyDescent="0.3">
      <c r="A5" s="5" t="s">
        <v>8</v>
      </c>
      <c r="B5" s="17">
        <f>IF('RISK ANALYSIS'!K7&lt;=0.05,0.3 - ('RISK ANALYSIS'!K7/0.05)*0.1,IF('RISK ANALYSIS'!K7&lt;=0.2,0.25 -(('RISK ANALYSIS'!K7-0.05)/0.15)*0.1,IF('RISK ANALYSIS'!K7&lt;=0.3,0.15-(('RISK ANALYSIS'!K7 -0.2)/0.1)*0.1,0.05)))</f>
        <v>0.25309401393437958</v>
      </c>
      <c r="C5" s="18">
        <f t="shared" ref="C5:C10" si="0">B15*B5</f>
        <v>1.7788144410211055E-2</v>
      </c>
      <c r="D5" s="67"/>
      <c r="E5" s="67"/>
      <c r="F5" s="67"/>
      <c r="G5" s="5" t="s">
        <v>28</v>
      </c>
      <c r="H5" s="17">
        <f>SUMPRODUCT(B5:B10,B15:B20)</f>
        <v>0.126680005850769</v>
      </c>
      <c r="I5" s="67"/>
      <c r="J5" s="67"/>
      <c r="K5" s="8"/>
    </row>
    <row r="6" spans="1:11" ht="29.4" customHeight="1" x14ac:dyDescent="0.3">
      <c r="A6" s="5" t="s">
        <v>7</v>
      </c>
      <c r="B6" s="17">
        <f>IF('RISK ANALYSIS'!K8&lt;=0.05,0.3 - ('RISK ANALYSIS'!K8/0.05)*0.1,IF('RISK ANALYSIS'!K8&lt;=0.2,0.25 -(('RISK ANALYSIS'!K8-0.05)/0.15)*0.1,IF('RISK ANALYSIS'!K8&lt;=0.3,0.15-(('RISK ANALYSIS'!K8 -0.2)/0.1)*0.1,0.05)))</f>
        <v>0.18640116970497611</v>
      </c>
      <c r="C6" s="18">
        <f t="shared" si="0"/>
        <v>2.3813141887891801E-2</v>
      </c>
      <c r="D6" s="67"/>
      <c r="E6" s="67"/>
      <c r="F6" s="67"/>
      <c r="G6" s="5" t="s">
        <v>29</v>
      </c>
      <c r="H6" s="18" t="str">
        <f>IF(SUM(C5:C10)&lt;0.12,"Low",IF(SUM(C5:C10)&lt;0.2,"Medium","High"))</f>
        <v>Medium</v>
      </c>
      <c r="I6" s="67"/>
      <c r="J6" s="67"/>
      <c r="K6" s="8"/>
    </row>
    <row r="7" spans="1:11" ht="29.4" customHeight="1" x14ac:dyDescent="0.3">
      <c r="A7" s="5" t="s">
        <v>6</v>
      </c>
      <c r="B7" s="17">
        <f>IF('RISK ANALYSIS'!K9&lt;=0.05,0.3 - ('RISK ANALYSIS'!K9/0.05)*0.1,IF('RISK ANALYSIS'!K9&lt;=0.2,0.25 -(('RISK ANALYSIS'!K9-0.05)/0.15)*0.1,IF('RISK ANALYSIS'!K9&lt;=0.3,0.15-(('RISK ANALYSIS'!K9 -0.2)/0.1)*0.1,0.05)))</f>
        <v>9.7399037788519299E-2</v>
      </c>
      <c r="C7" s="18">
        <f t="shared" si="0"/>
        <v>1.1269139435193745E-2</v>
      </c>
      <c r="D7" s="67"/>
      <c r="E7" s="67"/>
      <c r="F7" s="67"/>
      <c r="G7" s="5" t="s">
        <v>30</v>
      </c>
      <c r="H7" s="17" cm="1">
        <f t="array" ref="H7">(PRODUCT(1+Returns_Matrix!F6:F64))^(12/COUNT(Returns_Matrix!F6:F64))-1</f>
        <v>0.14865676662120064</v>
      </c>
      <c r="I7" s="67"/>
      <c r="J7" s="67"/>
      <c r="K7" s="8"/>
    </row>
    <row r="8" spans="1:11" ht="29.4" customHeight="1" x14ac:dyDescent="0.3">
      <c r="A8" s="5" t="s">
        <v>5</v>
      </c>
      <c r="B8" s="17">
        <f>IF('RISK ANALYSIS'!K10&lt;=0.05,0.3 - ('RISK ANALYSIS'!K10/0.05)*0.1,IF('RISK ANALYSIS'!K10&lt;=0.2,0.25 -(('RISK ANALYSIS'!K10-0.05)/0.15)*0.1,IF('RISK ANALYSIS'!K10&lt;=0.3,0.15-(('RISK ANALYSIS'!K10 -0.2)/0.1)*0.1,0.05)))</f>
        <v>0.11130835118896082</v>
      </c>
      <c r="C8" s="18">
        <f t="shared" si="0"/>
        <v>2.4489352329788616E-2</v>
      </c>
      <c r="D8" s="67"/>
      <c r="E8" s="67"/>
      <c r="F8" s="67"/>
      <c r="G8" s="5" t="s">
        <v>31</v>
      </c>
      <c r="H8" s="17" t="str">
        <f>IF(H5-H7&gt;0.1,"Outperformed",IF(H5-H7&gt;0,"Slightly Outperformed",IF(H5-H7&gt;-0.01,"Slightly Underperformed","Underperformed")))</f>
        <v>Underperformed</v>
      </c>
      <c r="I8" s="67"/>
      <c r="J8" s="67"/>
      <c r="K8" s="8"/>
    </row>
    <row r="9" spans="1:11" ht="29.4" customHeight="1" x14ac:dyDescent="0.3">
      <c r="A9" s="5" t="s">
        <v>4</v>
      </c>
      <c r="B9" s="17">
        <f>IF('RISK ANALYSIS'!K11&lt;=0.05,0.3 - ('RISK ANALYSIS'!K11/0.05)*0.1,IF('RISK ANALYSIS'!K11&lt;=0.2,0.25 -(('RISK ANALYSIS'!K11-0.05)/0.15)*0.1,IF('RISK ANALYSIS'!K11&lt;=0.3,0.15-(('RISK ANALYSIS'!K11 -0.2)/0.1)*0.1,0.05)))</f>
        <v>0.15725477018011041</v>
      </c>
      <c r="C9" s="18">
        <f t="shared" si="0"/>
        <v>2.4801210560141583E-2</v>
      </c>
      <c r="D9" s="67"/>
      <c r="E9" s="67"/>
      <c r="F9" s="67"/>
      <c r="G9" s="67"/>
      <c r="H9" s="67"/>
      <c r="I9" s="67"/>
      <c r="J9" s="67"/>
      <c r="K9" s="8"/>
    </row>
    <row r="10" spans="1:11" ht="29.4" customHeight="1" x14ac:dyDescent="0.3">
      <c r="A10" s="5" t="s">
        <v>3</v>
      </c>
      <c r="B10" s="17">
        <f>IF('RISK ANALYSIS'!K12&lt;=0.05,0.3 - ('RISK ANALYSIS'!K12/0.05)*0.1,IF('RISK ANALYSIS'!K12&lt;=0.2,0.25 -(('RISK ANALYSIS'!K12-0.05)/0.15)*0.1,IF('RISK ANALYSIS'!K12&lt;=0.3,0.15-(('RISK ANALYSIS'!K12 -0.2)/0.1)*0.1,0.05)))</f>
        <v>0.1356203565141168</v>
      </c>
      <c r="C10" s="18">
        <f t="shared" si="0"/>
        <v>2.451901722754218E-2</v>
      </c>
      <c r="D10" s="67"/>
      <c r="E10" s="67"/>
      <c r="F10" s="67"/>
      <c r="G10" s="67"/>
      <c r="H10" s="67"/>
      <c r="I10" s="67"/>
      <c r="J10" s="67"/>
    </row>
    <row r="11" spans="1:11" ht="29.4" customHeight="1" x14ac:dyDescent="0.3">
      <c r="A11" s="67"/>
      <c r="B11" s="67"/>
      <c r="C11" s="67"/>
      <c r="D11" s="67"/>
      <c r="E11" s="67"/>
      <c r="F11" s="67"/>
      <c r="G11" s="67"/>
      <c r="H11" s="67"/>
      <c r="I11" s="67"/>
      <c r="J11" s="67"/>
    </row>
    <row r="12" spans="1:11" ht="29.4" customHeight="1" x14ac:dyDescent="0.3">
      <c r="A12" s="67"/>
      <c r="B12" s="67"/>
      <c r="C12" s="67"/>
      <c r="D12" s="67"/>
      <c r="E12" s="67"/>
      <c r="F12" s="67"/>
      <c r="G12" s="67"/>
      <c r="H12" s="67"/>
      <c r="I12" s="67"/>
      <c r="J12" s="67"/>
    </row>
    <row r="13" spans="1:11" ht="29.4" customHeight="1" x14ac:dyDescent="0.3">
      <c r="F13" s="67"/>
    </row>
    <row r="14" spans="1:11" ht="29.4" customHeight="1" x14ac:dyDescent="0.3">
      <c r="A14" s="59" t="s">
        <v>19</v>
      </c>
      <c r="B14" s="59" t="s">
        <v>20</v>
      </c>
      <c r="C14" s="59" t="s">
        <v>15</v>
      </c>
      <c r="D14" s="59" t="s">
        <v>16</v>
      </c>
      <c r="E14" s="60" t="s">
        <v>34</v>
      </c>
      <c r="F14" s="67"/>
      <c r="G14" s="9" t="s">
        <v>21</v>
      </c>
      <c r="H14" s="9" t="s">
        <v>22</v>
      </c>
      <c r="I14" s="9" t="s">
        <v>23</v>
      </c>
      <c r="J14" s="9" t="s">
        <v>24</v>
      </c>
    </row>
    <row r="15" spans="1:11" ht="29.4" customHeight="1" x14ac:dyDescent="0.3">
      <c r="A15" s="5" t="s">
        <v>8</v>
      </c>
      <c r="B15" s="17">
        <f>AVERAGE(Returns_Matrix!B6:B64)*12</f>
        <v>7.0282754355553576E-2</v>
      </c>
      <c r="C15" s="17">
        <f>'RISK ANALYSIS'!J7*SQRT((12))</f>
        <v>2.3452993032810197E-2</v>
      </c>
      <c r="D15" s="5" t="str">
        <f t="shared" ref="D15:D20" si="1">IF(C15&lt;0.03,"Low",IF(C15&lt;0.2,"Medium","High"))</f>
        <v>Low</v>
      </c>
      <c r="E15" s="5">
        <f t="shared" ref="E15:E20" si="2">IF(D15="Low",1,IF(D15="Medium",2,3))</f>
        <v>1</v>
      </c>
      <c r="F15" s="67"/>
      <c r="G15" s="5" t="s">
        <v>8</v>
      </c>
      <c r="H15" s="5" t="s">
        <v>4</v>
      </c>
      <c r="I15" s="17">
        <f>CORREL(Returns_Matrix!B6:B64,Returns_Matrix!$F$6:$F$64)</f>
        <v>5.4120731223944729E-2</v>
      </c>
      <c r="J15" s="5" t="str">
        <f>IF(I15&lt;0.3,"Very Low (Diversifier)",IF(I15&lt;0.7,"Moderate","Highly Correlated"))</f>
        <v>Very Low (Diversifier)</v>
      </c>
    </row>
    <row r="16" spans="1:11" ht="29.4" customHeight="1" x14ac:dyDescent="0.3">
      <c r="A16" s="5" t="s">
        <v>7</v>
      </c>
      <c r="B16" s="17">
        <f>AVERAGE(Returns_Matrix!C6:C64)*12</f>
        <v>0.1277521054485963</v>
      </c>
      <c r="C16" s="17">
        <f>'RISK ANALYSIS'!J8*SQRT((12))</f>
        <v>0.1453982454425358</v>
      </c>
      <c r="D16" s="5" t="str">
        <f t="shared" si="1"/>
        <v>Medium</v>
      </c>
      <c r="E16" s="5">
        <f t="shared" si="2"/>
        <v>2</v>
      </c>
      <c r="F16" s="67"/>
      <c r="G16" s="5" t="s">
        <v>7</v>
      </c>
      <c r="H16" s="5" t="s">
        <v>4</v>
      </c>
      <c r="I16" s="17">
        <f>CORREL(Returns_Matrix!C6:C64,Returns_Matrix!$F$6:$F$64)</f>
        <v>5.6352813016023746E-2</v>
      </c>
      <c r="J16" s="5" t="str">
        <f t="shared" ref="J16:J18" si="3">IF(I16&lt;0.3,"Very Low (Diversifier)",IF(I16&lt;0.7,"Moderate","Highly Correlated"))</f>
        <v>Very Low (Diversifier)</v>
      </c>
      <c r="K16" s="1"/>
    </row>
    <row r="17" spans="1:11" ht="29.4" customHeight="1" x14ac:dyDescent="0.3">
      <c r="A17" s="5" t="s">
        <v>6</v>
      </c>
      <c r="B17" s="17">
        <f>AVERAGE(Returns_Matrix!D6:D64)*12</f>
        <v>0.11570072652732172</v>
      </c>
      <c r="C17" s="17">
        <f>'RISK ANALYSIS'!J9*SQRT((12))</f>
        <v>0.25260096221148071</v>
      </c>
      <c r="D17" s="5" t="str">
        <f t="shared" si="1"/>
        <v>High</v>
      </c>
      <c r="E17" s="5">
        <f t="shared" si="2"/>
        <v>3</v>
      </c>
      <c r="F17" s="67"/>
      <c r="G17" s="5" t="s">
        <v>6</v>
      </c>
      <c r="H17" s="5" t="s">
        <v>4</v>
      </c>
      <c r="I17" s="17">
        <f>CORREL(Returns_Matrix!D6:D64,Returns_Matrix!$F$6:$F$64)</f>
        <v>0.80158223286384811</v>
      </c>
      <c r="J17" s="5" t="str">
        <f t="shared" si="3"/>
        <v>Highly Correlated</v>
      </c>
      <c r="K17" s="1"/>
    </row>
    <row r="18" spans="1:11" ht="29.4" customHeight="1" x14ac:dyDescent="0.3">
      <c r="A18" s="5" t="s">
        <v>5</v>
      </c>
      <c r="B18" s="17">
        <f>AVERAGE(Returns_Matrix!E6:E64)*12</f>
        <v>0.22001361145144144</v>
      </c>
      <c r="C18" s="17">
        <f>'RISK ANALYSIS'!J10*SQRT((12))</f>
        <v>0.23869164881103919</v>
      </c>
      <c r="D18" s="5" t="str">
        <f t="shared" si="1"/>
        <v>High</v>
      </c>
      <c r="E18" s="5">
        <f t="shared" si="2"/>
        <v>3</v>
      </c>
      <c r="F18" s="67"/>
      <c r="G18" s="5" t="s">
        <v>5</v>
      </c>
      <c r="H18" s="5" t="s">
        <v>3</v>
      </c>
      <c r="I18" s="17">
        <f>CORREL(Returns_Matrix!E6:E64,Returns_Matrix!$G$6:$G$64)</f>
        <v>0.18361688237264959</v>
      </c>
      <c r="J18" s="5" t="str">
        <f t="shared" si="3"/>
        <v>Very Low (Diversifier)</v>
      </c>
    </row>
    <row r="19" spans="1:11" ht="29.4" customHeight="1" x14ac:dyDescent="0.3">
      <c r="A19" s="5" t="s">
        <v>4</v>
      </c>
      <c r="B19" s="17">
        <f>AVERAGE(Returns_Matrix!F6:F64)*12</f>
        <v>0.15771356590159857</v>
      </c>
      <c r="C19" s="17">
        <f>'RISK ANALYSIS'!J11*SQRT((12))</f>
        <v>0.18911784472983437</v>
      </c>
      <c r="D19" s="5" t="str">
        <f t="shared" si="1"/>
        <v>Medium</v>
      </c>
      <c r="E19" s="5">
        <f t="shared" si="2"/>
        <v>2</v>
      </c>
      <c r="F19" s="67"/>
      <c r="G19" s="67"/>
      <c r="H19" s="67"/>
      <c r="I19" s="67"/>
      <c r="J19" s="67"/>
    </row>
    <row r="20" spans="1:11" ht="29.4" customHeight="1" x14ac:dyDescent="0.3">
      <c r="A20" s="5" t="s">
        <v>3</v>
      </c>
      <c r="B20" s="17">
        <f>AVERAGE(Returns_Matrix!G6:G64)*12</f>
        <v>0.18079157036421728</v>
      </c>
      <c r="C20" s="17">
        <f>'RISK ANALYSIS'!J12*SQRT((12))</f>
        <v>0.2143796434858832</v>
      </c>
      <c r="D20" s="5" t="str">
        <f t="shared" si="1"/>
        <v>High</v>
      </c>
      <c r="E20" s="5">
        <f t="shared" si="2"/>
        <v>3</v>
      </c>
      <c r="F20" s="67"/>
      <c r="G20" s="67"/>
      <c r="H20" s="67"/>
      <c r="I20" s="67"/>
      <c r="J20" s="67"/>
    </row>
    <row r="24" spans="1:11" ht="29.4" customHeight="1" x14ac:dyDescent="0.3">
      <c r="B24" s="7"/>
    </row>
    <row r="25" spans="1:11" ht="29.4" customHeight="1" x14ac:dyDescent="0.3">
      <c r="B25" s="7"/>
    </row>
    <row r="26" spans="1:11" ht="29.4" customHeight="1" x14ac:dyDescent="0.3">
      <c r="B26" s="7"/>
    </row>
  </sheetData>
  <mergeCells count="7">
    <mergeCell ref="A2:J2"/>
    <mergeCell ref="D3:F12"/>
    <mergeCell ref="A11:C12"/>
    <mergeCell ref="G9:H12"/>
    <mergeCell ref="F13:F20"/>
    <mergeCell ref="I3:J12"/>
    <mergeCell ref="G19:J20"/>
  </mergeCells>
  <phoneticPr fontId="3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15B2-DF93-4D63-A855-A22BF307B089}">
  <dimension ref="A1:X29"/>
  <sheetViews>
    <sheetView zoomScale="55" zoomScaleNormal="83" workbookViewId="0">
      <selection activeCell="J33" sqref="J33"/>
    </sheetView>
  </sheetViews>
  <sheetFormatPr defaultColWidth="19.77734375" defaultRowHeight="36" customHeight="1" x14ac:dyDescent="0.3"/>
  <sheetData>
    <row r="1" spans="1:24" ht="57" customHeight="1" x14ac:dyDescent="0.3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36" customHeight="1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1"/>
      <c r="U2" s="21"/>
      <c r="V2" s="21"/>
      <c r="W2" s="21"/>
      <c r="X2" s="21"/>
    </row>
    <row r="3" spans="1:24" ht="36" customHeight="1" x14ac:dyDescent="0.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2"/>
    </row>
    <row r="4" spans="1:24" ht="36" customHeight="1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2"/>
    </row>
    <row r="5" spans="1:24" ht="36" customHeight="1" x14ac:dyDescent="0.3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2"/>
    </row>
    <row r="6" spans="1:24" ht="36" customHeight="1" x14ac:dyDescent="0.3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2"/>
    </row>
    <row r="7" spans="1:24" ht="36" customHeight="1" x14ac:dyDescent="0.3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2"/>
    </row>
    <row r="8" spans="1:24" ht="36" customHeight="1" x14ac:dyDescent="0.3">
      <c r="A8" s="62"/>
      <c r="B8" s="63"/>
      <c r="C8" s="62"/>
      <c r="D8" s="62"/>
      <c r="E8" s="62"/>
      <c r="F8" s="62"/>
      <c r="G8" s="62"/>
      <c r="H8" s="62"/>
      <c r="I8" s="62"/>
      <c r="J8" s="68"/>
      <c r="K8" s="62"/>
      <c r="L8" s="62"/>
      <c r="M8" s="62"/>
      <c r="N8" s="62"/>
      <c r="O8" s="62"/>
      <c r="P8" s="62"/>
      <c r="Q8" s="62"/>
      <c r="R8" s="62"/>
      <c r="S8" s="62"/>
      <c r="T8" s="62"/>
    </row>
    <row r="9" spans="1:24" ht="36" customHeight="1" x14ac:dyDescent="0.3">
      <c r="A9" s="62"/>
      <c r="B9" s="62"/>
      <c r="C9" s="62"/>
      <c r="D9" s="62"/>
      <c r="E9" s="62"/>
      <c r="F9" s="62"/>
      <c r="G9" s="62"/>
      <c r="H9" s="62"/>
      <c r="I9" s="62"/>
      <c r="J9" s="68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1:24" ht="36" customHeight="1" x14ac:dyDescent="0.3">
      <c r="A10" s="62"/>
      <c r="B10" s="62"/>
      <c r="C10" s="62"/>
      <c r="D10" s="62"/>
      <c r="E10" s="62"/>
      <c r="F10" s="62"/>
      <c r="G10" s="62"/>
      <c r="H10" s="62"/>
      <c r="I10" s="62"/>
      <c r="J10" s="68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4" ht="36" customHeight="1" x14ac:dyDescent="0.3">
      <c r="A11" s="62"/>
      <c r="B11" s="62"/>
      <c r="C11" s="62"/>
      <c r="D11" s="62"/>
      <c r="E11" s="62"/>
      <c r="F11" s="62"/>
      <c r="G11" s="62"/>
      <c r="H11" s="62"/>
      <c r="I11" s="62"/>
      <c r="J11" s="68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4" ht="36" customHeight="1" x14ac:dyDescent="0.3">
      <c r="A12" s="62"/>
      <c r="B12" s="62"/>
      <c r="C12" s="62"/>
      <c r="D12" s="64"/>
      <c r="E12" s="64"/>
      <c r="F12" s="62"/>
      <c r="G12" s="62"/>
      <c r="H12" s="62"/>
      <c r="I12" s="62"/>
      <c r="J12" s="68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4" ht="36" customHeight="1" x14ac:dyDescent="0.3">
      <c r="A13" s="62"/>
      <c r="B13" s="62"/>
      <c r="C13" s="62"/>
      <c r="D13" s="64"/>
      <c r="E13" s="62"/>
      <c r="F13" s="62"/>
      <c r="G13" s="62"/>
      <c r="H13" s="64"/>
      <c r="I13" s="62"/>
      <c r="J13" s="68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4" ht="36" customHeight="1" x14ac:dyDescent="0.3">
      <c r="A14" s="62"/>
      <c r="B14" s="62"/>
      <c r="C14" s="62"/>
      <c r="D14" s="62"/>
      <c r="E14" s="62"/>
      <c r="F14" s="62"/>
      <c r="G14" s="62"/>
      <c r="H14" s="62"/>
      <c r="I14" s="62"/>
      <c r="J14" s="68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4" ht="36" customHeight="1" x14ac:dyDescent="0.3">
      <c r="A15" s="62"/>
      <c r="B15" s="62"/>
      <c r="C15" s="62"/>
      <c r="D15" s="62"/>
      <c r="E15" s="62"/>
      <c r="F15" s="62"/>
      <c r="G15" s="62"/>
      <c r="H15" s="62"/>
      <c r="I15" s="62"/>
      <c r="J15" s="68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4" ht="36" customHeight="1" x14ac:dyDescent="0.3">
      <c r="A16" s="62"/>
      <c r="B16" s="62"/>
      <c r="C16" s="62"/>
      <c r="D16" s="62"/>
      <c r="E16" s="62"/>
      <c r="F16" s="62"/>
      <c r="G16" s="62"/>
      <c r="H16" s="62"/>
      <c r="I16" s="62"/>
      <c r="J16" s="68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ht="36" customHeight="1" x14ac:dyDescent="0.3">
      <c r="A17" s="62"/>
      <c r="B17" s="62"/>
      <c r="C17" s="62"/>
      <c r="D17" s="62"/>
      <c r="E17" s="62"/>
      <c r="F17" s="62"/>
      <c r="G17" s="62"/>
      <c r="H17" s="62"/>
      <c r="I17" s="62"/>
      <c r="J17" s="68"/>
      <c r="K17" s="62"/>
      <c r="L17" s="62"/>
      <c r="M17" s="62"/>
      <c r="N17" s="62"/>
      <c r="O17" s="62"/>
      <c r="P17" s="62"/>
      <c r="Q17" s="62"/>
      <c r="R17" s="62"/>
      <c r="S17" s="62"/>
      <c r="T17" s="62"/>
    </row>
    <row r="18" spans="1:20" ht="36" customHeight="1" x14ac:dyDescent="0.3">
      <c r="A18" s="62"/>
      <c r="B18" s="62"/>
      <c r="C18" s="62"/>
      <c r="D18" s="62"/>
      <c r="E18" s="62"/>
      <c r="F18" s="62"/>
      <c r="G18" s="62"/>
      <c r="H18" s="62"/>
      <c r="I18" s="65"/>
      <c r="J18" s="68"/>
      <c r="K18" s="66"/>
      <c r="L18" s="66"/>
      <c r="M18" s="66"/>
      <c r="N18" s="66"/>
      <c r="O18" s="66"/>
      <c r="P18" s="62"/>
      <c r="Q18" s="62"/>
      <c r="R18" s="62"/>
      <c r="S18" s="62"/>
      <c r="T18" s="62"/>
    </row>
    <row r="19" spans="1:20" ht="36" customHeight="1" x14ac:dyDescent="0.3">
      <c r="A19" s="62"/>
      <c r="B19" s="62"/>
      <c r="C19" s="62"/>
      <c r="D19" s="62"/>
      <c r="E19" s="62"/>
      <c r="F19" s="62"/>
      <c r="G19" s="62"/>
      <c r="H19" s="62"/>
      <c r="I19" s="66"/>
      <c r="J19" s="68"/>
      <c r="K19" s="62"/>
      <c r="L19" s="62"/>
      <c r="M19" s="62"/>
      <c r="N19" s="62"/>
      <c r="O19" s="62"/>
      <c r="P19" s="62"/>
      <c r="Q19" s="62"/>
      <c r="R19" s="62"/>
      <c r="S19" s="62"/>
      <c r="T19" s="62"/>
    </row>
    <row r="20" spans="1:20" ht="36" customHeight="1" x14ac:dyDescent="0.3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2"/>
    </row>
    <row r="21" spans="1:20" ht="36" customHeight="1" x14ac:dyDescent="0.3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2"/>
    </row>
    <row r="22" spans="1:20" ht="52.2" customHeight="1" x14ac:dyDescent="0.3">
      <c r="A22" s="62"/>
      <c r="B22" s="62"/>
      <c r="C22" s="66" t="s">
        <v>33</v>
      </c>
      <c r="D22" s="66" t="s">
        <v>8</v>
      </c>
      <c r="E22" s="66" t="s">
        <v>7</v>
      </c>
      <c r="F22" s="66" t="s">
        <v>6</v>
      </c>
      <c r="G22" s="66" t="s">
        <v>5</v>
      </c>
      <c r="H22" s="66" t="s">
        <v>4</v>
      </c>
      <c r="I22" s="66" t="s">
        <v>3</v>
      </c>
      <c r="J22" s="68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 ht="49.2" customHeight="1" x14ac:dyDescent="0.3">
      <c r="A23" s="62"/>
      <c r="B23" s="62"/>
      <c r="C23" s="66" t="s">
        <v>8</v>
      </c>
      <c r="D23" s="66">
        <f>CORREL(Returns_Matrix!B6:B64,Returns_Matrix!$B$6:$B$64)</f>
        <v>1</v>
      </c>
      <c r="E23" s="66">
        <f>CORREL(Returns_Matrix!C6:C64,Returns_Matrix!$B$6:$B$64)</f>
        <v>0.12981595437503565</v>
      </c>
      <c r="F23" s="66">
        <f>CORREL(Returns_Matrix!D6:D64,Returns_Matrix!$B$6:$B$64)</f>
        <v>-4.0326141288209987E-2</v>
      </c>
      <c r="G23" s="66">
        <f>CORREL(Returns_Matrix!E6:E64,Returns_Matrix!$B$6:$B$64)</f>
        <v>3.9633333118974864E-3</v>
      </c>
      <c r="H23" s="66">
        <f>CORREL(Returns_Matrix!F6:F64,Returns_Matrix!$B$6:$B$64)</f>
        <v>5.4120731223944729E-2</v>
      </c>
      <c r="I23" s="66">
        <f>CORREL(Returns_Matrix!G6:G64,Returns_Matrix!$B$6:$B$64)</f>
        <v>0.22320488470920047</v>
      </c>
      <c r="J23" s="68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 ht="49.2" customHeight="1" x14ac:dyDescent="0.3">
      <c r="A24" s="62"/>
      <c r="B24" s="62"/>
      <c r="C24" s="66" t="s">
        <v>7</v>
      </c>
      <c r="D24" s="66">
        <f>CORREL(Returns_Matrix!B6:B64,Returns_Matrix!$C$6:$C$64)</f>
        <v>0.12981595437503565</v>
      </c>
      <c r="E24" s="66">
        <f>CORREL(Returns_Matrix!C6:C64,Returns_Matrix!$C$6:$C$64)</f>
        <v>1.0000000000000002</v>
      </c>
      <c r="F24" s="66">
        <f>CORREL(Returns_Matrix!D6:D64,Returns_Matrix!$C$6:$C$64)</f>
        <v>3.3491690726140805E-2</v>
      </c>
      <c r="G24" s="66">
        <f>CORREL(Returns_Matrix!E6:E64,Returns_Matrix!$C$6:$C$64)</f>
        <v>-0.1629289333996124</v>
      </c>
      <c r="H24" s="66">
        <f>CORREL(Returns_Matrix!F6:F64,Returns_Matrix!$C$6:$C$64)</f>
        <v>5.6352813016023746E-2</v>
      </c>
      <c r="I24" s="66">
        <f>CORREL(Returns_Matrix!G6:G64,Returns_Matrix!$C$6:$C$64)</f>
        <v>-0.16225036767504319</v>
      </c>
      <c r="J24" s="68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1:20" ht="50.4" customHeight="1" x14ac:dyDescent="0.3">
      <c r="A25" s="62"/>
      <c r="B25" s="62"/>
      <c r="C25" s="66" t="s">
        <v>6</v>
      </c>
      <c r="D25" s="66">
        <f>CORREL(Returns_Matrix!B6:B64,Returns_Matrix!$D$6:$D$64)</f>
        <v>-4.0326141288209987E-2</v>
      </c>
      <c r="E25" s="66">
        <f>CORREL(Returns_Matrix!C6:C64,Returns_Matrix!$D$6:$D$64)</f>
        <v>3.3491690726140805E-2</v>
      </c>
      <c r="F25" s="66">
        <f>CORREL(Returns_Matrix!D6:D64,Returns_Matrix!$D$6:$D$64)</f>
        <v>1</v>
      </c>
      <c r="G25" s="66">
        <f>CORREL(Returns_Matrix!E6:E64,Returns_Matrix!$D$6:$D$64)</f>
        <v>0.40749195996061166</v>
      </c>
      <c r="H25" s="66">
        <f>CORREL(Returns_Matrix!F6:F64,Returns_Matrix!$D$6:$D$64)</f>
        <v>0.80158223286384811</v>
      </c>
      <c r="I25" s="66">
        <f>CORREL(Returns_Matrix!G6:G64,Returns_Matrix!$D$6:$D$64)</f>
        <v>0.30572275321711573</v>
      </c>
      <c r="J25" s="68"/>
      <c r="K25" s="62"/>
      <c r="L25" s="62"/>
      <c r="M25" s="62"/>
      <c r="N25" s="62"/>
      <c r="O25" s="62"/>
      <c r="P25" s="62"/>
      <c r="Q25" s="62"/>
      <c r="R25" s="62"/>
      <c r="S25" s="62"/>
      <c r="T25" s="62"/>
    </row>
    <row r="26" spans="1:20" ht="57.6" customHeight="1" x14ac:dyDescent="0.3">
      <c r="A26" s="62"/>
      <c r="B26" s="62"/>
      <c r="C26" s="66" t="s">
        <v>5</v>
      </c>
      <c r="D26" s="66">
        <f>CORREL(Returns_Matrix!B6:B64,Returns_Matrix!$E$6:$E$64)</f>
        <v>3.9633333118974864E-3</v>
      </c>
      <c r="E26" s="66">
        <f>CORREL(Returns_Matrix!C6:C64,Returns_Matrix!$E$6:$E$64)</f>
        <v>-0.1629289333996124</v>
      </c>
      <c r="F26" s="66">
        <f>CORREL(Returns_Matrix!D6:D64,Returns_Matrix!$E$6:$E$64)</f>
        <v>0.40749195996061166</v>
      </c>
      <c r="G26" s="66">
        <f>CORREL(Returns_Matrix!E6:E64,Returns_Matrix!$E$6:$E$64)</f>
        <v>1</v>
      </c>
      <c r="H26" s="66">
        <f>CORREL(Returns_Matrix!F6:F64,Returns_Matrix!$E$6:$E$64)</f>
        <v>0.51288960171292952</v>
      </c>
      <c r="I26" s="66">
        <f>CORREL(Returns_Matrix!G6:G64,Returns_Matrix!$E$6:$E$64)</f>
        <v>0.18361688237264959</v>
      </c>
      <c r="J26" s="68"/>
      <c r="K26" s="62"/>
      <c r="L26" s="62"/>
      <c r="M26" s="62"/>
      <c r="N26" s="62"/>
      <c r="O26" s="62"/>
      <c r="P26" s="62"/>
      <c r="Q26" s="62"/>
      <c r="R26" s="62"/>
      <c r="S26" s="62"/>
      <c r="T26" s="62"/>
    </row>
    <row r="27" spans="1:20" ht="54.6" customHeight="1" x14ac:dyDescent="0.3">
      <c r="A27" s="62"/>
      <c r="B27" s="62"/>
      <c r="C27" s="66" t="s">
        <v>4</v>
      </c>
      <c r="D27" s="66">
        <f>CORREL(Returns_Matrix!B6:B64,Returns_Matrix!$F$6:$F$64)</f>
        <v>5.4120731223944729E-2</v>
      </c>
      <c r="E27" s="66">
        <f>CORREL(Returns_Matrix!C6:C64,Returns_Matrix!$F$6:$F$64)</f>
        <v>5.6352813016023746E-2</v>
      </c>
      <c r="F27" s="66">
        <f>CORREL(Returns_Matrix!D6:D64,Returns_Matrix!$F$6:$F$64)</f>
        <v>0.80158223286384811</v>
      </c>
      <c r="G27" s="66">
        <f>CORREL(Returns_Matrix!E6:E64,Returns_Matrix!$F$6:$F$64)</f>
        <v>0.51288960171292952</v>
      </c>
      <c r="H27" s="66">
        <f>CORREL(Returns_Matrix!F6:F64,Returns_Matrix!$F$6:$F$64)</f>
        <v>1</v>
      </c>
      <c r="I27" s="66">
        <f>CORREL(Returns_Matrix!G6:G64,Returns_Matrix!$F$6:$F$64)</f>
        <v>0.53402607342028785</v>
      </c>
      <c r="J27" s="68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ht="64.2" customHeight="1" x14ac:dyDescent="0.3">
      <c r="A28" s="62"/>
      <c r="B28" s="62"/>
      <c r="C28" s="66" t="s">
        <v>3</v>
      </c>
      <c r="D28" s="66">
        <f>CORREL(Returns_Matrix!B6:B64,Returns_Matrix!$G$6:$G$64)</f>
        <v>0.22320488470920047</v>
      </c>
      <c r="E28" s="66">
        <f>CORREL(Returns_Matrix!C6:C64,Returns_Matrix!$G$6:$G$64)</f>
        <v>-0.16225036767504319</v>
      </c>
      <c r="F28" s="66">
        <f>CORREL(Returns_Matrix!D6:D64,Returns_Matrix!$G$6:$G$64)</f>
        <v>0.30572275321711573</v>
      </c>
      <c r="G28" s="66">
        <f>CORREL(Returns_Matrix!E6:E64,Returns_Matrix!$G$6:$G$64)</f>
        <v>0.18361688237264959</v>
      </c>
      <c r="H28" s="66">
        <f>CORREL(Returns_Matrix!F6:F64,Returns_Matrix!$G$6:$G$64)</f>
        <v>0.53402607342028785</v>
      </c>
      <c r="I28" s="66">
        <f>CORREL(Returns_Matrix!G6:G64,Returns_Matrix!$G$6:$G$64)</f>
        <v>1</v>
      </c>
      <c r="J28" s="68"/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 ht="36" customHeight="1" x14ac:dyDescent="0.3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</row>
  </sheetData>
  <mergeCells count="7">
    <mergeCell ref="A29:S29"/>
    <mergeCell ref="A2:S6"/>
    <mergeCell ref="J7:J28"/>
    <mergeCell ref="A7:I7"/>
    <mergeCell ref="K7:S7"/>
    <mergeCell ref="A20:I21"/>
    <mergeCell ref="K20:S21"/>
  </mergeCells>
  <phoneticPr fontId="3" type="noConversion"/>
  <conditionalFormatting sqref="K19:O19 D23:I28 K20">
    <cfRule type="colorScale" priority="1">
      <colorScale>
        <cfvo type="num" val="-1"/>
        <cfvo type="num" val="0"/>
        <cfvo type="num" val="1"/>
        <color rgb="FFFF0000"/>
        <color theme="0"/>
        <color rgb="FF00B050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00FCB-0BA8-40BB-AF4A-DFD4212996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Raw_Prices</vt:lpstr>
      <vt:lpstr>Monthly_Returns</vt:lpstr>
      <vt:lpstr>Asset_Risk_Return</vt:lpstr>
      <vt:lpstr>Returns_Matrix</vt:lpstr>
      <vt:lpstr>Correlation</vt:lpstr>
      <vt:lpstr>RISK ANALYSIS</vt:lpstr>
      <vt:lpstr>Portfolio_Analysis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anandkar</dc:creator>
  <cp:lastModifiedBy>abhishek anandkar</cp:lastModifiedBy>
  <dcterms:created xsi:type="dcterms:W3CDTF">2025-12-15T08:52:01Z</dcterms:created>
  <dcterms:modified xsi:type="dcterms:W3CDTF">2025-12-27T11:36:55Z</dcterms:modified>
</cp:coreProperties>
</file>